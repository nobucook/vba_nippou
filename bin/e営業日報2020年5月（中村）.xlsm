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0956" yWindow="-12" windowWidth="10992" windowHeight="11352" activeTab="2"/>
  </bookViews>
  <sheets>
    <sheet name="雛型" sheetId="3" r:id="rId1"/>
    <sheet name="1" sheetId="230" r:id="rId2"/>
    <sheet name="2" sheetId="333" r:id="rId3"/>
    <sheet name="3" sheetId="334" r:id="rId4"/>
    <sheet name="6" sheetId="335" r:id="rId5"/>
    <sheet name="7" sheetId="336" r:id="rId6"/>
    <sheet name="8" sheetId="337" r:id="rId7"/>
    <sheet name="10" sheetId="338" r:id="rId8"/>
    <sheet name="13" sheetId="339" r:id="rId9"/>
    <sheet name="14" sheetId="340" r:id="rId10"/>
    <sheet name="15" sheetId="341" r:id="rId11"/>
    <sheet name="16" sheetId="342" r:id="rId12"/>
    <sheet name="17" sheetId="343" r:id="rId13"/>
    <sheet name="20" sheetId="344" r:id="rId14"/>
    <sheet name="21 " sheetId="346" r:id="rId15"/>
    <sheet name="22" sheetId="345" r:id="rId16"/>
    <sheet name="23" sheetId="347" r:id="rId17"/>
    <sheet name="24" sheetId="348" r:id="rId18"/>
    <sheet name="27" sheetId="349" r:id="rId19"/>
    <sheet name="28" sheetId="350" r:id="rId20"/>
    <sheet name="30" sheetId="351" r:id="rId21"/>
    <sheet name="Sheet1" sheetId="332" r:id="rId22"/>
    <sheet name="売上" sheetId="352" r:id="rId23"/>
  </sheets>
  <externalReferences>
    <externalReference r:id="rId24"/>
    <externalReference r:id="rId25"/>
  </externalReferences>
  <definedNames>
    <definedName name="_xlnm.Print_Area" localSheetId="22">売上!$A$1:$AK$1368</definedName>
    <definedName name="_xlnm.Print_Titles" localSheetId="22">売上!$1:$2</definedName>
  </definedNames>
  <calcPr calcId="125725"/>
</workbook>
</file>

<file path=xl/calcChain.xml><?xml version="1.0" encoding="utf-8"?>
<calcChain xmlns="http://schemas.openxmlformats.org/spreadsheetml/2006/main">
  <c r="AE1357" i="352"/>
  <c r="AA1356"/>
  <c r="AI1355"/>
  <c r="AI1357" s="1"/>
  <c r="AH1355"/>
  <c r="AG1355"/>
  <c r="AF1355"/>
  <c r="AE1355"/>
  <c r="AD1355"/>
  <c r="AC1355"/>
  <c r="AB1355"/>
  <c r="AA1355"/>
  <c r="AA1357" s="1"/>
  <c r="Z1355"/>
  <c r="Y1355"/>
  <c r="X1355"/>
  <c r="P1355"/>
  <c r="O1355"/>
  <c r="N1355"/>
  <c r="M1355"/>
  <c r="L1355"/>
  <c r="K1355"/>
  <c r="J1355"/>
  <c r="J1357" s="1"/>
  <c r="I1355"/>
  <c r="H1355"/>
  <c r="G1355"/>
  <c r="F1355"/>
  <c r="E1355"/>
  <c r="AI1354"/>
  <c r="AI1356" s="1"/>
  <c r="AH1354"/>
  <c r="AG1354"/>
  <c r="AF1354"/>
  <c r="AE1354"/>
  <c r="AD1354"/>
  <c r="AC1354"/>
  <c r="AB1354"/>
  <c r="AA1354"/>
  <c r="Z1354"/>
  <c r="Y1354"/>
  <c r="X1354"/>
  <c r="R1354"/>
  <c r="P1354"/>
  <c r="O1354"/>
  <c r="N1354"/>
  <c r="M1354"/>
  <c r="L1354"/>
  <c r="K1354"/>
  <c r="J1354"/>
  <c r="I1354"/>
  <c r="H1354"/>
  <c r="G1354"/>
  <c r="F1354"/>
  <c r="E1354"/>
  <c r="AI1353"/>
  <c r="AH1353"/>
  <c r="AG1353"/>
  <c r="AF1353"/>
  <c r="AE1353"/>
  <c r="AD1353"/>
  <c r="AC1353"/>
  <c r="AB1353"/>
  <c r="AA1353"/>
  <c r="Z1353"/>
  <c r="Y1353"/>
  <c r="X1353"/>
  <c r="P1353"/>
  <c r="O1353"/>
  <c r="N1353"/>
  <c r="M1353"/>
  <c r="L1353"/>
  <c r="K1353"/>
  <c r="J1353"/>
  <c r="I1353"/>
  <c r="H1353"/>
  <c r="G1353"/>
  <c r="F1353"/>
  <c r="R1353" s="1"/>
  <c r="E1353"/>
  <c r="AI1352"/>
  <c r="AH1352"/>
  <c r="AG1352"/>
  <c r="AF1352"/>
  <c r="AE1352"/>
  <c r="AD1352"/>
  <c r="AC1352"/>
  <c r="AB1352"/>
  <c r="AA1352"/>
  <c r="Z1352"/>
  <c r="Y1352"/>
  <c r="X1352"/>
  <c r="P1352"/>
  <c r="O1352"/>
  <c r="N1352"/>
  <c r="M1352"/>
  <c r="L1352"/>
  <c r="K1352"/>
  <c r="J1352"/>
  <c r="I1352"/>
  <c r="H1352"/>
  <c r="G1352"/>
  <c r="F1352"/>
  <c r="E1352"/>
  <c r="AI1351"/>
  <c r="AH1351"/>
  <c r="AG1351"/>
  <c r="AF1351"/>
  <c r="AE1351"/>
  <c r="AD1351"/>
  <c r="AC1351"/>
  <c r="AB1351"/>
  <c r="AA1351"/>
  <c r="Z1351"/>
  <c r="Y1351"/>
  <c r="X1351"/>
  <c r="P1351"/>
  <c r="O1351"/>
  <c r="N1351"/>
  <c r="M1351"/>
  <c r="L1351"/>
  <c r="K1351"/>
  <c r="J1351"/>
  <c r="I1351"/>
  <c r="H1351"/>
  <c r="G1351"/>
  <c r="F1351"/>
  <c r="E1351"/>
  <c r="AK1350"/>
  <c r="AK1352" s="1"/>
  <c r="AJ1350"/>
  <c r="R1350"/>
  <c r="R1351" s="1"/>
  <c r="Q1350"/>
  <c r="Q1352" s="1"/>
  <c r="AK1349"/>
  <c r="AJ1349"/>
  <c r="V1349"/>
  <c r="R1349"/>
  <c r="Q1349"/>
  <c r="AK1348"/>
  <c r="AJ1348"/>
  <c r="V1348"/>
  <c r="R1348"/>
  <c r="Q1348"/>
  <c r="AK1347"/>
  <c r="AI1347"/>
  <c r="AH1347"/>
  <c r="AG1347"/>
  <c r="AF1347"/>
  <c r="AE1347"/>
  <c r="AD1347"/>
  <c r="AC1347"/>
  <c r="AB1347"/>
  <c r="AA1347"/>
  <c r="Z1347"/>
  <c r="Y1347"/>
  <c r="X1347"/>
  <c r="P1347"/>
  <c r="O1347"/>
  <c r="N1347"/>
  <c r="M1347"/>
  <c r="L1347"/>
  <c r="K1347"/>
  <c r="J1347"/>
  <c r="I1347"/>
  <c r="H1347"/>
  <c r="G1347"/>
  <c r="F1347"/>
  <c r="E1347"/>
  <c r="AI1346"/>
  <c r="AH1346"/>
  <c r="AG1346"/>
  <c r="AF1346"/>
  <c r="AE1346"/>
  <c r="AD1346"/>
  <c r="AC1346"/>
  <c r="AB1346"/>
  <c r="AA1346"/>
  <c r="Z1346"/>
  <c r="Y1346"/>
  <c r="X1346"/>
  <c r="P1346"/>
  <c r="O1346"/>
  <c r="N1346"/>
  <c r="M1346"/>
  <c r="L1346"/>
  <c r="K1346"/>
  <c r="J1346"/>
  <c r="I1346"/>
  <c r="H1346"/>
  <c r="G1346"/>
  <c r="F1346"/>
  <c r="E1346"/>
  <c r="AK1345"/>
  <c r="AK1346" s="1"/>
  <c r="AJ1345"/>
  <c r="AJ1347" s="1"/>
  <c r="R1345"/>
  <c r="R1347" s="1"/>
  <c r="Q1345"/>
  <c r="Q1347" s="1"/>
  <c r="AK1344"/>
  <c r="AJ1344"/>
  <c r="V1344"/>
  <c r="R1344"/>
  <c r="Q1344"/>
  <c r="AK1343"/>
  <c r="AJ1343"/>
  <c r="V1343"/>
  <c r="R1343"/>
  <c r="Q1343"/>
  <c r="AI1342"/>
  <c r="AH1342"/>
  <c r="AG1342"/>
  <c r="AF1342"/>
  <c r="AE1342"/>
  <c r="AD1342"/>
  <c r="AC1342"/>
  <c r="AB1342"/>
  <c r="AA1342"/>
  <c r="Z1342"/>
  <c r="Y1342"/>
  <c r="X1342"/>
  <c r="P1342"/>
  <c r="O1342"/>
  <c r="N1342"/>
  <c r="M1342"/>
  <c r="L1342"/>
  <c r="K1342"/>
  <c r="J1342"/>
  <c r="I1342"/>
  <c r="H1342"/>
  <c r="G1342"/>
  <c r="F1342"/>
  <c r="E1342"/>
  <c r="AI1341"/>
  <c r="AH1341"/>
  <c r="AG1341"/>
  <c r="AF1341"/>
  <c r="AE1341"/>
  <c r="AD1341"/>
  <c r="AC1341"/>
  <c r="AB1341"/>
  <c r="AA1341"/>
  <c r="Z1341"/>
  <c r="Y1341"/>
  <c r="X1341"/>
  <c r="P1341"/>
  <c r="O1341"/>
  <c r="N1341"/>
  <c r="M1341"/>
  <c r="L1341"/>
  <c r="K1341"/>
  <c r="J1341"/>
  <c r="I1341"/>
  <c r="H1341"/>
  <c r="G1341"/>
  <c r="F1341"/>
  <c r="E1341"/>
  <c r="AK1340"/>
  <c r="AK1342" s="1"/>
  <c r="AJ1340"/>
  <c r="R1340"/>
  <c r="R1341" s="1"/>
  <c r="Q1340"/>
  <c r="Q1342" s="1"/>
  <c r="AK1339"/>
  <c r="AJ1339"/>
  <c r="V1339"/>
  <c r="R1339"/>
  <c r="Q1339"/>
  <c r="AK1338"/>
  <c r="AJ1338"/>
  <c r="V1338"/>
  <c r="R1338"/>
  <c r="Q1338"/>
  <c r="AK1337"/>
  <c r="AI1337"/>
  <c r="AH1337"/>
  <c r="AG1337"/>
  <c r="AF1337"/>
  <c r="AE1337"/>
  <c r="AD1337"/>
  <c r="AC1337"/>
  <c r="AB1337"/>
  <c r="AA1337"/>
  <c r="Z1337"/>
  <c r="Y1337"/>
  <c r="X1337"/>
  <c r="P1337"/>
  <c r="O1337"/>
  <c r="N1337"/>
  <c r="M1337"/>
  <c r="L1337"/>
  <c r="K1337"/>
  <c r="J1337"/>
  <c r="I1337"/>
  <c r="H1337"/>
  <c r="G1337"/>
  <c r="F1337"/>
  <c r="E1337"/>
  <c r="AI1336"/>
  <c r="AH1336"/>
  <c r="AG1336"/>
  <c r="AF1336"/>
  <c r="AE1336"/>
  <c r="AD1336"/>
  <c r="AC1336"/>
  <c r="AB1336"/>
  <c r="AA1336"/>
  <c r="Z1336"/>
  <c r="Y1336"/>
  <c r="X1336"/>
  <c r="P1336"/>
  <c r="O1336"/>
  <c r="N1336"/>
  <c r="M1336"/>
  <c r="L1336"/>
  <c r="K1336"/>
  <c r="J1336"/>
  <c r="I1336"/>
  <c r="H1336"/>
  <c r="G1336"/>
  <c r="F1336"/>
  <c r="E1336"/>
  <c r="AK1335"/>
  <c r="AK1336" s="1"/>
  <c r="AJ1335"/>
  <c r="AJ1337" s="1"/>
  <c r="R1335"/>
  <c r="R1337" s="1"/>
  <c r="Q1335"/>
  <c r="Q1337" s="1"/>
  <c r="AK1334"/>
  <c r="AJ1334"/>
  <c r="V1334"/>
  <c r="R1334"/>
  <c r="Q1334"/>
  <c r="AK1333"/>
  <c r="AJ1333"/>
  <c r="V1333"/>
  <c r="R1333"/>
  <c r="Q1333"/>
  <c r="AI1332"/>
  <c r="AH1332"/>
  <c r="AG1332"/>
  <c r="AF1332"/>
  <c r="AE1332"/>
  <c r="AD1332"/>
  <c r="AC1332"/>
  <c r="AB1332"/>
  <c r="AA1332"/>
  <c r="Z1332"/>
  <c r="Y1332"/>
  <c r="X1332"/>
  <c r="P1332"/>
  <c r="O1332"/>
  <c r="N1332"/>
  <c r="M1332"/>
  <c r="L1332"/>
  <c r="K1332"/>
  <c r="J1332"/>
  <c r="I1332"/>
  <c r="H1332"/>
  <c r="G1332"/>
  <c r="F1332"/>
  <c r="E1332"/>
  <c r="AI1331"/>
  <c r="AH1331"/>
  <c r="AG1331"/>
  <c r="AF1331"/>
  <c r="AE1331"/>
  <c r="AD1331"/>
  <c r="AC1331"/>
  <c r="AB1331"/>
  <c r="AA1331"/>
  <c r="Z1331"/>
  <c r="Y1331"/>
  <c r="X1331"/>
  <c r="P1331"/>
  <c r="O1331"/>
  <c r="N1331"/>
  <c r="M1331"/>
  <c r="L1331"/>
  <c r="K1331"/>
  <c r="J1331"/>
  <c r="I1331"/>
  <c r="H1331"/>
  <c r="G1331"/>
  <c r="F1331"/>
  <c r="E1331"/>
  <c r="AK1330"/>
  <c r="AK1332" s="1"/>
  <c r="AJ1330"/>
  <c r="R1330"/>
  <c r="R1331" s="1"/>
  <c r="Q1330"/>
  <c r="Q1332" s="1"/>
  <c r="AK1329"/>
  <c r="AJ1329"/>
  <c r="V1329"/>
  <c r="R1329"/>
  <c r="Q1329"/>
  <c r="AK1328"/>
  <c r="AJ1328"/>
  <c r="V1328"/>
  <c r="R1328"/>
  <c r="Q1328"/>
  <c r="AK1327"/>
  <c r="AI1327"/>
  <c r="AH1327"/>
  <c r="AG1327"/>
  <c r="AF1327"/>
  <c r="AE1327"/>
  <c r="AD1327"/>
  <c r="AC1327"/>
  <c r="AB1327"/>
  <c r="AA1327"/>
  <c r="Z1327"/>
  <c r="Y1327"/>
  <c r="X1327"/>
  <c r="P1327"/>
  <c r="O1327"/>
  <c r="N1327"/>
  <c r="M1327"/>
  <c r="L1327"/>
  <c r="K1327"/>
  <c r="J1327"/>
  <c r="I1327"/>
  <c r="H1327"/>
  <c r="G1327"/>
  <c r="F1327"/>
  <c r="E1327"/>
  <c r="AI1326"/>
  <c r="AH1326"/>
  <c r="AG1326"/>
  <c r="AF1326"/>
  <c r="AE1326"/>
  <c r="AD1326"/>
  <c r="AC1326"/>
  <c r="AB1326"/>
  <c r="AA1326"/>
  <c r="Z1326"/>
  <c r="Y1326"/>
  <c r="X1326"/>
  <c r="P1326"/>
  <c r="O1326"/>
  <c r="N1326"/>
  <c r="M1326"/>
  <c r="L1326"/>
  <c r="K1326"/>
  <c r="J1326"/>
  <c r="I1326"/>
  <c r="H1326"/>
  <c r="G1326"/>
  <c r="F1326"/>
  <c r="E1326"/>
  <c r="AK1325"/>
  <c r="AK1326" s="1"/>
  <c r="AJ1325"/>
  <c r="AJ1327" s="1"/>
  <c r="R1325"/>
  <c r="R1327" s="1"/>
  <c r="Q1325"/>
  <c r="Q1327" s="1"/>
  <c r="AK1324"/>
  <c r="AJ1324"/>
  <c r="V1324"/>
  <c r="R1324"/>
  <c r="Q1324"/>
  <c r="AK1323"/>
  <c r="AJ1323"/>
  <c r="V1323"/>
  <c r="R1323"/>
  <c r="Q1323"/>
  <c r="AI1322"/>
  <c r="AH1322"/>
  <c r="AG1322"/>
  <c r="AF1322"/>
  <c r="AE1322"/>
  <c r="AD1322"/>
  <c r="AC1322"/>
  <c r="AB1322"/>
  <c r="AA1322"/>
  <c r="Z1322"/>
  <c r="Y1322"/>
  <c r="X1322"/>
  <c r="P1322"/>
  <c r="O1322"/>
  <c r="N1322"/>
  <c r="M1322"/>
  <c r="L1322"/>
  <c r="K1322"/>
  <c r="J1322"/>
  <c r="I1322"/>
  <c r="H1322"/>
  <c r="G1322"/>
  <c r="F1322"/>
  <c r="E1322"/>
  <c r="AI1321"/>
  <c r="AH1321"/>
  <c r="AG1321"/>
  <c r="AF1321"/>
  <c r="AE1321"/>
  <c r="AD1321"/>
  <c r="AC1321"/>
  <c r="AB1321"/>
  <c r="AA1321"/>
  <c r="Z1321"/>
  <c r="Y1321"/>
  <c r="X1321"/>
  <c r="P1321"/>
  <c r="O1321"/>
  <c r="N1321"/>
  <c r="M1321"/>
  <c r="L1321"/>
  <c r="K1321"/>
  <c r="J1321"/>
  <c r="I1321"/>
  <c r="H1321"/>
  <c r="G1321"/>
  <c r="F1321"/>
  <c r="E1321"/>
  <c r="AK1320"/>
  <c r="AK1322" s="1"/>
  <c r="AJ1320"/>
  <c r="R1320"/>
  <c r="R1321" s="1"/>
  <c r="Q1320"/>
  <c r="Q1322" s="1"/>
  <c r="AK1319"/>
  <c r="AJ1319"/>
  <c r="V1319"/>
  <c r="R1319"/>
  <c r="Q1319"/>
  <c r="AK1318"/>
  <c r="AJ1318"/>
  <c r="V1318"/>
  <c r="R1318"/>
  <c r="Q1318"/>
  <c r="AK1317"/>
  <c r="AI1317"/>
  <c r="AH1317"/>
  <c r="AG1317"/>
  <c r="AF1317"/>
  <c r="AE1317"/>
  <c r="AD1317"/>
  <c r="AC1317"/>
  <c r="AB1317"/>
  <c r="AA1317"/>
  <c r="Z1317"/>
  <c r="Y1317"/>
  <c r="X1317"/>
  <c r="P1317"/>
  <c r="O1317"/>
  <c r="N1317"/>
  <c r="M1317"/>
  <c r="L1317"/>
  <c r="K1317"/>
  <c r="J1317"/>
  <c r="I1317"/>
  <c r="H1317"/>
  <c r="G1317"/>
  <c r="F1317"/>
  <c r="E1317"/>
  <c r="AI1316"/>
  <c r="AH1316"/>
  <c r="AG1316"/>
  <c r="AF1316"/>
  <c r="AE1316"/>
  <c r="AD1316"/>
  <c r="AC1316"/>
  <c r="AB1316"/>
  <c r="AA1316"/>
  <c r="Z1316"/>
  <c r="Y1316"/>
  <c r="X1316"/>
  <c r="P1316"/>
  <c r="O1316"/>
  <c r="N1316"/>
  <c r="M1316"/>
  <c r="L1316"/>
  <c r="K1316"/>
  <c r="J1316"/>
  <c r="I1316"/>
  <c r="H1316"/>
  <c r="G1316"/>
  <c r="F1316"/>
  <c r="E1316"/>
  <c r="AK1315"/>
  <c r="AK1316" s="1"/>
  <c r="AJ1315"/>
  <c r="AJ1317" s="1"/>
  <c r="R1315"/>
  <c r="R1317" s="1"/>
  <c r="Q1315"/>
  <c r="Q1317" s="1"/>
  <c r="AK1314"/>
  <c r="AJ1314"/>
  <c r="V1314"/>
  <c r="R1314"/>
  <c r="Q1314"/>
  <c r="AK1313"/>
  <c r="AJ1313"/>
  <c r="V1313"/>
  <c r="R1313"/>
  <c r="Q1313"/>
  <c r="AI1312"/>
  <c r="AH1312"/>
  <c r="AG1312"/>
  <c r="AF1312"/>
  <c r="AE1312"/>
  <c r="AD1312"/>
  <c r="AC1312"/>
  <c r="AB1312"/>
  <c r="AA1312"/>
  <c r="Z1312"/>
  <c r="Y1312"/>
  <c r="X1312"/>
  <c r="P1312"/>
  <c r="O1312"/>
  <c r="N1312"/>
  <c r="M1312"/>
  <c r="L1312"/>
  <c r="K1312"/>
  <c r="J1312"/>
  <c r="I1312"/>
  <c r="H1312"/>
  <c r="G1312"/>
  <c r="F1312"/>
  <c r="E1312"/>
  <c r="AI1311"/>
  <c r="AH1311"/>
  <c r="AG1311"/>
  <c r="AF1311"/>
  <c r="AE1311"/>
  <c r="AD1311"/>
  <c r="AC1311"/>
  <c r="AB1311"/>
  <c r="AA1311"/>
  <c r="Z1311"/>
  <c r="Y1311"/>
  <c r="X1311"/>
  <c r="P1311"/>
  <c r="O1311"/>
  <c r="N1311"/>
  <c r="M1311"/>
  <c r="L1311"/>
  <c r="K1311"/>
  <c r="J1311"/>
  <c r="I1311"/>
  <c r="H1311"/>
  <c r="G1311"/>
  <c r="F1311"/>
  <c r="E1311"/>
  <c r="AK1310"/>
  <c r="AK1312" s="1"/>
  <c r="AJ1310"/>
  <c r="R1310"/>
  <c r="R1311" s="1"/>
  <c r="Q1310"/>
  <c r="Q1312" s="1"/>
  <c r="AK1309"/>
  <c r="AJ1309"/>
  <c r="V1309"/>
  <c r="R1309"/>
  <c r="Q1309"/>
  <c r="AK1308"/>
  <c r="AJ1308"/>
  <c r="V1308"/>
  <c r="R1308"/>
  <c r="Q1308"/>
  <c r="AK1307"/>
  <c r="AI1307"/>
  <c r="AH1307"/>
  <c r="AG1307"/>
  <c r="AF1307"/>
  <c r="AE1307"/>
  <c r="AD1307"/>
  <c r="AC1307"/>
  <c r="AB1307"/>
  <c r="AA1307"/>
  <c r="Z1307"/>
  <c r="Y1307"/>
  <c r="X1307"/>
  <c r="P1307"/>
  <c r="O1307"/>
  <c r="N1307"/>
  <c r="M1307"/>
  <c r="L1307"/>
  <c r="K1307"/>
  <c r="J1307"/>
  <c r="I1307"/>
  <c r="H1307"/>
  <c r="G1307"/>
  <c r="F1307"/>
  <c r="E1307"/>
  <c r="AI1306"/>
  <c r="AH1306"/>
  <c r="AG1306"/>
  <c r="AF1306"/>
  <c r="AE1306"/>
  <c r="AD1306"/>
  <c r="AC1306"/>
  <c r="AB1306"/>
  <c r="AA1306"/>
  <c r="Z1306"/>
  <c r="Y1306"/>
  <c r="X1306"/>
  <c r="P1306"/>
  <c r="O1306"/>
  <c r="N1306"/>
  <c r="M1306"/>
  <c r="L1306"/>
  <c r="K1306"/>
  <c r="J1306"/>
  <c r="I1306"/>
  <c r="H1306"/>
  <c r="G1306"/>
  <c r="F1306"/>
  <c r="E1306"/>
  <c r="AK1305"/>
  <c r="AK1306" s="1"/>
  <c r="AJ1305"/>
  <c r="AJ1307" s="1"/>
  <c r="R1305"/>
  <c r="R1307" s="1"/>
  <c r="Q1305"/>
  <c r="Q1307" s="1"/>
  <c r="AK1304"/>
  <c r="AJ1304"/>
  <c r="V1304"/>
  <c r="R1304"/>
  <c r="Q1304"/>
  <c r="AK1303"/>
  <c r="AJ1303"/>
  <c r="V1303"/>
  <c r="R1303"/>
  <c r="Q1303"/>
  <c r="AI1302"/>
  <c r="AH1302"/>
  <c r="AG1302"/>
  <c r="AF1302"/>
  <c r="AE1302"/>
  <c r="AD1302"/>
  <c r="AC1302"/>
  <c r="AB1302"/>
  <c r="AA1302"/>
  <c r="Z1302"/>
  <c r="Y1302"/>
  <c r="X1302"/>
  <c r="P1302"/>
  <c r="O1302"/>
  <c r="N1302"/>
  <c r="M1302"/>
  <c r="L1302"/>
  <c r="K1302"/>
  <c r="J1302"/>
  <c r="I1302"/>
  <c r="H1302"/>
  <c r="G1302"/>
  <c r="F1302"/>
  <c r="E1302"/>
  <c r="AI1301"/>
  <c r="AH1301"/>
  <c r="AG1301"/>
  <c r="AF1301"/>
  <c r="AE1301"/>
  <c r="AD1301"/>
  <c r="AC1301"/>
  <c r="AB1301"/>
  <c r="AA1301"/>
  <c r="Z1301"/>
  <c r="Y1301"/>
  <c r="X1301"/>
  <c r="P1301"/>
  <c r="O1301"/>
  <c r="N1301"/>
  <c r="M1301"/>
  <c r="L1301"/>
  <c r="K1301"/>
  <c r="J1301"/>
  <c r="I1301"/>
  <c r="H1301"/>
  <c r="G1301"/>
  <c r="F1301"/>
  <c r="E1301"/>
  <c r="AK1300"/>
  <c r="AK1302" s="1"/>
  <c r="AJ1300"/>
  <c r="R1300"/>
  <c r="R1301" s="1"/>
  <c r="Q1300"/>
  <c r="Q1302" s="1"/>
  <c r="AK1299"/>
  <c r="AJ1299"/>
  <c r="V1299"/>
  <c r="R1299"/>
  <c r="Q1299"/>
  <c r="AK1298"/>
  <c r="AJ1298"/>
  <c r="V1298"/>
  <c r="R1298"/>
  <c r="Q1298"/>
  <c r="AK1297"/>
  <c r="AI1297"/>
  <c r="AH1297"/>
  <c r="AG1297"/>
  <c r="AF1297"/>
  <c r="AE1297"/>
  <c r="AD1297"/>
  <c r="AC1297"/>
  <c r="AB1297"/>
  <c r="AA1297"/>
  <c r="Z1297"/>
  <c r="Y1297"/>
  <c r="X1297"/>
  <c r="P1297"/>
  <c r="O1297"/>
  <c r="N1297"/>
  <c r="M1297"/>
  <c r="L1297"/>
  <c r="K1297"/>
  <c r="J1297"/>
  <c r="I1297"/>
  <c r="H1297"/>
  <c r="G1297"/>
  <c r="F1297"/>
  <c r="E1297"/>
  <c r="AI1296"/>
  <c r="AH1296"/>
  <c r="AG1296"/>
  <c r="AF1296"/>
  <c r="AE1296"/>
  <c r="AD1296"/>
  <c r="AC1296"/>
  <c r="AB1296"/>
  <c r="AA1296"/>
  <c r="Z1296"/>
  <c r="Y1296"/>
  <c r="X1296"/>
  <c r="P1296"/>
  <c r="O1296"/>
  <c r="N1296"/>
  <c r="M1296"/>
  <c r="L1296"/>
  <c r="K1296"/>
  <c r="J1296"/>
  <c r="I1296"/>
  <c r="H1296"/>
  <c r="G1296"/>
  <c r="F1296"/>
  <c r="E1296"/>
  <c r="AK1295"/>
  <c r="AK1296" s="1"/>
  <c r="AJ1295"/>
  <c r="AJ1297" s="1"/>
  <c r="R1295"/>
  <c r="R1297" s="1"/>
  <c r="Q1295"/>
  <c r="Q1297" s="1"/>
  <c r="AK1294"/>
  <c r="AJ1294"/>
  <c r="V1294"/>
  <c r="R1294"/>
  <c r="Q1294"/>
  <c r="AK1293"/>
  <c r="AJ1293"/>
  <c r="V1293"/>
  <c r="R1293"/>
  <c r="Q1293"/>
  <c r="AI1292"/>
  <c r="AH1292"/>
  <c r="AG1292"/>
  <c r="AF1292"/>
  <c r="AE1292"/>
  <c r="AD1292"/>
  <c r="AC1292"/>
  <c r="AB1292"/>
  <c r="AA1292"/>
  <c r="Z1292"/>
  <c r="Y1292"/>
  <c r="X1292"/>
  <c r="P1292"/>
  <c r="O1292"/>
  <c r="N1292"/>
  <c r="M1292"/>
  <c r="L1292"/>
  <c r="K1292"/>
  <c r="J1292"/>
  <c r="I1292"/>
  <c r="H1292"/>
  <c r="G1292"/>
  <c r="F1292"/>
  <c r="E1292"/>
  <c r="AI1291"/>
  <c r="AH1291"/>
  <c r="AG1291"/>
  <c r="AF1291"/>
  <c r="AE1291"/>
  <c r="AD1291"/>
  <c r="AC1291"/>
  <c r="AB1291"/>
  <c r="AA1291"/>
  <c r="Z1291"/>
  <c r="Y1291"/>
  <c r="X1291"/>
  <c r="P1291"/>
  <c r="O1291"/>
  <c r="N1291"/>
  <c r="M1291"/>
  <c r="L1291"/>
  <c r="K1291"/>
  <c r="J1291"/>
  <c r="I1291"/>
  <c r="H1291"/>
  <c r="G1291"/>
  <c r="F1291"/>
  <c r="E1291"/>
  <c r="AK1290"/>
  <c r="AK1292" s="1"/>
  <c r="AJ1290"/>
  <c r="R1290"/>
  <c r="R1291" s="1"/>
  <c r="Q1290"/>
  <c r="Q1292" s="1"/>
  <c r="AK1289"/>
  <c r="AJ1289"/>
  <c r="V1289"/>
  <c r="R1289"/>
  <c r="Q1289"/>
  <c r="AK1288"/>
  <c r="AJ1288"/>
  <c r="V1288"/>
  <c r="R1288"/>
  <c r="Q1288"/>
  <c r="AK1287"/>
  <c r="AI1287"/>
  <c r="AH1287"/>
  <c r="AG1287"/>
  <c r="AF1287"/>
  <c r="AE1287"/>
  <c r="AD1287"/>
  <c r="AC1287"/>
  <c r="AB1287"/>
  <c r="AA1287"/>
  <c r="Z1287"/>
  <c r="Y1287"/>
  <c r="X1287"/>
  <c r="P1287"/>
  <c r="O1287"/>
  <c r="N1287"/>
  <c r="M1287"/>
  <c r="L1287"/>
  <c r="K1287"/>
  <c r="J1287"/>
  <c r="I1287"/>
  <c r="H1287"/>
  <c r="G1287"/>
  <c r="F1287"/>
  <c r="E1287"/>
  <c r="AI1286"/>
  <c r="AH1286"/>
  <c r="AG1286"/>
  <c r="AF1286"/>
  <c r="AE1286"/>
  <c r="AD1286"/>
  <c r="AC1286"/>
  <c r="AB1286"/>
  <c r="AA1286"/>
  <c r="Z1286"/>
  <c r="Y1286"/>
  <c r="X1286"/>
  <c r="P1286"/>
  <c r="O1286"/>
  <c r="N1286"/>
  <c r="M1286"/>
  <c r="L1286"/>
  <c r="K1286"/>
  <c r="J1286"/>
  <c r="I1286"/>
  <c r="H1286"/>
  <c r="G1286"/>
  <c r="F1286"/>
  <c r="E1286"/>
  <c r="AK1285"/>
  <c r="AK1286" s="1"/>
  <c r="AJ1285"/>
  <c r="AJ1287" s="1"/>
  <c r="R1285"/>
  <c r="R1287" s="1"/>
  <c r="Q1285"/>
  <c r="Q1287" s="1"/>
  <c r="AK1284"/>
  <c r="AJ1284"/>
  <c r="V1284"/>
  <c r="R1284"/>
  <c r="Q1284"/>
  <c r="AK1283"/>
  <c r="AJ1283"/>
  <c r="V1283"/>
  <c r="R1283"/>
  <c r="Q1283"/>
  <c r="N1282"/>
  <c r="AE1281"/>
  <c r="J1281"/>
  <c r="AI1280"/>
  <c r="AI1281" s="1"/>
  <c r="AH1280"/>
  <c r="AH1282" s="1"/>
  <c r="AG1280"/>
  <c r="AG1282" s="1"/>
  <c r="AF1280"/>
  <c r="AF1282" s="1"/>
  <c r="AE1280"/>
  <c r="AD1280"/>
  <c r="AD1282" s="1"/>
  <c r="AC1280"/>
  <c r="AC1282" s="1"/>
  <c r="AB1280"/>
  <c r="AB1282" s="1"/>
  <c r="AA1280"/>
  <c r="Z1280"/>
  <c r="Z1282" s="1"/>
  <c r="Y1280"/>
  <c r="Y1282" s="1"/>
  <c r="X1280"/>
  <c r="X1282" s="1"/>
  <c r="R1280"/>
  <c r="P1280"/>
  <c r="P1282" s="1"/>
  <c r="O1280"/>
  <c r="O1282" s="1"/>
  <c r="N1280"/>
  <c r="N1281" s="1"/>
  <c r="M1280"/>
  <c r="M1282" s="1"/>
  <c r="L1280"/>
  <c r="L1282" s="1"/>
  <c r="K1280"/>
  <c r="K1282" s="1"/>
  <c r="J1280"/>
  <c r="J1282" s="1"/>
  <c r="I1280"/>
  <c r="I1282" s="1"/>
  <c r="H1280"/>
  <c r="H1282" s="1"/>
  <c r="G1280"/>
  <c r="G1282" s="1"/>
  <c r="F1280"/>
  <c r="F1282" s="1"/>
  <c r="E1280"/>
  <c r="E1282" s="1"/>
  <c r="AI1279"/>
  <c r="AH1279"/>
  <c r="AG1279"/>
  <c r="AF1279"/>
  <c r="AE1279"/>
  <c r="AD1279"/>
  <c r="AC1279"/>
  <c r="AB1279"/>
  <c r="AA1279"/>
  <c r="Z1279"/>
  <c r="Y1279"/>
  <c r="X1279"/>
  <c r="AJ1279" s="1"/>
  <c r="P1279"/>
  <c r="O1279"/>
  <c r="N1279"/>
  <c r="M1279"/>
  <c r="L1279"/>
  <c r="K1279"/>
  <c r="J1279"/>
  <c r="I1279"/>
  <c r="H1279"/>
  <c r="G1279"/>
  <c r="F1279"/>
  <c r="R1279" s="1"/>
  <c r="E1279"/>
  <c r="AI1278"/>
  <c r="AI1282" s="1"/>
  <c r="AH1278"/>
  <c r="AG1278"/>
  <c r="AF1278"/>
  <c r="AE1278"/>
  <c r="AD1278"/>
  <c r="AC1278"/>
  <c r="AB1278"/>
  <c r="AA1278"/>
  <c r="Z1278"/>
  <c r="Y1278"/>
  <c r="X1278"/>
  <c r="R1278"/>
  <c r="P1278"/>
  <c r="O1278"/>
  <c r="N1278"/>
  <c r="M1278"/>
  <c r="L1278"/>
  <c r="K1278"/>
  <c r="J1278"/>
  <c r="I1278"/>
  <c r="H1278"/>
  <c r="G1278"/>
  <c r="F1278"/>
  <c r="E1278"/>
  <c r="Q1278" s="1"/>
  <c r="AI1277"/>
  <c r="AH1277"/>
  <c r="AG1277"/>
  <c r="AF1277"/>
  <c r="AE1277"/>
  <c r="AD1277"/>
  <c r="AC1277"/>
  <c r="AB1277"/>
  <c r="AA1277"/>
  <c r="Z1277"/>
  <c r="Y1277"/>
  <c r="X1277"/>
  <c r="P1277"/>
  <c r="O1277"/>
  <c r="N1277"/>
  <c r="M1277"/>
  <c r="L1277"/>
  <c r="K1277"/>
  <c r="J1277"/>
  <c r="I1277"/>
  <c r="H1277"/>
  <c r="G1277"/>
  <c r="F1277"/>
  <c r="E1277"/>
  <c r="AI1276"/>
  <c r="AH1276"/>
  <c r="AG1276"/>
  <c r="AF1276"/>
  <c r="AE1276"/>
  <c r="AD1276"/>
  <c r="AC1276"/>
  <c r="AB1276"/>
  <c r="AA1276"/>
  <c r="Z1276"/>
  <c r="Y1276"/>
  <c r="X1276"/>
  <c r="R1276"/>
  <c r="P1276"/>
  <c r="O1276"/>
  <c r="N1276"/>
  <c r="M1276"/>
  <c r="L1276"/>
  <c r="K1276"/>
  <c r="J1276"/>
  <c r="I1276"/>
  <c r="H1276"/>
  <c r="G1276"/>
  <c r="F1276"/>
  <c r="E1276"/>
  <c r="AK1275"/>
  <c r="AK1277" s="1"/>
  <c r="AJ1275"/>
  <c r="AJ1277" s="1"/>
  <c r="R1275"/>
  <c r="R1277" s="1"/>
  <c r="Q1275"/>
  <c r="Q1277" s="1"/>
  <c r="AK1274"/>
  <c r="AJ1274"/>
  <c r="V1274"/>
  <c r="R1274"/>
  <c r="Q1274"/>
  <c r="AK1273"/>
  <c r="AJ1273"/>
  <c r="V1273"/>
  <c r="R1273"/>
  <c r="Q1273"/>
  <c r="AI1272"/>
  <c r="AH1272"/>
  <c r="AG1272"/>
  <c r="AF1272"/>
  <c r="AE1272"/>
  <c r="AD1272"/>
  <c r="AC1272"/>
  <c r="AB1272"/>
  <c r="AA1272"/>
  <c r="Z1272"/>
  <c r="Y1272"/>
  <c r="X1272"/>
  <c r="P1272"/>
  <c r="O1272"/>
  <c r="N1272"/>
  <c r="M1272"/>
  <c r="L1272"/>
  <c r="K1272"/>
  <c r="J1272"/>
  <c r="I1272"/>
  <c r="H1272"/>
  <c r="G1272"/>
  <c r="F1272"/>
  <c r="E1272"/>
  <c r="AK1271"/>
  <c r="AI1271"/>
  <c r="AH1271"/>
  <c r="AG1271"/>
  <c r="AF1271"/>
  <c r="AE1271"/>
  <c r="AD1271"/>
  <c r="AC1271"/>
  <c r="AB1271"/>
  <c r="AA1271"/>
  <c r="Z1271"/>
  <c r="Y1271"/>
  <c r="X1271"/>
  <c r="P1271"/>
  <c r="O1271"/>
  <c r="N1271"/>
  <c r="M1271"/>
  <c r="L1271"/>
  <c r="K1271"/>
  <c r="J1271"/>
  <c r="I1271"/>
  <c r="H1271"/>
  <c r="G1271"/>
  <c r="F1271"/>
  <c r="E1271"/>
  <c r="AK1270"/>
  <c r="AK1272" s="1"/>
  <c r="AJ1270"/>
  <c r="AJ1272" s="1"/>
  <c r="R1270"/>
  <c r="Q1270"/>
  <c r="Q1272" s="1"/>
  <c r="AK1269"/>
  <c r="AJ1269"/>
  <c r="V1269"/>
  <c r="R1269"/>
  <c r="Q1269"/>
  <c r="AK1268"/>
  <c r="AJ1268"/>
  <c r="V1268"/>
  <c r="R1268"/>
  <c r="Q1268"/>
  <c r="AI1267"/>
  <c r="AH1267"/>
  <c r="AG1267"/>
  <c r="AF1267"/>
  <c r="AE1267"/>
  <c r="AD1267"/>
  <c r="AC1267"/>
  <c r="AB1267"/>
  <c r="AA1267"/>
  <c r="Z1267"/>
  <c r="Y1267"/>
  <c r="X1267"/>
  <c r="P1267"/>
  <c r="O1267"/>
  <c r="N1267"/>
  <c r="M1267"/>
  <c r="L1267"/>
  <c r="K1267"/>
  <c r="J1267"/>
  <c r="I1267"/>
  <c r="H1267"/>
  <c r="G1267"/>
  <c r="F1267"/>
  <c r="E1267"/>
  <c r="AI1266"/>
  <c r="AH1266"/>
  <c r="AG1266"/>
  <c r="AF1266"/>
  <c r="AE1266"/>
  <c r="AD1266"/>
  <c r="AC1266"/>
  <c r="AB1266"/>
  <c r="AA1266"/>
  <c r="Z1266"/>
  <c r="Y1266"/>
  <c r="X1266"/>
  <c r="R1266"/>
  <c r="P1266"/>
  <c r="O1266"/>
  <c r="N1266"/>
  <c r="M1266"/>
  <c r="L1266"/>
  <c r="K1266"/>
  <c r="J1266"/>
  <c r="I1266"/>
  <c r="H1266"/>
  <c r="G1266"/>
  <c r="F1266"/>
  <c r="E1266"/>
  <c r="AK1265"/>
  <c r="AK1267" s="1"/>
  <c r="AJ1265"/>
  <c r="AJ1267" s="1"/>
  <c r="R1265"/>
  <c r="R1267" s="1"/>
  <c r="Q1265"/>
  <c r="Q1267" s="1"/>
  <c r="AK1264"/>
  <c r="AJ1264"/>
  <c r="V1264"/>
  <c r="R1264"/>
  <c r="Q1264"/>
  <c r="AK1263"/>
  <c r="AJ1263"/>
  <c r="V1263"/>
  <c r="R1263"/>
  <c r="Q1263"/>
  <c r="AK1262"/>
  <c r="AI1262"/>
  <c r="AH1262"/>
  <c r="AG1262"/>
  <c r="AF1262"/>
  <c r="AE1262"/>
  <c r="AD1262"/>
  <c r="AC1262"/>
  <c r="AB1262"/>
  <c r="AA1262"/>
  <c r="Z1262"/>
  <c r="Y1262"/>
  <c r="X1262"/>
  <c r="P1262"/>
  <c r="O1262"/>
  <c r="N1262"/>
  <c r="M1262"/>
  <c r="L1262"/>
  <c r="K1262"/>
  <c r="J1262"/>
  <c r="I1262"/>
  <c r="H1262"/>
  <c r="G1262"/>
  <c r="F1262"/>
  <c r="E1262"/>
  <c r="AK1261"/>
  <c r="AI1261"/>
  <c r="AH1261"/>
  <c r="AG1261"/>
  <c r="AF1261"/>
  <c r="AE1261"/>
  <c r="AD1261"/>
  <c r="AC1261"/>
  <c r="AB1261"/>
  <c r="AA1261"/>
  <c r="Z1261"/>
  <c r="Y1261"/>
  <c r="X1261"/>
  <c r="P1261"/>
  <c r="O1261"/>
  <c r="N1261"/>
  <c r="M1261"/>
  <c r="L1261"/>
  <c r="K1261"/>
  <c r="J1261"/>
  <c r="I1261"/>
  <c r="H1261"/>
  <c r="G1261"/>
  <c r="F1261"/>
  <c r="E1261"/>
  <c r="AK1260"/>
  <c r="AJ1260"/>
  <c r="AJ1262" s="1"/>
  <c r="R1260"/>
  <c r="R1262" s="1"/>
  <c r="Q1260"/>
  <c r="Q1262" s="1"/>
  <c r="AK1259"/>
  <c r="AJ1259"/>
  <c r="V1259"/>
  <c r="R1259"/>
  <c r="Q1259"/>
  <c r="AK1258"/>
  <c r="AJ1258"/>
  <c r="V1258"/>
  <c r="R1258"/>
  <c r="Q1258"/>
  <c r="AI1257"/>
  <c r="AH1257"/>
  <c r="AG1257"/>
  <c r="AF1257"/>
  <c r="AE1257"/>
  <c r="AD1257"/>
  <c r="AC1257"/>
  <c r="AB1257"/>
  <c r="AA1257"/>
  <c r="Z1257"/>
  <c r="Y1257"/>
  <c r="X1257"/>
  <c r="P1257"/>
  <c r="O1257"/>
  <c r="N1257"/>
  <c r="M1257"/>
  <c r="L1257"/>
  <c r="K1257"/>
  <c r="J1257"/>
  <c r="I1257"/>
  <c r="H1257"/>
  <c r="G1257"/>
  <c r="F1257"/>
  <c r="E1257"/>
  <c r="AI1256"/>
  <c r="AH1256"/>
  <c r="AG1256"/>
  <c r="AF1256"/>
  <c r="AE1256"/>
  <c r="AD1256"/>
  <c r="AC1256"/>
  <c r="AB1256"/>
  <c r="AA1256"/>
  <c r="Z1256"/>
  <c r="Y1256"/>
  <c r="X1256"/>
  <c r="R1256"/>
  <c r="P1256"/>
  <c r="O1256"/>
  <c r="N1256"/>
  <c r="M1256"/>
  <c r="L1256"/>
  <c r="K1256"/>
  <c r="J1256"/>
  <c r="I1256"/>
  <c r="H1256"/>
  <c r="G1256"/>
  <c r="F1256"/>
  <c r="E1256"/>
  <c r="AK1255"/>
  <c r="AK1257" s="1"/>
  <c r="AJ1255"/>
  <c r="AJ1257" s="1"/>
  <c r="R1255"/>
  <c r="R1257" s="1"/>
  <c r="Q1255"/>
  <c r="Q1257" s="1"/>
  <c r="AK1254"/>
  <c r="AJ1254"/>
  <c r="V1254"/>
  <c r="R1254"/>
  <c r="Q1254"/>
  <c r="AK1253"/>
  <c r="AJ1253"/>
  <c r="V1253"/>
  <c r="R1253"/>
  <c r="Q1253"/>
  <c r="AK1252"/>
  <c r="AI1252"/>
  <c r="AH1252"/>
  <c r="AG1252"/>
  <c r="AF1252"/>
  <c r="AE1252"/>
  <c r="AD1252"/>
  <c r="AC1252"/>
  <c r="AB1252"/>
  <c r="AA1252"/>
  <c r="Z1252"/>
  <c r="Y1252"/>
  <c r="X1252"/>
  <c r="P1252"/>
  <c r="O1252"/>
  <c r="N1252"/>
  <c r="M1252"/>
  <c r="L1252"/>
  <c r="K1252"/>
  <c r="J1252"/>
  <c r="I1252"/>
  <c r="H1252"/>
  <c r="G1252"/>
  <c r="F1252"/>
  <c r="E1252"/>
  <c r="AK1251"/>
  <c r="AI1251"/>
  <c r="AH1251"/>
  <c r="AG1251"/>
  <c r="AF1251"/>
  <c r="AE1251"/>
  <c r="AD1251"/>
  <c r="AC1251"/>
  <c r="AB1251"/>
  <c r="AA1251"/>
  <c r="Z1251"/>
  <c r="Y1251"/>
  <c r="X1251"/>
  <c r="P1251"/>
  <c r="O1251"/>
  <c r="N1251"/>
  <c r="M1251"/>
  <c r="L1251"/>
  <c r="K1251"/>
  <c r="J1251"/>
  <c r="I1251"/>
  <c r="H1251"/>
  <c r="G1251"/>
  <c r="F1251"/>
  <c r="E1251"/>
  <c r="AK1250"/>
  <c r="AJ1250"/>
  <c r="AJ1252" s="1"/>
  <c r="R1250"/>
  <c r="R1252" s="1"/>
  <c r="Q1250"/>
  <c r="Q1252" s="1"/>
  <c r="AK1249"/>
  <c r="AJ1249"/>
  <c r="V1249"/>
  <c r="R1249"/>
  <c r="Q1249"/>
  <c r="AK1248"/>
  <c r="AJ1248"/>
  <c r="V1248"/>
  <c r="R1248"/>
  <c r="Q1248"/>
  <c r="AI1247"/>
  <c r="AH1247"/>
  <c r="AG1247"/>
  <c r="AF1247"/>
  <c r="AE1247"/>
  <c r="AD1247"/>
  <c r="AC1247"/>
  <c r="AB1247"/>
  <c r="AA1247"/>
  <c r="Z1247"/>
  <c r="Y1247"/>
  <c r="X1247"/>
  <c r="P1247"/>
  <c r="O1247"/>
  <c r="N1247"/>
  <c r="M1247"/>
  <c r="L1247"/>
  <c r="K1247"/>
  <c r="J1247"/>
  <c r="I1247"/>
  <c r="H1247"/>
  <c r="G1247"/>
  <c r="F1247"/>
  <c r="E1247"/>
  <c r="AI1246"/>
  <c r="AH1246"/>
  <c r="AG1246"/>
  <c r="AF1246"/>
  <c r="AE1246"/>
  <c r="AD1246"/>
  <c r="AC1246"/>
  <c r="AB1246"/>
  <c r="AA1246"/>
  <c r="Z1246"/>
  <c r="Y1246"/>
  <c r="X1246"/>
  <c r="R1246"/>
  <c r="P1246"/>
  <c r="O1246"/>
  <c r="N1246"/>
  <c r="M1246"/>
  <c r="L1246"/>
  <c r="K1246"/>
  <c r="J1246"/>
  <c r="I1246"/>
  <c r="H1246"/>
  <c r="G1246"/>
  <c r="F1246"/>
  <c r="E1246"/>
  <c r="AK1245"/>
  <c r="AK1247" s="1"/>
  <c r="AJ1245"/>
  <c r="AJ1247" s="1"/>
  <c r="R1245"/>
  <c r="R1247" s="1"/>
  <c r="Q1245"/>
  <c r="Q1247" s="1"/>
  <c r="AK1244"/>
  <c r="AJ1244"/>
  <c r="V1244"/>
  <c r="R1244"/>
  <c r="Q1244"/>
  <c r="AK1243"/>
  <c r="AJ1243"/>
  <c r="V1243"/>
  <c r="R1243"/>
  <c r="Q1243"/>
  <c r="AK1242"/>
  <c r="AI1242"/>
  <c r="AH1242"/>
  <c r="AG1242"/>
  <c r="AF1242"/>
  <c r="AE1242"/>
  <c r="AD1242"/>
  <c r="AC1242"/>
  <c r="AB1242"/>
  <c r="AA1242"/>
  <c r="Z1242"/>
  <c r="Y1242"/>
  <c r="X1242"/>
  <c r="P1242"/>
  <c r="O1242"/>
  <c r="N1242"/>
  <c r="M1242"/>
  <c r="L1242"/>
  <c r="K1242"/>
  <c r="J1242"/>
  <c r="I1242"/>
  <c r="H1242"/>
  <c r="G1242"/>
  <c r="F1242"/>
  <c r="E1242"/>
  <c r="AK1241"/>
  <c r="AI1241"/>
  <c r="AH1241"/>
  <c r="AG1241"/>
  <c r="AF1241"/>
  <c r="AE1241"/>
  <c r="AD1241"/>
  <c r="AC1241"/>
  <c r="AB1241"/>
  <c r="AA1241"/>
  <c r="Z1241"/>
  <c r="Y1241"/>
  <c r="X1241"/>
  <c r="P1241"/>
  <c r="O1241"/>
  <c r="N1241"/>
  <c r="M1241"/>
  <c r="L1241"/>
  <c r="K1241"/>
  <c r="J1241"/>
  <c r="I1241"/>
  <c r="H1241"/>
  <c r="G1241"/>
  <c r="F1241"/>
  <c r="E1241"/>
  <c r="AK1240"/>
  <c r="AJ1240"/>
  <c r="AJ1242" s="1"/>
  <c r="R1240"/>
  <c r="R1242" s="1"/>
  <c r="Q1240"/>
  <c r="Q1242" s="1"/>
  <c r="AK1239"/>
  <c r="AJ1239"/>
  <c r="V1239"/>
  <c r="R1239"/>
  <c r="Q1239"/>
  <c r="AK1238"/>
  <c r="AJ1238"/>
  <c r="V1238"/>
  <c r="R1238"/>
  <c r="Q1238"/>
  <c r="AI1237"/>
  <c r="AH1237"/>
  <c r="AG1237"/>
  <c r="AF1237"/>
  <c r="AE1237"/>
  <c r="AD1237"/>
  <c r="AC1237"/>
  <c r="AB1237"/>
  <c r="AA1237"/>
  <c r="Z1237"/>
  <c r="Y1237"/>
  <c r="X1237"/>
  <c r="P1237"/>
  <c r="O1237"/>
  <c r="N1237"/>
  <c r="M1237"/>
  <c r="L1237"/>
  <c r="K1237"/>
  <c r="J1237"/>
  <c r="I1237"/>
  <c r="H1237"/>
  <c r="G1237"/>
  <c r="F1237"/>
  <c r="E1237"/>
  <c r="AI1236"/>
  <c r="AH1236"/>
  <c r="AG1236"/>
  <c r="AF1236"/>
  <c r="AE1236"/>
  <c r="AD1236"/>
  <c r="AC1236"/>
  <c r="AB1236"/>
  <c r="AA1236"/>
  <c r="Z1236"/>
  <c r="Y1236"/>
  <c r="X1236"/>
  <c r="R1236"/>
  <c r="P1236"/>
  <c r="O1236"/>
  <c r="N1236"/>
  <c r="M1236"/>
  <c r="L1236"/>
  <c r="K1236"/>
  <c r="J1236"/>
  <c r="I1236"/>
  <c r="H1236"/>
  <c r="G1236"/>
  <c r="F1236"/>
  <c r="E1236"/>
  <c r="AK1235"/>
  <c r="AK1237" s="1"/>
  <c r="AJ1235"/>
  <c r="AJ1237" s="1"/>
  <c r="R1235"/>
  <c r="R1237" s="1"/>
  <c r="Q1235"/>
  <c r="Q1237" s="1"/>
  <c r="AK1234"/>
  <c r="AJ1234"/>
  <c r="V1234"/>
  <c r="R1234"/>
  <c r="Q1234"/>
  <c r="AK1233"/>
  <c r="AJ1233"/>
  <c r="V1233"/>
  <c r="R1233"/>
  <c r="Q1233"/>
  <c r="AK1232"/>
  <c r="AI1232"/>
  <c r="AH1232"/>
  <c r="AG1232"/>
  <c r="AF1232"/>
  <c r="AE1232"/>
  <c r="AD1232"/>
  <c r="AC1232"/>
  <c r="AB1232"/>
  <c r="AA1232"/>
  <c r="Z1232"/>
  <c r="Y1232"/>
  <c r="X1232"/>
  <c r="P1232"/>
  <c r="O1232"/>
  <c r="N1232"/>
  <c r="M1232"/>
  <c r="L1232"/>
  <c r="K1232"/>
  <c r="J1232"/>
  <c r="I1232"/>
  <c r="H1232"/>
  <c r="G1232"/>
  <c r="F1232"/>
  <c r="E1232"/>
  <c r="AK1231"/>
  <c r="AI1231"/>
  <c r="AH1231"/>
  <c r="AG1231"/>
  <c r="AF1231"/>
  <c r="AE1231"/>
  <c r="AD1231"/>
  <c r="AC1231"/>
  <c r="AB1231"/>
  <c r="AA1231"/>
  <c r="Z1231"/>
  <c r="Y1231"/>
  <c r="X1231"/>
  <c r="P1231"/>
  <c r="O1231"/>
  <c r="N1231"/>
  <c r="M1231"/>
  <c r="L1231"/>
  <c r="K1231"/>
  <c r="J1231"/>
  <c r="I1231"/>
  <c r="H1231"/>
  <c r="G1231"/>
  <c r="F1231"/>
  <c r="E1231"/>
  <c r="AK1230"/>
  <c r="AJ1230"/>
  <c r="AJ1232" s="1"/>
  <c r="R1230"/>
  <c r="R1232" s="1"/>
  <c r="Q1230"/>
  <c r="Q1232" s="1"/>
  <c r="AK1229"/>
  <c r="AJ1229"/>
  <c r="V1229"/>
  <c r="R1229"/>
  <c r="Q1229"/>
  <c r="AK1228"/>
  <c r="AJ1228"/>
  <c r="V1228"/>
  <c r="R1228"/>
  <c r="Q1228"/>
  <c r="AI1227"/>
  <c r="AH1227"/>
  <c r="AG1227"/>
  <c r="AF1227"/>
  <c r="AE1227"/>
  <c r="AD1227"/>
  <c r="AC1227"/>
  <c r="AB1227"/>
  <c r="AA1227"/>
  <c r="Z1227"/>
  <c r="Y1227"/>
  <c r="X1227"/>
  <c r="P1227"/>
  <c r="O1227"/>
  <c r="N1227"/>
  <c r="M1227"/>
  <c r="L1227"/>
  <c r="K1227"/>
  <c r="J1227"/>
  <c r="I1227"/>
  <c r="H1227"/>
  <c r="G1227"/>
  <c r="F1227"/>
  <c r="E1227"/>
  <c r="AI1226"/>
  <c r="AH1226"/>
  <c r="AG1226"/>
  <c r="AF1226"/>
  <c r="AE1226"/>
  <c r="AD1226"/>
  <c r="AC1226"/>
  <c r="AB1226"/>
  <c r="AA1226"/>
  <c r="Z1226"/>
  <c r="Y1226"/>
  <c r="X1226"/>
  <c r="R1226"/>
  <c r="P1226"/>
  <c r="O1226"/>
  <c r="N1226"/>
  <c r="M1226"/>
  <c r="L1226"/>
  <c r="K1226"/>
  <c r="J1226"/>
  <c r="I1226"/>
  <c r="H1226"/>
  <c r="G1226"/>
  <c r="F1226"/>
  <c r="E1226"/>
  <c r="AK1225"/>
  <c r="AK1227" s="1"/>
  <c r="AJ1225"/>
  <c r="AJ1227" s="1"/>
  <c r="R1225"/>
  <c r="R1227" s="1"/>
  <c r="Q1225"/>
  <c r="Q1227" s="1"/>
  <c r="AK1224"/>
  <c r="AJ1224"/>
  <c r="V1224"/>
  <c r="R1224"/>
  <c r="Q1224"/>
  <c r="AK1223"/>
  <c r="AJ1223"/>
  <c r="V1223"/>
  <c r="R1223"/>
  <c r="Q1223"/>
  <c r="AK1222"/>
  <c r="AI1222"/>
  <c r="AH1222"/>
  <c r="AG1222"/>
  <c r="AF1222"/>
  <c r="AE1222"/>
  <c r="AD1222"/>
  <c r="AC1222"/>
  <c r="AB1222"/>
  <c r="AA1222"/>
  <c r="Z1222"/>
  <c r="Y1222"/>
  <c r="X1222"/>
  <c r="P1222"/>
  <c r="O1222"/>
  <c r="N1222"/>
  <c r="M1222"/>
  <c r="L1222"/>
  <c r="K1222"/>
  <c r="J1222"/>
  <c r="I1222"/>
  <c r="H1222"/>
  <c r="G1222"/>
  <c r="F1222"/>
  <c r="E1222"/>
  <c r="AK1221"/>
  <c r="AI1221"/>
  <c r="AH1221"/>
  <c r="AG1221"/>
  <c r="AF1221"/>
  <c r="AE1221"/>
  <c r="AD1221"/>
  <c r="AC1221"/>
  <c r="AB1221"/>
  <c r="AA1221"/>
  <c r="Z1221"/>
  <c r="Y1221"/>
  <c r="X1221"/>
  <c r="P1221"/>
  <c r="O1221"/>
  <c r="N1221"/>
  <c r="M1221"/>
  <c r="L1221"/>
  <c r="K1221"/>
  <c r="J1221"/>
  <c r="I1221"/>
  <c r="H1221"/>
  <c r="G1221"/>
  <c r="F1221"/>
  <c r="E1221"/>
  <c r="AK1220"/>
  <c r="AJ1220"/>
  <c r="AJ1222" s="1"/>
  <c r="R1220"/>
  <c r="R1222" s="1"/>
  <c r="Q1220"/>
  <c r="Q1222" s="1"/>
  <c r="AK1219"/>
  <c r="AJ1219"/>
  <c r="V1219"/>
  <c r="R1219"/>
  <c r="Q1219"/>
  <c r="AK1218"/>
  <c r="AJ1218"/>
  <c r="V1218"/>
  <c r="R1218"/>
  <c r="Q1218"/>
  <c r="AI1217"/>
  <c r="AH1217"/>
  <c r="AG1217"/>
  <c r="AF1217"/>
  <c r="AE1217"/>
  <c r="AD1217"/>
  <c r="AC1217"/>
  <c r="AB1217"/>
  <c r="AA1217"/>
  <c r="Z1217"/>
  <c r="Y1217"/>
  <c r="X1217"/>
  <c r="P1217"/>
  <c r="O1217"/>
  <c r="N1217"/>
  <c r="M1217"/>
  <c r="L1217"/>
  <c r="K1217"/>
  <c r="J1217"/>
  <c r="I1217"/>
  <c r="H1217"/>
  <c r="G1217"/>
  <c r="F1217"/>
  <c r="E1217"/>
  <c r="AI1216"/>
  <c r="AH1216"/>
  <c r="AG1216"/>
  <c r="AF1216"/>
  <c r="AE1216"/>
  <c r="AD1216"/>
  <c r="AC1216"/>
  <c r="AB1216"/>
  <c r="AA1216"/>
  <c r="Z1216"/>
  <c r="Y1216"/>
  <c r="X1216"/>
  <c r="R1216"/>
  <c r="P1216"/>
  <c r="O1216"/>
  <c r="N1216"/>
  <c r="M1216"/>
  <c r="L1216"/>
  <c r="K1216"/>
  <c r="J1216"/>
  <c r="I1216"/>
  <c r="H1216"/>
  <c r="G1216"/>
  <c r="F1216"/>
  <c r="E1216"/>
  <c r="AK1215"/>
  <c r="AK1217" s="1"/>
  <c r="AJ1215"/>
  <c r="AJ1217" s="1"/>
  <c r="R1215"/>
  <c r="R1217" s="1"/>
  <c r="Q1215"/>
  <c r="Q1217" s="1"/>
  <c r="AK1214"/>
  <c r="AJ1214"/>
  <c r="V1214"/>
  <c r="R1214"/>
  <c r="Q1214"/>
  <c r="AK1213"/>
  <c r="AJ1213"/>
  <c r="V1213"/>
  <c r="R1213"/>
  <c r="Q1213"/>
  <c r="AK1212"/>
  <c r="AI1212"/>
  <c r="AH1212"/>
  <c r="AG1212"/>
  <c r="AF1212"/>
  <c r="AE1212"/>
  <c r="AD1212"/>
  <c r="AC1212"/>
  <c r="AB1212"/>
  <c r="AA1212"/>
  <c r="Z1212"/>
  <c r="Y1212"/>
  <c r="X1212"/>
  <c r="P1212"/>
  <c r="O1212"/>
  <c r="N1212"/>
  <c r="M1212"/>
  <c r="L1212"/>
  <c r="K1212"/>
  <c r="J1212"/>
  <c r="I1212"/>
  <c r="H1212"/>
  <c r="G1212"/>
  <c r="F1212"/>
  <c r="E1212"/>
  <c r="AK1211"/>
  <c r="AI1211"/>
  <c r="AH1211"/>
  <c r="AG1211"/>
  <c r="AF1211"/>
  <c r="AE1211"/>
  <c r="AD1211"/>
  <c r="AC1211"/>
  <c r="AB1211"/>
  <c r="AA1211"/>
  <c r="Z1211"/>
  <c r="Y1211"/>
  <c r="X1211"/>
  <c r="P1211"/>
  <c r="O1211"/>
  <c r="N1211"/>
  <c r="M1211"/>
  <c r="L1211"/>
  <c r="K1211"/>
  <c r="J1211"/>
  <c r="I1211"/>
  <c r="H1211"/>
  <c r="G1211"/>
  <c r="F1211"/>
  <c r="E1211"/>
  <c r="AK1210"/>
  <c r="AJ1210"/>
  <c r="AJ1212" s="1"/>
  <c r="R1210"/>
  <c r="R1212" s="1"/>
  <c r="Q1210"/>
  <c r="Q1212" s="1"/>
  <c r="AK1209"/>
  <c r="AJ1209"/>
  <c r="V1209"/>
  <c r="R1209"/>
  <c r="Q1209"/>
  <c r="AK1208"/>
  <c r="AJ1208"/>
  <c r="V1208"/>
  <c r="R1208"/>
  <c r="Q1208"/>
  <c r="N1206"/>
  <c r="AI1205"/>
  <c r="AH1205"/>
  <c r="AH1207" s="1"/>
  <c r="AG1205"/>
  <c r="AG1207" s="1"/>
  <c r="AF1205"/>
  <c r="AF1207" s="1"/>
  <c r="AE1205"/>
  <c r="AD1205"/>
  <c r="AD1207" s="1"/>
  <c r="AC1205"/>
  <c r="AC1207" s="1"/>
  <c r="AB1205"/>
  <c r="AB1207" s="1"/>
  <c r="AA1205"/>
  <c r="AA1207" s="1"/>
  <c r="Z1205"/>
  <c r="Z1207" s="1"/>
  <c r="Y1205"/>
  <c r="Y1207" s="1"/>
  <c r="X1205"/>
  <c r="X1207" s="1"/>
  <c r="P1205"/>
  <c r="P1207" s="1"/>
  <c r="O1205"/>
  <c r="O1207" s="1"/>
  <c r="N1205"/>
  <c r="N1207" s="1"/>
  <c r="M1205"/>
  <c r="M1207" s="1"/>
  <c r="L1205"/>
  <c r="L1207" s="1"/>
  <c r="K1205"/>
  <c r="K1207" s="1"/>
  <c r="J1205"/>
  <c r="J1207" s="1"/>
  <c r="I1205"/>
  <c r="I1207" s="1"/>
  <c r="H1205"/>
  <c r="H1207" s="1"/>
  <c r="G1205"/>
  <c r="G1207" s="1"/>
  <c r="F1205"/>
  <c r="F1207" s="1"/>
  <c r="E1205"/>
  <c r="E1207" s="1"/>
  <c r="AI1204"/>
  <c r="AI1206" s="1"/>
  <c r="AH1204"/>
  <c r="AG1204"/>
  <c r="AF1204"/>
  <c r="AE1204"/>
  <c r="AE1206" s="1"/>
  <c r="AD1204"/>
  <c r="AC1204"/>
  <c r="AB1204"/>
  <c r="AA1204"/>
  <c r="AA1206" s="1"/>
  <c r="Z1204"/>
  <c r="Y1204"/>
  <c r="X1204"/>
  <c r="R1204"/>
  <c r="P1204"/>
  <c r="O1204"/>
  <c r="N1204"/>
  <c r="M1204"/>
  <c r="L1204"/>
  <c r="K1204"/>
  <c r="J1204"/>
  <c r="I1204"/>
  <c r="H1204"/>
  <c r="G1204"/>
  <c r="F1204"/>
  <c r="E1204"/>
  <c r="Q1204" s="1"/>
  <c r="AI1203"/>
  <c r="AI1207" s="1"/>
  <c r="AH1203"/>
  <c r="AG1203"/>
  <c r="AF1203"/>
  <c r="AE1203"/>
  <c r="AE1207" s="1"/>
  <c r="AD1203"/>
  <c r="AC1203"/>
  <c r="AB1203"/>
  <c r="AA1203"/>
  <c r="Z1203"/>
  <c r="Y1203"/>
  <c r="X1203"/>
  <c r="AJ1203" s="1"/>
  <c r="P1203"/>
  <c r="O1203"/>
  <c r="N1203"/>
  <c r="M1203"/>
  <c r="L1203"/>
  <c r="K1203"/>
  <c r="J1203"/>
  <c r="I1203"/>
  <c r="H1203"/>
  <c r="G1203"/>
  <c r="F1203"/>
  <c r="R1203" s="1"/>
  <c r="E1203"/>
  <c r="AI1202"/>
  <c r="AH1202"/>
  <c r="AG1202"/>
  <c r="AF1202"/>
  <c r="AE1202"/>
  <c r="AD1202"/>
  <c r="AC1202"/>
  <c r="AB1202"/>
  <c r="AA1202"/>
  <c r="Z1202"/>
  <c r="Y1202"/>
  <c r="X1202"/>
  <c r="P1202"/>
  <c r="O1202"/>
  <c r="N1202"/>
  <c r="M1202"/>
  <c r="L1202"/>
  <c r="K1202"/>
  <c r="J1202"/>
  <c r="I1202"/>
  <c r="H1202"/>
  <c r="G1202"/>
  <c r="F1202"/>
  <c r="E1202"/>
  <c r="AI1201"/>
  <c r="AH1201"/>
  <c r="AG1201"/>
  <c r="AF1201"/>
  <c r="AE1201"/>
  <c r="AD1201"/>
  <c r="AC1201"/>
  <c r="AB1201"/>
  <c r="AA1201"/>
  <c r="Z1201"/>
  <c r="Y1201"/>
  <c r="X1201"/>
  <c r="P1201"/>
  <c r="O1201"/>
  <c r="N1201"/>
  <c r="M1201"/>
  <c r="L1201"/>
  <c r="K1201"/>
  <c r="J1201"/>
  <c r="I1201"/>
  <c r="H1201"/>
  <c r="G1201"/>
  <c r="F1201"/>
  <c r="E1201"/>
  <c r="AK1200"/>
  <c r="AK1202" s="1"/>
  <c r="AJ1200"/>
  <c r="R1200"/>
  <c r="R1201" s="1"/>
  <c r="Q1200"/>
  <c r="Q1202" s="1"/>
  <c r="AK1199"/>
  <c r="AJ1199"/>
  <c r="V1199"/>
  <c r="R1199"/>
  <c r="Q1199"/>
  <c r="AK1198"/>
  <c r="AJ1198"/>
  <c r="V1198"/>
  <c r="R1198"/>
  <c r="Q1198"/>
  <c r="AI1197"/>
  <c r="AH1197"/>
  <c r="AG1197"/>
  <c r="AF1197"/>
  <c r="AE1197"/>
  <c r="AD1197"/>
  <c r="AC1197"/>
  <c r="AB1197"/>
  <c r="AA1197"/>
  <c r="Z1197"/>
  <c r="Y1197"/>
  <c r="X1197"/>
  <c r="P1197"/>
  <c r="O1197"/>
  <c r="N1197"/>
  <c r="M1197"/>
  <c r="L1197"/>
  <c r="K1197"/>
  <c r="J1197"/>
  <c r="I1197"/>
  <c r="H1197"/>
  <c r="G1197"/>
  <c r="F1197"/>
  <c r="E1197"/>
  <c r="AI1196"/>
  <c r="AH1196"/>
  <c r="AG1196"/>
  <c r="AF1196"/>
  <c r="AE1196"/>
  <c r="AD1196"/>
  <c r="AC1196"/>
  <c r="AB1196"/>
  <c r="AA1196"/>
  <c r="Z1196"/>
  <c r="Y1196"/>
  <c r="X1196"/>
  <c r="P1196"/>
  <c r="O1196"/>
  <c r="N1196"/>
  <c r="M1196"/>
  <c r="L1196"/>
  <c r="K1196"/>
  <c r="J1196"/>
  <c r="I1196"/>
  <c r="H1196"/>
  <c r="G1196"/>
  <c r="F1196"/>
  <c r="E1196"/>
  <c r="AK1195"/>
  <c r="AJ1195"/>
  <c r="AJ1197" s="1"/>
  <c r="R1195"/>
  <c r="Q1195"/>
  <c r="Q1197" s="1"/>
  <c r="AK1194"/>
  <c r="AJ1194"/>
  <c r="V1194"/>
  <c r="R1194"/>
  <c r="Q1194"/>
  <c r="AK1193"/>
  <c r="AJ1193"/>
  <c r="V1193"/>
  <c r="R1193"/>
  <c r="Q1193"/>
  <c r="AI1192"/>
  <c r="AH1192"/>
  <c r="AG1192"/>
  <c r="AF1192"/>
  <c r="AE1192"/>
  <c r="AD1192"/>
  <c r="AC1192"/>
  <c r="AB1192"/>
  <c r="AA1192"/>
  <c r="Z1192"/>
  <c r="Y1192"/>
  <c r="X1192"/>
  <c r="P1192"/>
  <c r="O1192"/>
  <c r="N1192"/>
  <c r="M1192"/>
  <c r="L1192"/>
  <c r="K1192"/>
  <c r="J1192"/>
  <c r="I1192"/>
  <c r="H1192"/>
  <c r="G1192"/>
  <c r="F1192"/>
  <c r="E1192"/>
  <c r="AI1191"/>
  <c r="AH1191"/>
  <c r="AG1191"/>
  <c r="AF1191"/>
  <c r="AE1191"/>
  <c r="AD1191"/>
  <c r="AC1191"/>
  <c r="AB1191"/>
  <c r="AA1191"/>
  <c r="Z1191"/>
  <c r="Y1191"/>
  <c r="X1191"/>
  <c r="P1191"/>
  <c r="O1191"/>
  <c r="N1191"/>
  <c r="M1191"/>
  <c r="L1191"/>
  <c r="K1191"/>
  <c r="J1191"/>
  <c r="I1191"/>
  <c r="H1191"/>
  <c r="G1191"/>
  <c r="F1191"/>
  <c r="E1191"/>
  <c r="AK1190"/>
  <c r="AK1192" s="1"/>
  <c r="AJ1190"/>
  <c r="R1190"/>
  <c r="R1191" s="1"/>
  <c r="Q1190"/>
  <c r="Q1192" s="1"/>
  <c r="AK1189"/>
  <c r="AJ1189"/>
  <c r="V1189"/>
  <c r="R1189"/>
  <c r="Q1189"/>
  <c r="AK1188"/>
  <c r="AJ1188"/>
  <c r="V1188"/>
  <c r="R1188"/>
  <c r="Q1188"/>
  <c r="AI1187"/>
  <c r="AH1187"/>
  <c r="AG1187"/>
  <c r="AF1187"/>
  <c r="AE1187"/>
  <c r="AD1187"/>
  <c r="AC1187"/>
  <c r="AB1187"/>
  <c r="AA1187"/>
  <c r="Z1187"/>
  <c r="Y1187"/>
  <c r="X1187"/>
  <c r="P1187"/>
  <c r="O1187"/>
  <c r="N1187"/>
  <c r="M1187"/>
  <c r="L1187"/>
  <c r="K1187"/>
  <c r="J1187"/>
  <c r="I1187"/>
  <c r="H1187"/>
  <c r="G1187"/>
  <c r="F1187"/>
  <c r="E1187"/>
  <c r="AI1186"/>
  <c r="AH1186"/>
  <c r="AG1186"/>
  <c r="AF1186"/>
  <c r="AE1186"/>
  <c r="AD1186"/>
  <c r="AC1186"/>
  <c r="AB1186"/>
  <c r="AA1186"/>
  <c r="Z1186"/>
  <c r="Y1186"/>
  <c r="X1186"/>
  <c r="P1186"/>
  <c r="O1186"/>
  <c r="N1186"/>
  <c r="M1186"/>
  <c r="L1186"/>
  <c r="K1186"/>
  <c r="J1186"/>
  <c r="I1186"/>
  <c r="H1186"/>
  <c r="G1186"/>
  <c r="F1186"/>
  <c r="E1186"/>
  <c r="AK1185"/>
  <c r="AJ1185"/>
  <c r="AJ1187" s="1"/>
  <c r="R1185"/>
  <c r="Q1185"/>
  <c r="Q1187" s="1"/>
  <c r="AK1184"/>
  <c r="AJ1184"/>
  <c r="V1184"/>
  <c r="R1184"/>
  <c r="Q1184"/>
  <c r="AK1183"/>
  <c r="AJ1183"/>
  <c r="V1183"/>
  <c r="R1183"/>
  <c r="Q1183"/>
  <c r="AI1182"/>
  <c r="AH1182"/>
  <c r="AG1182"/>
  <c r="AF1182"/>
  <c r="AE1182"/>
  <c r="AD1182"/>
  <c r="AC1182"/>
  <c r="AB1182"/>
  <c r="AA1182"/>
  <c r="Z1182"/>
  <c r="Y1182"/>
  <c r="X1182"/>
  <c r="P1182"/>
  <c r="O1182"/>
  <c r="N1182"/>
  <c r="M1182"/>
  <c r="L1182"/>
  <c r="K1182"/>
  <c r="J1182"/>
  <c r="I1182"/>
  <c r="H1182"/>
  <c r="G1182"/>
  <c r="F1182"/>
  <c r="E1182"/>
  <c r="AI1181"/>
  <c r="AH1181"/>
  <c r="AG1181"/>
  <c r="AF1181"/>
  <c r="AE1181"/>
  <c r="AD1181"/>
  <c r="AC1181"/>
  <c r="AB1181"/>
  <c r="AA1181"/>
  <c r="Z1181"/>
  <c r="Y1181"/>
  <c r="X1181"/>
  <c r="P1181"/>
  <c r="O1181"/>
  <c r="N1181"/>
  <c r="M1181"/>
  <c r="L1181"/>
  <c r="K1181"/>
  <c r="J1181"/>
  <c r="I1181"/>
  <c r="H1181"/>
  <c r="G1181"/>
  <c r="F1181"/>
  <c r="E1181"/>
  <c r="AK1180"/>
  <c r="AK1182" s="1"/>
  <c r="AJ1180"/>
  <c r="R1180"/>
  <c r="R1181" s="1"/>
  <c r="Q1180"/>
  <c r="Q1182" s="1"/>
  <c r="AK1179"/>
  <c r="AJ1179"/>
  <c r="V1179"/>
  <c r="R1179"/>
  <c r="Q1179"/>
  <c r="AK1178"/>
  <c r="AJ1178"/>
  <c r="V1178"/>
  <c r="R1178"/>
  <c r="Q1178"/>
  <c r="AI1177"/>
  <c r="AH1177"/>
  <c r="AG1177"/>
  <c r="AF1177"/>
  <c r="AE1177"/>
  <c r="AD1177"/>
  <c r="AC1177"/>
  <c r="AB1177"/>
  <c r="AA1177"/>
  <c r="Z1177"/>
  <c r="Y1177"/>
  <c r="X1177"/>
  <c r="P1177"/>
  <c r="O1177"/>
  <c r="N1177"/>
  <c r="M1177"/>
  <c r="L1177"/>
  <c r="K1177"/>
  <c r="J1177"/>
  <c r="I1177"/>
  <c r="H1177"/>
  <c r="G1177"/>
  <c r="F1177"/>
  <c r="E1177"/>
  <c r="AI1176"/>
  <c r="AH1176"/>
  <c r="AG1176"/>
  <c r="AF1176"/>
  <c r="AE1176"/>
  <c r="AD1176"/>
  <c r="AC1176"/>
  <c r="AB1176"/>
  <c r="AA1176"/>
  <c r="Z1176"/>
  <c r="Y1176"/>
  <c r="X1176"/>
  <c r="P1176"/>
  <c r="O1176"/>
  <c r="N1176"/>
  <c r="M1176"/>
  <c r="L1176"/>
  <c r="K1176"/>
  <c r="J1176"/>
  <c r="I1176"/>
  <c r="H1176"/>
  <c r="G1176"/>
  <c r="F1176"/>
  <c r="E1176"/>
  <c r="AK1175"/>
  <c r="AJ1175"/>
  <c r="AJ1177" s="1"/>
  <c r="R1175"/>
  <c r="Q1175"/>
  <c r="Q1177" s="1"/>
  <c r="AK1174"/>
  <c r="AJ1174"/>
  <c r="V1174"/>
  <c r="R1174"/>
  <c r="Q1174"/>
  <c r="AK1173"/>
  <c r="AJ1173"/>
  <c r="V1173"/>
  <c r="R1173"/>
  <c r="Q1173"/>
  <c r="AI1172"/>
  <c r="AH1172"/>
  <c r="AG1172"/>
  <c r="AF1172"/>
  <c r="AE1172"/>
  <c r="AD1172"/>
  <c r="AC1172"/>
  <c r="AB1172"/>
  <c r="AA1172"/>
  <c r="Z1172"/>
  <c r="Y1172"/>
  <c r="X1172"/>
  <c r="P1172"/>
  <c r="O1172"/>
  <c r="N1172"/>
  <c r="M1172"/>
  <c r="L1172"/>
  <c r="K1172"/>
  <c r="J1172"/>
  <c r="I1172"/>
  <c r="H1172"/>
  <c r="G1172"/>
  <c r="F1172"/>
  <c r="E1172"/>
  <c r="AI1171"/>
  <c r="AH1171"/>
  <c r="AG1171"/>
  <c r="AF1171"/>
  <c r="AE1171"/>
  <c r="AD1171"/>
  <c r="AC1171"/>
  <c r="AB1171"/>
  <c r="AA1171"/>
  <c r="Z1171"/>
  <c r="Y1171"/>
  <c r="X1171"/>
  <c r="P1171"/>
  <c r="O1171"/>
  <c r="N1171"/>
  <c r="M1171"/>
  <c r="L1171"/>
  <c r="K1171"/>
  <c r="J1171"/>
  <c r="I1171"/>
  <c r="H1171"/>
  <c r="G1171"/>
  <c r="F1171"/>
  <c r="E1171"/>
  <c r="AK1170"/>
  <c r="AK1172" s="1"/>
  <c r="AJ1170"/>
  <c r="R1170"/>
  <c r="R1171" s="1"/>
  <c r="Q1170"/>
  <c r="Q1172" s="1"/>
  <c r="AK1169"/>
  <c r="AJ1169"/>
  <c r="V1169"/>
  <c r="R1169"/>
  <c r="Q1169"/>
  <c r="AK1168"/>
  <c r="AJ1168"/>
  <c r="V1168"/>
  <c r="R1168"/>
  <c r="Q1168"/>
  <c r="AI1167"/>
  <c r="AH1167"/>
  <c r="AG1167"/>
  <c r="AF1167"/>
  <c r="AE1167"/>
  <c r="AD1167"/>
  <c r="AC1167"/>
  <c r="AB1167"/>
  <c r="AA1167"/>
  <c r="Z1167"/>
  <c r="Y1167"/>
  <c r="X1167"/>
  <c r="P1167"/>
  <c r="O1167"/>
  <c r="N1167"/>
  <c r="M1167"/>
  <c r="L1167"/>
  <c r="K1167"/>
  <c r="J1167"/>
  <c r="I1167"/>
  <c r="H1167"/>
  <c r="G1167"/>
  <c r="F1167"/>
  <c r="E1167"/>
  <c r="AI1166"/>
  <c r="AH1166"/>
  <c r="AG1166"/>
  <c r="AF1166"/>
  <c r="AE1166"/>
  <c r="AD1166"/>
  <c r="AC1166"/>
  <c r="AB1166"/>
  <c r="AA1166"/>
  <c r="Z1166"/>
  <c r="Y1166"/>
  <c r="X1166"/>
  <c r="P1166"/>
  <c r="O1166"/>
  <c r="N1166"/>
  <c r="M1166"/>
  <c r="L1166"/>
  <c r="K1166"/>
  <c r="J1166"/>
  <c r="I1166"/>
  <c r="H1166"/>
  <c r="G1166"/>
  <c r="F1166"/>
  <c r="E1166"/>
  <c r="AK1165"/>
  <c r="AJ1165"/>
  <c r="AJ1167" s="1"/>
  <c r="R1165"/>
  <c r="Q1165"/>
  <c r="Q1167" s="1"/>
  <c r="AK1164"/>
  <c r="AJ1164"/>
  <c r="V1164"/>
  <c r="R1164"/>
  <c r="Q1164"/>
  <c r="AK1163"/>
  <c r="AJ1163"/>
  <c r="V1163"/>
  <c r="R1163"/>
  <c r="Q1163"/>
  <c r="AI1162"/>
  <c r="AH1162"/>
  <c r="AG1162"/>
  <c r="AF1162"/>
  <c r="AE1162"/>
  <c r="AD1162"/>
  <c r="AC1162"/>
  <c r="AB1162"/>
  <c r="AA1162"/>
  <c r="Z1162"/>
  <c r="Y1162"/>
  <c r="X1162"/>
  <c r="P1162"/>
  <c r="O1162"/>
  <c r="N1162"/>
  <c r="M1162"/>
  <c r="L1162"/>
  <c r="K1162"/>
  <c r="J1162"/>
  <c r="I1162"/>
  <c r="H1162"/>
  <c r="G1162"/>
  <c r="F1162"/>
  <c r="E1162"/>
  <c r="AI1161"/>
  <c r="AH1161"/>
  <c r="AG1161"/>
  <c r="AF1161"/>
  <c r="AE1161"/>
  <c r="AD1161"/>
  <c r="AC1161"/>
  <c r="AB1161"/>
  <c r="AA1161"/>
  <c r="Z1161"/>
  <c r="Y1161"/>
  <c r="X1161"/>
  <c r="P1161"/>
  <c r="O1161"/>
  <c r="N1161"/>
  <c r="M1161"/>
  <c r="L1161"/>
  <c r="K1161"/>
  <c r="J1161"/>
  <c r="I1161"/>
  <c r="H1161"/>
  <c r="G1161"/>
  <c r="F1161"/>
  <c r="E1161"/>
  <c r="AK1160"/>
  <c r="AK1162" s="1"/>
  <c r="AJ1160"/>
  <c r="R1160"/>
  <c r="R1161" s="1"/>
  <c r="Q1160"/>
  <c r="Q1162" s="1"/>
  <c r="AK1159"/>
  <c r="AJ1159"/>
  <c r="V1159"/>
  <c r="R1159"/>
  <c r="Q1159"/>
  <c r="AK1158"/>
  <c r="AJ1158"/>
  <c r="V1158"/>
  <c r="R1158"/>
  <c r="Q1158"/>
  <c r="AI1157"/>
  <c r="AH1157"/>
  <c r="AG1157"/>
  <c r="AF1157"/>
  <c r="AE1157"/>
  <c r="AD1157"/>
  <c r="AC1157"/>
  <c r="AB1157"/>
  <c r="AA1157"/>
  <c r="Z1157"/>
  <c r="Y1157"/>
  <c r="X1157"/>
  <c r="P1157"/>
  <c r="O1157"/>
  <c r="N1157"/>
  <c r="M1157"/>
  <c r="L1157"/>
  <c r="K1157"/>
  <c r="J1157"/>
  <c r="I1157"/>
  <c r="H1157"/>
  <c r="G1157"/>
  <c r="F1157"/>
  <c r="E1157"/>
  <c r="AI1156"/>
  <c r="AH1156"/>
  <c r="AG1156"/>
  <c r="AF1156"/>
  <c r="AE1156"/>
  <c r="AD1156"/>
  <c r="AC1156"/>
  <c r="AB1156"/>
  <c r="AA1156"/>
  <c r="Z1156"/>
  <c r="Y1156"/>
  <c r="X1156"/>
  <c r="P1156"/>
  <c r="O1156"/>
  <c r="N1156"/>
  <c r="M1156"/>
  <c r="L1156"/>
  <c r="K1156"/>
  <c r="J1156"/>
  <c r="I1156"/>
  <c r="H1156"/>
  <c r="G1156"/>
  <c r="F1156"/>
  <c r="E1156"/>
  <c r="AK1155"/>
  <c r="AJ1155"/>
  <c r="AJ1157" s="1"/>
  <c r="R1155"/>
  <c r="Q1155"/>
  <c r="Q1157" s="1"/>
  <c r="AK1154"/>
  <c r="AJ1154"/>
  <c r="V1154"/>
  <c r="R1154"/>
  <c r="Q1154"/>
  <c r="AK1153"/>
  <c r="AJ1153"/>
  <c r="V1153"/>
  <c r="R1153"/>
  <c r="Q1153"/>
  <c r="AI1152"/>
  <c r="AH1152"/>
  <c r="AG1152"/>
  <c r="AF1152"/>
  <c r="AE1152"/>
  <c r="AD1152"/>
  <c r="AC1152"/>
  <c r="AB1152"/>
  <c r="AA1152"/>
  <c r="Z1152"/>
  <c r="Y1152"/>
  <c r="X1152"/>
  <c r="P1152"/>
  <c r="O1152"/>
  <c r="N1152"/>
  <c r="M1152"/>
  <c r="L1152"/>
  <c r="K1152"/>
  <c r="J1152"/>
  <c r="I1152"/>
  <c r="H1152"/>
  <c r="G1152"/>
  <c r="F1152"/>
  <c r="E1152"/>
  <c r="AI1151"/>
  <c r="AH1151"/>
  <c r="AG1151"/>
  <c r="AF1151"/>
  <c r="AE1151"/>
  <c r="AD1151"/>
  <c r="AC1151"/>
  <c r="AB1151"/>
  <c r="AA1151"/>
  <c r="Z1151"/>
  <c r="Y1151"/>
  <c r="X1151"/>
  <c r="P1151"/>
  <c r="O1151"/>
  <c r="N1151"/>
  <c r="M1151"/>
  <c r="L1151"/>
  <c r="K1151"/>
  <c r="J1151"/>
  <c r="I1151"/>
  <c r="H1151"/>
  <c r="G1151"/>
  <c r="F1151"/>
  <c r="E1151"/>
  <c r="AK1150"/>
  <c r="AK1152" s="1"/>
  <c r="AJ1150"/>
  <c r="R1150"/>
  <c r="R1151" s="1"/>
  <c r="Q1150"/>
  <c r="Q1152" s="1"/>
  <c r="AK1149"/>
  <c r="AJ1149"/>
  <c r="V1149"/>
  <c r="R1149"/>
  <c r="Q1149"/>
  <c r="AK1148"/>
  <c r="AJ1148"/>
  <c r="V1148"/>
  <c r="R1148"/>
  <c r="Q1148"/>
  <c r="AI1147"/>
  <c r="AH1147"/>
  <c r="AG1147"/>
  <c r="AF1147"/>
  <c r="AE1147"/>
  <c r="AD1147"/>
  <c r="AC1147"/>
  <c r="AB1147"/>
  <c r="AA1147"/>
  <c r="Z1147"/>
  <c r="Y1147"/>
  <c r="X1147"/>
  <c r="P1147"/>
  <c r="O1147"/>
  <c r="N1147"/>
  <c r="M1147"/>
  <c r="L1147"/>
  <c r="K1147"/>
  <c r="J1147"/>
  <c r="I1147"/>
  <c r="H1147"/>
  <c r="G1147"/>
  <c r="F1147"/>
  <c r="E1147"/>
  <c r="AI1146"/>
  <c r="AH1146"/>
  <c r="AG1146"/>
  <c r="AF1146"/>
  <c r="AE1146"/>
  <c r="AD1146"/>
  <c r="AC1146"/>
  <c r="AB1146"/>
  <c r="AA1146"/>
  <c r="Z1146"/>
  <c r="Y1146"/>
  <c r="X1146"/>
  <c r="P1146"/>
  <c r="O1146"/>
  <c r="N1146"/>
  <c r="M1146"/>
  <c r="L1146"/>
  <c r="K1146"/>
  <c r="J1146"/>
  <c r="I1146"/>
  <c r="H1146"/>
  <c r="G1146"/>
  <c r="F1146"/>
  <c r="E1146"/>
  <c r="AK1145"/>
  <c r="AJ1145"/>
  <c r="AJ1147" s="1"/>
  <c r="R1145"/>
  <c r="Q1145"/>
  <c r="Q1147" s="1"/>
  <c r="AK1144"/>
  <c r="AJ1144"/>
  <c r="V1144"/>
  <c r="R1144"/>
  <c r="Q1144"/>
  <c r="AK1143"/>
  <c r="AJ1143"/>
  <c r="V1143"/>
  <c r="R1143"/>
  <c r="Q1143"/>
  <c r="AI1142"/>
  <c r="AH1142"/>
  <c r="AG1142"/>
  <c r="AF1142"/>
  <c r="AE1142"/>
  <c r="AD1142"/>
  <c r="AC1142"/>
  <c r="AB1142"/>
  <c r="AA1142"/>
  <c r="Z1142"/>
  <c r="Y1142"/>
  <c r="X1142"/>
  <c r="P1142"/>
  <c r="O1142"/>
  <c r="N1142"/>
  <c r="M1142"/>
  <c r="L1142"/>
  <c r="K1142"/>
  <c r="J1142"/>
  <c r="I1142"/>
  <c r="H1142"/>
  <c r="G1142"/>
  <c r="F1142"/>
  <c r="E1142"/>
  <c r="AI1141"/>
  <c r="AH1141"/>
  <c r="AG1141"/>
  <c r="AF1141"/>
  <c r="AE1141"/>
  <c r="AD1141"/>
  <c r="AC1141"/>
  <c r="AB1141"/>
  <c r="AA1141"/>
  <c r="Z1141"/>
  <c r="Y1141"/>
  <c r="X1141"/>
  <c r="P1141"/>
  <c r="O1141"/>
  <c r="N1141"/>
  <c r="M1141"/>
  <c r="L1141"/>
  <c r="K1141"/>
  <c r="J1141"/>
  <c r="I1141"/>
  <c r="H1141"/>
  <c r="G1141"/>
  <c r="F1141"/>
  <c r="E1141"/>
  <c r="AK1140"/>
  <c r="AK1142" s="1"/>
  <c r="AJ1140"/>
  <c r="R1140"/>
  <c r="R1141" s="1"/>
  <c r="Q1140"/>
  <c r="Q1142" s="1"/>
  <c r="AK1139"/>
  <c r="AJ1139"/>
  <c r="V1139"/>
  <c r="R1139"/>
  <c r="Q1139"/>
  <c r="AK1138"/>
  <c r="AJ1138"/>
  <c r="V1138"/>
  <c r="R1138"/>
  <c r="Q1138"/>
  <c r="AI1137"/>
  <c r="AH1137"/>
  <c r="AG1137"/>
  <c r="AF1137"/>
  <c r="AE1137"/>
  <c r="AD1137"/>
  <c r="AC1137"/>
  <c r="AB1137"/>
  <c r="AA1137"/>
  <c r="Z1137"/>
  <c r="Y1137"/>
  <c r="X1137"/>
  <c r="P1137"/>
  <c r="O1137"/>
  <c r="N1137"/>
  <c r="M1137"/>
  <c r="L1137"/>
  <c r="K1137"/>
  <c r="J1137"/>
  <c r="I1137"/>
  <c r="H1137"/>
  <c r="G1137"/>
  <c r="F1137"/>
  <c r="E1137"/>
  <c r="AI1136"/>
  <c r="AH1136"/>
  <c r="AG1136"/>
  <c r="AF1136"/>
  <c r="AE1136"/>
  <c r="AD1136"/>
  <c r="AC1136"/>
  <c r="AB1136"/>
  <c r="AA1136"/>
  <c r="Z1136"/>
  <c r="Y1136"/>
  <c r="X1136"/>
  <c r="P1136"/>
  <c r="O1136"/>
  <c r="N1136"/>
  <c r="M1136"/>
  <c r="L1136"/>
  <c r="K1136"/>
  <c r="J1136"/>
  <c r="I1136"/>
  <c r="H1136"/>
  <c r="G1136"/>
  <c r="F1136"/>
  <c r="E1136"/>
  <c r="AK1135"/>
  <c r="AJ1135"/>
  <c r="AJ1137" s="1"/>
  <c r="R1135"/>
  <c r="Q1135"/>
  <c r="Q1137" s="1"/>
  <c r="AK1134"/>
  <c r="AJ1134"/>
  <c r="V1134"/>
  <c r="R1134"/>
  <c r="Q1134"/>
  <c r="AK1133"/>
  <c r="AJ1133"/>
  <c r="V1133"/>
  <c r="R1133"/>
  <c r="Q1133"/>
  <c r="N1132"/>
  <c r="F1132"/>
  <c r="AI1130"/>
  <c r="AH1130"/>
  <c r="AH1132" s="1"/>
  <c r="AG1130"/>
  <c r="AG1132" s="1"/>
  <c r="AF1130"/>
  <c r="AF1132" s="1"/>
  <c r="AE1130"/>
  <c r="AD1130"/>
  <c r="AD1132" s="1"/>
  <c r="AC1130"/>
  <c r="AC1132" s="1"/>
  <c r="AB1130"/>
  <c r="AB1132" s="1"/>
  <c r="AA1130"/>
  <c r="AA1131" s="1"/>
  <c r="Z1130"/>
  <c r="Z1132" s="1"/>
  <c r="Y1130"/>
  <c r="Y1132" s="1"/>
  <c r="X1130"/>
  <c r="X1132" s="1"/>
  <c r="R1130"/>
  <c r="R1132" s="1"/>
  <c r="P1130"/>
  <c r="P1132" s="1"/>
  <c r="O1130"/>
  <c r="O1132" s="1"/>
  <c r="N1130"/>
  <c r="M1130"/>
  <c r="M1132" s="1"/>
  <c r="L1130"/>
  <c r="L1132" s="1"/>
  <c r="K1130"/>
  <c r="K1132" s="1"/>
  <c r="J1130"/>
  <c r="J1132" s="1"/>
  <c r="I1130"/>
  <c r="I1132" s="1"/>
  <c r="H1130"/>
  <c r="H1132" s="1"/>
  <c r="G1130"/>
  <c r="G1132" s="1"/>
  <c r="F1130"/>
  <c r="E1130"/>
  <c r="E1132" s="1"/>
  <c r="AI1129"/>
  <c r="AH1129"/>
  <c r="AG1129"/>
  <c r="AF1129"/>
  <c r="AE1129"/>
  <c r="AD1129"/>
  <c r="AC1129"/>
  <c r="AB1129"/>
  <c r="AA1129"/>
  <c r="Z1129"/>
  <c r="Y1129"/>
  <c r="X1129"/>
  <c r="AJ1129" s="1"/>
  <c r="P1129"/>
  <c r="O1129"/>
  <c r="N1129"/>
  <c r="N1131" s="1"/>
  <c r="M1129"/>
  <c r="L1129"/>
  <c r="K1129"/>
  <c r="J1129"/>
  <c r="J1131" s="1"/>
  <c r="I1129"/>
  <c r="H1129"/>
  <c r="G1129"/>
  <c r="F1129"/>
  <c r="R1129" s="1"/>
  <c r="R1131" s="1"/>
  <c r="E1129"/>
  <c r="AI1128"/>
  <c r="AH1128"/>
  <c r="AG1128"/>
  <c r="AF1128"/>
  <c r="AE1128"/>
  <c r="AD1128"/>
  <c r="AC1128"/>
  <c r="AB1128"/>
  <c r="AA1128"/>
  <c r="Z1128"/>
  <c r="Y1128"/>
  <c r="AK1128" s="1"/>
  <c r="X1128"/>
  <c r="R1128"/>
  <c r="P1128"/>
  <c r="O1128"/>
  <c r="N1128"/>
  <c r="M1128"/>
  <c r="L1128"/>
  <c r="K1128"/>
  <c r="J1128"/>
  <c r="I1128"/>
  <c r="H1128"/>
  <c r="G1128"/>
  <c r="F1128"/>
  <c r="E1128"/>
  <c r="Q1128" s="1"/>
  <c r="AI1127"/>
  <c r="AH1127"/>
  <c r="AG1127"/>
  <c r="AF1127"/>
  <c r="AE1127"/>
  <c r="AD1127"/>
  <c r="AC1127"/>
  <c r="AB1127"/>
  <c r="AA1127"/>
  <c r="Z1127"/>
  <c r="Y1127"/>
  <c r="X1127"/>
  <c r="P1127"/>
  <c r="O1127"/>
  <c r="N1127"/>
  <c r="M1127"/>
  <c r="L1127"/>
  <c r="K1127"/>
  <c r="J1127"/>
  <c r="I1127"/>
  <c r="H1127"/>
  <c r="G1127"/>
  <c r="F1127"/>
  <c r="E1127"/>
  <c r="AI1126"/>
  <c r="AH1126"/>
  <c r="AG1126"/>
  <c r="AF1126"/>
  <c r="AE1126"/>
  <c r="AD1126"/>
  <c r="AC1126"/>
  <c r="AB1126"/>
  <c r="AA1126"/>
  <c r="Z1126"/>
  <c r="Y1126"/>
  <c r="X1126"/>
  <c r="R1126"/>
  <c r="P1126"/>
  <c r="O1126"/>
  <c r="N1126"/>
  <c r="M1126"/>
  <c r="L1126"/>
  <c r="K1126"/>
  <c r="J1126"/>
  <c r="I1126"/>
  <c r="H1126"/>
  <c r="G1126"/>
  <c r="F1126"/>
  <c r="E1126"/>
  <c r="AK1125"/>
  <c r="AK1127" s="1"/>
  <c r="AJ1125"/>
  <c r="AJ1127" s="1"/>
  <c r="R1125"/>
  <c r="R1127" s="1"/>
  <c r="Q1125"/>
  <c r="Q1127" s="1"/>
  <c r="AK1124"/>
  <c r="AJ1124"/>
  <c r="V1124"/>
  <c r="R1124"/>
  <c r="Q1124"/>
  <c r="AK1123"/>
  <c r="AJ1123"/>
  <c r="V1123"/>
  <c r="R1123"/>
  <c r="Q1123"/>
  <c r="AI1122"/>
  <c r="AH1122"/>
  <c r="AG1122"/>
  <c r="AF1122"/>
  <c r="AE1122"/>
  <c r="AD1122"/>
  <c r="AC1122"/>
  <c r="AB1122"/>
  <c r="AA1122"/>
  <c r="Z1122"/>
  <c r="Y1122"/>
  <c r="X1122"/>
  <c r="P1122"/>
  <c r="O1122"/>
  <c r="N1122"/>
  <c r="M1122"/>
  <c r="L1122"/>
  <c r="K1122"/>
  <c r="J1122"/>
  <c r="I1122"/>
  <c r="H1122"/>
  <c r="G1122"/>
  <c r="F1122"/>
  <c r="E1122"/>
  <c r="AK1121"/>
  <c r="AI1121"/>
  <c r="AH1121"/>
  <c r="AG1121"/>
  <c r="AF1121"/>
  <c r="AE1121"/>
  <c r="AD1121"/>
  <c r="AC1121"/>
  <c r="AB1121"/>
  <c r="AA1121"/>
  <c r="Z1121"/>
  <c r="Y1121"/>
  <c r="X1121"/>
  <c r="P1121"/>
  <c r="O1121"/>
  <c r="N1121"/>
  <c r="M1121"/>
  <c r="L1121"/>
  <c r="K1121"/>
  <c r="J1121"/>
  <c r="I1121"/>
  <c r="H1121"/>
  <c r="G1121"/>
  <c r="F1121"/>
  <c r="E1121"/>
  <c r="AK1120"/>
  <c r="AK1122" s="1"/>
  <c r="AJ1120"/>
  <c r="AJ1122" s="1"/>
  <c r="R1120"/>
  <c r="Q1120"/>
  <c r="Q1122" s="1"/>
  <c r="AK1119"/>
  <c r="AJ1119"/>
  <c r="V1119"/>
  <c r="R1119"/>
  <c r="Q1119"/>
  <c r="AK1118"/>
  <c r="AJ1118"/>
  <c r="V1118"/>
  <c r="R1118"/>
  <c r="Q1118"/>
  <c r="AI1117"/>
  <c r="AH1117"/>
  <c r="AG1117"/>
  <c r="AF1117"/>
  <c r="AE1117"/>
  <c r="AD1117"/>
  <c r="AC1117"/>
  <c r="AB1117"/>
  <c r="AA1117"/>
  <c r="Z1117"/>
  <c r="Y1117"/>
  <c r="X1117"/>
  <c r="P1117"/>
  <c r="O1117"/>
  <c r="N1117"/>
  <c r="M1117"/>
  <c r="L1117"/>
  <c r="K1117"/>
  <c r="J1117"/>
  <c r="I1117"/>
  <c r="H1117"/>
  <c r="G1117"/>
  <c r="F1117"/>
  <c r="E1117"/>
  <c r="AI1116"/>
  <c r="AH1116"/>
  <c r="AG1116"/>
  <c r="AF1116"/>
  <c r="AE1116"/>
  <c r="AD1116"/>
  <c r="AC1116"/>
  <c r="AB1116"/>
  <c r="AA1116"/>
  <c r="Z1116"/>
  <c r="Y1116"/>
  <c r="X1116"/>
  <c r="R1116"/>
  <c r="P1116"/>
  <c r="O1116"/>
  <c r="N1116"/>
  <c r="M1116"/>
  <c r="L1116"/>
  <c r="K1116"/>
  <c r="J1116"/>
  <c r="I1116"/>
  <c r="H1116"/>
  <c r="G1116"/>
  <c r="F1116"/>
  <c r="E1116"/>
  <c r="AK1115"/>
  <c r="AK1117" s="1"/>
  <c r="AJ1115"/>
  <c r="AJ1117" s="1"/>
  <c r="R1115"/>
  <c r="R1117" s="1"/>
  <c r="Q1115"/>
  <c r="Q1117" s="1"/>
  <c r="AK1114"/>
  <c r="AJ1114"/>
  <c r="V1114"/>
  <c r="R1114"/>
  <c r="Q1114"/>
  <c r="AK1113"/>
  <c r="AJ1113"/>
  <c r="V1113"/>
  <c r="R1113"/>
  <c r="Q1113"/>
  <c r="AI1112"/>
  <c r="AH1112"/>
  <c r="AG1112"/>
  <c r="AF1112"/>
  <c r="AE1112"/>
  <c r="AD1112"/>
  <c r="AC1112"/>
  <c r="AB1112"/>
  <c r="AA1112"/>
  <c r="Z1112"/>
  <c r="Y1112"/>
  <c r="X1112"/>
  <c r="P1112"/>
  <c r="O1112"/>
  <c r="N1112"/>
  <c r="M1112"/>
  <c r="L1112"/>
  <c r="K1112"/>
  <c r="J1112"/>
  <c r="I1112"/>
  <c r="H1112"/>
  <c r="G1112"/>
  <c r="F1112"/>
  <c r="E1112"/>
  <c r="AK1111"/>
  <c r="AI1111"/>
  <c r="AH1111"/>
  <c r="AG1111"/>
  <c r="AF1111"/>
  <c r="AE1111"/>
  <c r="AD1111"/>
  <c r="AC1111"/>
  <c r="AB1111"/>
  <c r="AA1111"/>
  <c r="Z1111"/>
  <c r="Y1111"/>
  <c r="X1111"/>
  <c r="P1111"/>
  <c r="O1111"/>
  <c r="N1111"/>
  <c r="M1111"/>
  <c r="L1111"/>
  <c r="K1111"/>
  <c r="J1111"/>
  <c r="I1111"/>
  <c r="H1111"/>
  <c r="G1111"/>
  <c r="F1111"/>
  <c r="E1111"/>
  <c r="AK1110"/>
  <c r="AK1112" s="1"/>
  <c r="AJ1110"/>
  <c r="AJ1112" s="1"/>
  <c r="R1110"/>
  <c r="Q1110"/>
  <c r="Q1112" s="1"/>
  <c r="AK1109"/>
  <c r="AJ1109"/>
  <c r="V1109"/>
  <c r="R1109"/>
  <c r="Q1109"/>
  <c r="AK1108"/>
  <c r="AJ1108"/>
  <c r="V1108"/>
  <c r="R1108"/>
  <c r="Q1108"/>
  <c r="AI1107"/>
  <c r="AH1107"/>
  <c r="AG1107"/>
  <c r="AF1107"/>
  <c r="AE1107"/>
  <c r="AD1107"/>
  <c r="AC1107"/>
  <c r="AB1107"/>
  <c r="AA1107"/>
  <c r="Z1107"/>
  <c r="Y1107"/>
  <c r="X1107"/>
  <c r="P1107"/>
  <c r="O1107"/>
  <c r="N1107"/>
  <c r="M1107"/>
  <c r="L1107"/>
  <c r="K1107"/>
  <c r="J1107"/>
  <c r="I1107"/>
  <c r="H1107"/>
  <c r="G1107"/>
  <c r="F1107"/>
  <c r="E1107"/>
  <c r="AI1106"/>
  <c r="AH1106"/>
  <c r="AG1106"/>
  <c r="AF1106"/>
  <c r="AE1106"/>
  <c r="AD1106"/>
  <c r="AC1106"/>
  <c r="AB1106"/>
  <c r="AA1106"/>
  <c r="Z1106"/>
  <c r="Y1106"/>
  <c r="X1106"/>
  <c r="R1106"/>
  <c r="P1106"/>
  <c r="O1106"/>
  <c r="N1106"/>
  <c r="M1106"/>
  <c r="L1106"/>
  <c r="K1106"/>
  <c r="J1106"/>
  <c r="I1106"/>
  <c r="H1106"/>
  <c r="G1106"/>
  <c r="F1106"/>
  <c r="E1106"/>
  <c r="AK1105"/>
  <c r="AK1107" s="1"/>
  <c r="AJ1105"/>
  <c r="AJ1107" s="1"/>
  <c r="R1105"/>
  <c r="R1107" s="1"/>
  <c r="Q1105"/>
  <c r="Q1107" s="1"/>
  <c r="AK1104"/>
  <c r="AJ1104"/>
  <c r="V1104"/>
  <c r="R1104"/>
  <c r="Q1104"/>
  <c r="AK1103"/>
  <c r="AJ1103"/>
  <c r="V1103"/>
  <c r="R1103"/>
  <c r="Q1103"/>
  <c r="AI1102"/>
  <c r="AH1102"/>
  <c r="AG1102"/>
  <c r="AF1102"/>
  <c r="AE1102"/>
  <c r="AD1102"/>
  <c r="AC1102"/>
  <c r="AB1102"/>
  <c r="AA1102"/>
  <c r="Z1102"/>
  <c r="Y1102"/>
  <c r="X1102"/>
  <c r="P1102"/>
  <c r="O1102"/>
  <c r="N1102"/>
  <c r="M1102"/>
  <c r="L1102"/>
  <c r="K1102"/>
  <c r="J1102"/>
  <c r="I1102"/>
  <c r="H1102"/>
  <c r="G1102"/>
  <c r="F1102"/>
  <c r="E1102"/>
  <c r="AK1101"/>
  <c r="AI1101"/>
  <c r="AH1101"/>
  <c r="AG1101"/>
  <c r="AF1101"/>
  <c r="AE1101"/>
  <c r="AD1101"/>
  <c r="AC1101"/>
  <c r="AB1101"/>
  <c r="AA1101"/>
  <c r="Z1101"/>
  <c r="Y1101"/>
  <c r="X1101"/>
  <c r="P1101"/>
  <c r="O1101"/>
  <c r="N1101"/>
  <c r="M1101"/>
  <c r="L1101"/>
  <c r="K1101"/>
  <c r="J1101"/>
  <c r="I1101"/>
  <c r="H1101"/>
  <c r="G1101"/>
  <c r="F1101"/>
  <c r="E1101"/>
  <c r="AK1100"/>
  <c r="AK1102" s="1"/>
  <c r="AJ1100"/>
  <c r="AJ1102" s="1"/>
  <c r="R1100"/>
  <c r="Q1100"/>
  <c r="Q1102" s="1"/>
  <c r="AK1099"/>
  <c r="AJ1099"/>
  <c r="V1099"/>
  <c r="R1099"/>
  <c r="Q1099"/>
  <c r="AK1098"/>
  <c r="AJ1098"/>
  <c r="V1098"/>
  <c r="R1098"/>
  <c r="Q1098"/>
  <c r="AI1097"/>
  <c r="AH1097"/>
  <c r="AG1097"/>
  <c r="AF1097"/>
  <c r="AE1097"/>
  <c r="AD1097"/>
  <c r="AC1097"/>
  <c r="AB1097"/>
  <c r="AA1097"/>
  <c r="Z1097"/>
  <c r="Y1097"/>
  <c r="X1097"/>
  <c r="P1097"/>
  <c r="O1097"/>
  <c r="N1097"/>
  <c r="M1097"/>
  <c r="L1097"/>
  <c r="K1097"/>
  <c r="J1097"/>
  <c r="I1097"/>
  <c r="H1097"/>
  <c r="G1097"/>
  <c r="F1097"/>
  <c r="E1097"/>
  <c r="AI1096"/>
  <c r="AH1096"/>
  <c r="AG1096"/>
  <c r="AF1096"/>
  <c r="AE1096"/>
  <c r="AD1096"/>
  <c r="AC1096"/>
  <c r="AB1096"/>
  <c r="AA1096"/>
  <c r="Z1096"/>
  <c r="Y1096"/>
  <c r="X1096"/>
  <c r="R1096"/>
  <c r="P1096"/>
  <c r="O1096"/>
  <c r="N1096"/>
  <c r="M1096"/>
  <c r="L1096"/>
  <c r="K1096"/>
  <c r="J1096"/>
  <c r="I1096"/>
  <c r="H1096"/>
  <c r="G1096"/>
  <c r="F1096"/>
  <c r="E1096"/>
  <c r="AK1095"/>
  <c r="AK1097" s="1"/>
  <c r="AJ1095"/>
  <c r="AJ1097" s="1"/>
  <c r="R1095"/>
  <c r="R1097" s="1"/>
  <c r="Q1095"/>
  <c r="Q1097" s="1"/>
  <c r="AK1094"/>
  <c r="AJ1094"/>
  <c r="V1094"/>
  <c r="R1094"/>
  <c r="Q1094"/>
  <c r="AK1093"/>
  <c r="AJ1093"/>
  <c r="V1093"/>
  <c r="R1093"/>
  <c r="Q1093"/>
  <c r="AK1092"/>
  <c r="AI1092"/>
  <c r="AH1092"/>
  <c r="AG1092"/>
  <c r="AF1092"/>
  <c r="AE1092"/>
  <c r="AD1092"/>
  <c r="AC1092"/>
  <c r="AB1092"/>
  <c r="AA1092"/>
  <c r="Z1092"/>
  <c r="Y1092"/>
  <c r="X1092"/>
  <c r="P1092"/>
  <c r="O1092"/>
  <c r="N1092"/>
  <c r="M1092"/>
  <c r="L1092"/>
  <c r="K1092"/>
  <c r="J1092"/>
  <c r="I1092"/>
  <c r="H1092"/>
  <c r="G1092"/>
  <c r="F1092"/>
  <c r="E1092"/>
  <c r="AK1091"/>
  <c r="AI1091"/>
  <c r="AH1091"/>
  <c r="AG1091"/>
  <c r="AF1091"/>
  <c r="AE1091"/>
  <c r="AD1091"/>
  <c r="AC1091"/>
  <c r="AB1091"/>
  <c r="AA1091"/>
  <c r="Z1091"/>
  <c r="Y1091"/>
  <c r="X1091"/>
  <c r="P1091"/>
  <c r="O1091"/>
  <c r="N1091"/>
  <c r="M1091"/>
  <c r="L1091"/>
  <c r="K1091"/>
  <c r="J1091"/>
  <c r="I1091"/>
  <c r="H1091"/>
  <c r="G1091"/>
  <c r="F1091"/>
  <c r="E1091"/>
  <c r="AK1090"/>
  <c r="AJ1090"/>
  <c r="AJ1092" s="1"/>
  <c r="R1090"/>
  <c r="R1092" s="1"/>
  <c r="Q1090"/>
  <c r="Q1092" s="1"/>
  <c r="AK1089"/>
  <c r="AJ1089"/>
  <c r="V1089"/>
  <c r="R1089"/>
  <c r="Q1089"/>
  <c r="AK1088"/>
  <c r="AJ1088"/>
  <c r="V1088"/>
  <c r="R1088"/>
  <c r="Q1088"/>
  <c r="AI1087"/>
  <c r="AH1087"/>
  <c r="AG1087"/>
  <c r="AF1087"/>
  <c r="AE1087"/>
  <c r="AD1087"/>
  <c r="AC1087"/>
  <c r="AB1087"/>
  <c r="AA1087"/>
  <c r="Z1087"/>
  <c r="Y1087"/>
  <c r="X1087"/>
  <c r="P1087"/>
  <c r="O1087"/>
  <c r="N1087"/>
  <c r="M1087"/>
  <c r="L1087"/>
  <c r="K1087"/>
  <c r="J1087"/>
  <c r="I1087"/>
  <c r="H1087"/>
  <c r="G1087"/>
  <c r="F1087"/>
  <c r="E1087"/>
  <c r="AI1086"/>
  <c r="AH1086"/>
  <c r="AG1086"/>
  <c r="AF1086"/>
  <c r="AE1086"/>
  <c r="AD1086"/>
  <c r="AC1086"/>
  <c r="AB1086"/>
  <c r="AA1086"/>
  <c r="Z1086"/>
  <c r="Y1086"/>
  <c r="X1086"/>
  <c r="R1086"/>
  <c r="P1086"/>
  <c r="O1086"/>
  <c r="N1086"/>
  <c r="M1086"/>
  <c r="L1086"/>
  <c r="K1086"/>
  <c r="J1086"/>
  <c r="I1086"/>
  <c r="H1086"/>
  <c r="G1086"/>
  <c r="F1086"/>
  <c r="E1086"/>
  <c r="AK1085"/>
  <c r="AK1087" s="1"/>
  <c r="AJ1085"/>
  <c r="AJ1087" s="1"/>
  <c r="R1085"/>
  <c r="R1087" s="1"/>
  <c r="Q1085"/>
  <c r="Q1087" s="1"/>
  <c r="AK1084"/>
  <c r="AJ1084"/>
  <c r="V1084"/>
  <c r="R1084"/>
  <c r="Q1084"/>
  <c r="AK1083"/>
  <c r="AJ1083"/>
  <c r="V1083"/>
  <c r="R1083"/>
  <c r="Q1083"/>
  <c r="AK1082"/>
  <c r="AI1082"/>
  <c r="AH1082"/>
  <c r="AG1082"/>
  <c r="AF1082"/>
  <c r="AE1082"/>
  <c r="AD1082"/>
  <c r="AC1082"/>
  <c r="AB1082"/>
  <c r="AA1082"/>
  <c r="Z1082"/>
  <c r="Y1082"/>
  <c r="X1082"/>
  <c r="P1082"/>
  <c r="O1082"/>
  <c r="N1082"/>
  <c r="M1082"/>
  <c r="L1082"/>
  <c r="K1082"/>
  <c r="J1082"/>
  <c r="I1082"/>
  <c r="H1082"/>
  <c r="G1082"/>
  <c r="F1082"/>
  <c r="E1082"/>
  <c r="AK1081"/>
  <c r="AI1081"/>
  <c r="AH1081"/>
  <c r="AG1081"/>
  <c r="AF1081"/>
  <c r="AE1081"/>
  <c r="AD1081"/>
  <c r="AC1081"/>
  <c r="AB1081"/>
  <c r="AA1081"/>
  <c r="Z1081"/>
  <c r="Y1081"/>
  <c r="X1081"/>
  <c r="P1081"/>
  <c r="O1081"/>
  <c r="N1081"/>
  <c r="M1081"/>
  <c r="L1081"/>
  <c r="K1081"/>
  <c r="J1081"/>
  <c r="I1081"/>
  <c r="H1081"/>
  <c r="G1081"/>
  <c r="F1081"/>
  <c r="E1081"/>
  <c r="AK1080"/>
  <c r="AJ1080"/>
  <c r="AJ1082" s="1"/>
  <c r="R1080"/>
  <c r="R1082" s="1"/>
  <c r="Q1080"/>
  <c r="Q1082" s="1"/>
  <c r="AK1079"/>
  <c r="AJ1079"/>
  <c r="V1079"/>
  <c r="R1079"/>
  <c r="Q1079"/>
  <c r="AK1078"/>
  <c r="AJ1078"/>
  <c r="V1078"/>
  <c r="R1078"/>
  <c r="Q1078"/>
  <c r="AI1077"/>
  <c r="AH1077"/>
  <c r="AG1077"/>
  <c r="AF1077"/>
  <c r="AE1077"/>
  <c r="AD1077"/>
  <c r="AC1077"/>
  <c r="AB1077"/>
  <c r="AA1077"/>
  <c r="Z1077"/>
  <c r="Y1077"/>
  <c r="X1077"/>
  <c r="P1077"/>
  <c r="O1077"/>
  <c r="N1077"/>
  <c r="M1077"/>
  <c r="L1077"/>
  <c r="K1077"/>
  <c r="J1077"/>
  <c r="I1077"/>
  <c r="H1077"/>
  <c r="G1077"/>
  <c r="F1077"/>
  <c r="E1077"/>
  <c r="AK1076"/>
  <c r="AI1076"/>
  <c r="AH1076"/>
  <c r="AG1076"/>
  <c r="AF1076"/>
  <c r="AE1076"/>
  <c r="AD1076"/>
  <c r="AC1076"/>
  <c r="AB1076"/>
  <c r="AA1076"/>
  <c r="Z1076"/>
  <c r="Y1076"/>
  <c r="X1076"/>
  <c r="P1076"/>
  <c r="O1076"/>
  <c r="N1076"/>
  <c r="M1076"/>
  <c r="L1076"/>
  <c r="K1076"/>
  <c r="J1076"/>
  <c r="I1076"/>
  <c r="H1076"/>
  <c r="G1076"/>
  <c r="F1076"/>
  <c r="E1076"/>
  <c r="AK1075"/>
  <c r="AK1077" s="1"/>
  <c r="AJ1075"/>
  <c r="R1075"/>
  <c r="Q1075"/>
  <c r="Q1077" s="1"/>
  <c r="AK1074"/>
  <c r="AJ1074"/>
  <c r="V1074"/>
  <c r="R1074"/>
  <c r="Q1074"/>
  <c r="AK1073"/>
  <c r="AJ1073"/>
  <c r="V1073"/>
  <c r="R1073"/>
  <c r="Q1073"/>
  <c r="AI1072"/>
  <c r="AH1072"/>
  <c r="AG1072"/>
  <c r="AF1072"/>
  <c r="AE1072"/>
  <c r="AD1072"/>
  <c r="AC1072"/>
  <c r="AB1072"/>
  <c r="AA1072"/>
  <c r="Z1072"/>
  <c r="Y1072"/>
  <c r="X1072"/>
  <c r="P1072"/>
  <c r="O1072"/>
  <c r="N1072"/>
  <c r="M1072"/>
  <c r="L1072"/>
  <c r="K1072"/>
  <c r="J1072"/>
  <c r="I1072"/>
  <c r="H1072"/>
  <c r="G1072"/>
  <c r="F1072"/>
  <c r="E1072"/>
  <c r="AI1071"/>
  <c r="AH1071"/>
  <c r="AG1071"/>
  <c r="AF1071"/>
  <c r="AE1071"/>
  <c r="AD1071"/>
  <c r="AC1071"/>
  <c r="AB1071"/>
  <c r="AA1071"/>
  <c r="Z1071"/>
  <c r="Y1071"/>
  <c r="X1071"/>
  <c r="P1071"/>
  <c r="O1071"/>
  <c r="N1071"/>
  <c r="M1071"/>
  <c r="L1071"/>
  <c r="K1071"/>
  <c r="J1071"/>
  <c r="I1071"/>
  <c r="H1071"/>
  <c r="G1071"/>
  <c r="F1071"/>
  <c r="E1071"/>
  <c r="AK1070"/>
  <c r="AK1072" s="1"/>
  <c r="AJ1070"/>
  <c r="R1070"/>
  <c r="R1071" s="1"/>
  <c r="Q1070"/>
  <c r="Q1072" s="1"/>
  <c r="AK1069"/>
  <c r="AJ1069"/>
  <c r="V1069"/>
  <c r="R1069"/>
  <c r="Q1069"/>
  <c r="AK1068"/>
  <c r="AJ1068"/>
  <c r="V1068"/>
  <c r="R1068"/>
  <c r="Q1068"/>
  <c r="AI1067"/>
  <c r="AH1067"/>
  <c r="AG1067"/>
  <c r="AF1067"/>
  <c r="AE1067"/>
  <c r="AD1067"/>
  <c r="AC1067"/>
  <c r="AB1067"/>
  <c r="AA1067"/>
  <c r="Z1067"/>
  <c r="Y1067"/>
  <c r="X1067"/>
  <c r="P1067"/>
  <c r="O1067"/>
  <c r="N1067"/>
  <c r="M1067"/>
  <c r="L1067"/>
  <c r="K1067"/>
  <c r="J1067"/>
  <c r="I1067"/>
  <c r="H1067"/>
  <c r="G1067"/>
  <c r="F1067"/>
  <c r="E1067"/>
  <c r="AI1066"/>
  <c r="AH1066"/>
  <c r="AG1066"/>
  <c r="AF1066"/>
  <c r="AE1066"/>
  <c r="AD1066"/>
  <c r="AC1066"/>
  <c r="AB1066"/>
  <c r="AA1066"/>
  <c r="Z1066"/>
  <c r="Y1066"/>
  <c r="X1066"/>
  <c r="P1066"/>
  <c r="O1066"/>
  <c r="N1066"/>
  <c r="M1066"/>
  <c r="L1066"/>
  <c r="K1066"/>
  <c r="J1066"/>
  <c r="I1066"/>
  <c r="H1066"/>
  <c r="G1066"/>
  <c r="F1066"/>
  <c r="E1066"/>
  <c r="AK1065"/>
  <c r="AK1067" s="1"/>
  <c r="AJ1065"/>
  <c r="R1065"/>
  <c r="R1067" s="1"/>
  <c r="Q1065"/>
  <c r="Q1067" s="1"/>
  <c r="AK1064"/>
  <c r="AJ1064"/>
  <c r="V1064"/>
  <c r="R1064"/>
  <c r="Q1064"/>
  <c r="AK1063"/>
  <c r="AJ1063"/>
  <c r="V1063"/>
  <c r="R1063"/>
  <c r="Q1063"/>
  <c r="AI1062"/>
  <c r="AH1062"/>
  <c r="AG1062"/>
  <c r="AF1062"/>
  <c r="AE1062"/>
  <c r="AD1062"/>
  <c r="AC1062"/>
  <c r="AB1062"/>
  <c r="AA1062"/>
  <c r="Z1062"/>
  <c r="Y1062"/>
  <c r="X1062"/>
  <c r="P1062"/>
  <c r="O1062"/>
  <c r="N1062"/>
  <c r="M1062"/>
  <c r="L1062"/>
  <c r="K1062"/>
  <c r="J1062"/>
  <c r="I1062"/>
  <c r="H1062"/>
  <c r="G1062"/>
  <c r="F1062"/>
  <c r="E1062"/>
  <c r="AI1061"/>
  <c r="AH1061"/>
  <c r="AG1061"/>
  <c r="AF1061"/>
  <c r="AE1061"/>
  <c r="AD1061"/>
  <c r="AC1061"/>
  <c r="AB1061"/>
  <c r="AA1061"/>
  <c r="Z1061"/>
  <c r="Y1061"/>
  <c r="X1061"/>
  <c r="P1061"/>
  <c r="O1061"/>
  <c r="N1061"/>
  <c r="M1061"/>
  <c r="L1061"/>
  <c r="K1061"/>
  <c r="J1061"/>
  <c r="I1061"/>
  <c r="H1061"/>
  <c r="G1061"/>
  <c r="F1061"/>
  <c r="E1061"/>
  <c r="AK1060"/>
  <c r="AK1062" s="1"/>
  <c r="AJ1060"/>
  <c r="R1060"/>
  <c r="R1061" s="1"/>
  <c r="Q1060"/>
  <c r="Q1062" s="1"/>
  <c r="AK1059"/>
  <c r="AJ1059"/>
  <c r="V1059"/>
  <c r="R1059"/>
  <c r="Q1059"/>
  <c r="AK1058"/>
  <c r="AJ1058"/>
  <c r="V1058"/>
  <c r="R1058"/>
  <c r="Q1058"/>
  <c r="P1057"/>
  <c r="AG1056"/>
  <c r="AK1055"/>
  <c r="AI1055"/>
  <c r="AI1057" s="1"/>
  <c r="AH1055"/>
  <c r="AH1057" s="1"/>
  <c r="AG1055"/>
  <c r="AG1057" s="1"/>
  <c r="AF1055"/>
  <c r="AF1057" s="1"/>
  <c r="AE1055"/>
  <c r="AE1057" s="1"/>
  <c r="AD1055"/>
  <c r="AD1057" s="1"/>
  <c r="AC1055"/>
  <c r="AC1056" s="1"/>
  <c r="AB1055"/>
  <c r="AB1057" s="1"/>
  <c r="AA1055"/>
  <c r="AA1057" s="1"/>
  <c r="Z1055"/>
  <c r="Z1057" s="1"/>
  <c r="Y1055"/>
  <c r="X1055"/>
  <c r="X1057" s="1"/>
  <c r="P1055"/>
  <c r="P1056" s="1"/>
  <c r="O1055"/>
  <c r="O1057" s="1"/>
  <c r="N1055"/>
  <c r="N1057" s="1"/>
  <c r="M1055"/>
  <c r="M1057" s="1"/>
  <c r="L1055"/>
  <c r="L1057" s="1"/>
  <c r="K1055"/>
  <c r="K1057" s="1"/>
  <c r="J1055"/>
  <c r="J1057" s="1"/>
  <c r="I1055"/>
  <c r="I1057" s="1"/>
  <c r="H1055"/>
  <c r="H1057" s="1"/>
  <c r="G1055"/>
  <c r="G1057" s="1"/>
  <c r="F1055"/>
  <c r="F1057" s="1"/>
  <c r="E1055"/>
  <c r="E1057" s="1"/>
  <c r="AK1054"/>
  <c r="AK1056" s="1"/>
  <c r="AI1054"/>
  <c r="AH1054"/>
  <c r="AG1054"/>
  <c r="AF1054"/>
  <c r="AE1054"/>
  <c r="AD1054"/>
  <c r="AC1054"/>
  <c r="AB1054"/>
  <c r="AA1054"/>
  <c r="Z1054"/>
  <c r="Y1054"/>
  <c r="Y1056" s="1"/>
  <c r="X1054"/>
  <c r="AJ1054" s="1"/>
  <c r="P1054"/>
  <c r="O1054"/>
  <c r="N1054"/>
  <c r="M1054"/>
  <c r="L1054"/>
  <c r="L1056" s="1"/>
  <c r="K1054"/>
  <c r="J1054"/>
  <c r="I1054"/>
  <c r="H1054"/>
  <c r="G1054"/>
  <c r="F1054"/>
  <c r="E1054"/>
  <c r="AK1053"/>
  <c r="AK1057" s="1"/>
  <c r="AI1053"/>
  <c r="AH1053"/>
  <c r="AG1053"/>
  <c r="AF1053"/>
  <c r="AE1053"/>
  <c r="AD1053"/>
  <c r="AC1053"/>
  <c r="AC1057" s="1"/>
  <c r="AB1053"/>
  <c r="AA1053"/>
  <c r="Z1053"/>
  <c r="Y1053"/>
  <c r="Y1057" s="1"/>
  <c r="X1053"/>
  <c r="AJ1053" s="1"/>
  <c r="P1053"/>
  <c r="O1053"/>
  <c r="N1053"/>
  <c r="M1053"/>
  <c r="L1053"/>
  <c r="K1053"/>
  <c r="J1053"/>
  <c r="I1053"/>
  <c r="H1053"/>
  <c r="G1053"/>
  <c r="F1053"/>
  <c r="R1053" s="1"/>
  <c r="E1053"/>
  <c r="Q1053" s="1"/>
  <c r="AI1052"/>
  <c r="AH1052"/>
  <c r="AG1052"/>
  <c r="AF1052"/>
  <c r="AE1052"/>
  <c r="AD1052"/>
  <c r="AC1052"/>
  <c r="AB1052"/>
  <c r="AA1052"/>
  <c r="Z1052"/>
  <c r="Y1052"/>
  <c r="X1052"/>
  <c r="P1052"/>
  <c r="O1052"/>
  <c r="N1052"/>
  <c r="M1052"/>
  <c r="L1052"/>
  <c r="K1052"/>
  <c r="J1052"/>
  <c r="I1052"/>
  <c r="H1052"/>
  <c r="G1052"/>
  <c r="F1052"/>
  <c r="E1052"/>
  <c r="AI1051"/>
  <c r="AH1051"/>
  <c r="AG1051"/>
  <c r="AF1051"/>
  <c r="AE1051"/>
  <c r="AD1051"/>
  <c r="AC1051"/>
  <c r="AB1051"/>
  <c r="AA1051"/>
  <c r="Z1051"/>
  <c r="Y1051"/>
  <c r="X1051"/>
  <c r="P1051"/>
  <c r="O1051"/>
  <c r="N1051"/>
  <c r="M1051"/>
  <c r="L1051"/>
  <c r="K1051"/>
  <c r="J1051"/>
  <c r="I1051"/>
  <c r="H1051"/>
  <c r="G1051"/>
  <c r="F1051"/>
  <c r="E1051"/>
  <c r="AK1050"/>
  <c r="AK1051" s="1"/>
  <c r="AJ1050"/>
  <c r="AJ1052" s="1"/>
  <c r="R1050"/>
  <c r="Q1050"/>
  <c r="Q1052" s="1"/>
  <c r="AK1049"/>
  <c r="AJ1049"/>
  <c r="V1049"/>
  <c r="R1049"/>
  <c r="Q1049"/>
  <c r="AK1048"/>
  <c r="AJ1048"/>
  <c r="V1048"/>
  <c r="R1048"/>
  <c r="Q1048"/>
  <c r="AI1047"/>
  <c r="AH1047"/>
  <c r="AG1047"/>
  <c r="AF1047"/>
  <c r="AE1047"/>
  <c r="AD1047"/>
  <c r="AC1047"/>
  <c r="AB1047"/>
  <c r="AA1047"/>
  <c r="Z1047"/>
  <c r="Y1047"/>
  <c r="X1047"/>
  <c r="P1047"/>
  <c r="O1047"/>
  <c r="N1047"/>
  <c r="M1047"/>
  <c r="L1047"/>
  <c r="K1047"/>
  <c r="J1047"/>
  <c r="I1047"/>
  <c r="H1047"/>
  <c r="G1047"/>
  <c r="F1047"/>
  <c r="E1047"/>
  <c r="AI1046"/>
  <c r="AH1046"/>
  <c r="AG1046"/>
  <c r="AF1046"/>
  <c r="AE1046"/>
  <c r="AD1046"/>
  <c r="AC1046"/>
  <c r="AB1046"/>
  <c r="AA1046"/>
  <c r="Z1046"/>
  <c r="Y1046"/>
  <c r="X1046"/>
  <c r="R1046"/>
  <c r="P1046"/>
  <c r="O1046"/>
  <c r="N1046"/>
  <c r="M1046"/>
  <c r="L1046"/>
  <c r="K1046"/>
  <c r="J1046"/>
  <c r="I1046"/>
  <c r="H1046"/>
  <c r="G1046"/>
  <c r="F1046"/>
  <c r="E1046"/>
  <c r="AK1045"/>
  <c r="AK1047" s="1"/>
  <c r="AJ1045"/>
  <c r="AJ1047" s="1"/>
  <c r="R1045"/>
  <c r="R1047" s="1"/>
  <c r="Q1045"/>
  <c r="Q1047" s="1"/>
  <c r="AK1044"/>
  <c r="AJ1044"/>
  <c r="V1044"/>
  <c r="R1044"/>
  <c r="Q1044"/>
  <c r="AK1043"/>
  <c r="AJ1043"/>
  <c r="V1043"/>
  <c r="R1043"/>
  <c r="Q1043"/>
  <c r="AI1042"/>
  <c r="AH1042"/>
  <c r="AG1042"/>
  <c r="AF1042"/>
  <c r="AE1042"/>
  <c r="AD1042"/>
  <c r="AC1042"/>
  <c r="AB1042"/>
  <c r="AA1042"/>
  <c r="Z1042"/>
  <c r="Y1042"/>
  <c r="X1042"/>
  <c r="P1042"/>
  <c r="O1042"/>
  <c r="N1042"/>
  <c r="M1042"/>
  <c r="L1042"/>
  <c r="K1042"/>
  <c r="J1042"/>
  <c r="I1042"/>
  <c r="H1042"/>
  <c r="G1042"/>
  <c r="F1042"/>
  <c r="E1042"/>
  <c r="AI1041"/>
  <c r="AH1041"/>
  <c r="AG1041"/>
  <c r="AF1041"/>
  <c r="AE1041"/>
  <c r="AD1041"/>
  <c r="AC1041"/>
  <c r="AB1041"/>
  <c r="AA1041"/>
  <c r="Z1041"/>
  <c r="Y1041"/>
  <c r="X1041"/>
  <c r="P1041"/>
  <c r="O1041"/>
  <c r="N1041"/>
  <c r="M1041"/>
  <c r="L1041"/>
  <c r="K1041"/>
  <c r="J1041"/>
  <c r="I1041"/>
  <c r="H1041"/>
  <c r="G1041"/>
  <c r="F1041"/>
  <c r="E1041"/>
  <c r="AK1040"/>
  <c r="AK1041" s="1"/>
  <c r="AJ1040"/>
  <c r="AJ1042" s="1"/>
  <c r="R1040"/>
  <c r="Q1040"/>
  <c r="Q1042" s="1"/>
  <c r="AK1039"/>
  <c r="AJ1039"/>
  <c r="V1039"/>
  <c r="R1039"/>
  <c r="Q1039"/>
  <c r="AK1038"/>
  <c r="AJ1038"/>
  <c r="V1038"/>
  <c r="R1038"/>
  <c r="Q1038"/>
  <c r="AI1037"/>
  <c r="AH1037"/>
  <c r="AG1037"/>
  <c r="AF1037"/>
  <c r="AE1037"/>
  <c r="AD1037"/>
  <c r="AC1037"/>
  <c r="AB1037"/>
  <c r="AA1037"/>
  <c r="Z1037"/>
  <c r="Y1037"/>
  <c r="X1037"/>
  <c r="P1037"/>
  <c r="O1037"/>
  <c r="N1037"/>
  <c r="M1037"/>
  <c r="L1037"/>
  <c r="K1037"/>
  <c r="J1037"/>
  <c r="I1037"/>
  <c r="H1037"/>
  <c r="G1037"/>
  <c r="F1037"/>
  <c r="E1037"/>
  <c r="AI1036"/>
  <c r="AH1036"/>
  <c r="AG1036"/>
  <c r="AF1036"/>
  <c r="AE1036"/>
  <c r="AD1036"/>
  <c r="AC1036"/>
  <c r="AB1036"/>
  <c r="AA1036"/>
  <c r="Z1036"/>
  <c r="Y1036"/>
  <c r="X1036"/>
  <c r="R1036"/>
  <c r="P1036"/>
  <c r="O1036"/>
  <c r="N1036"/>
  <c r="M1036"/>
  <c r="L1036"/>
  <c r="K1036"/>
  <c r="J1036"/>
  <c r="I1036"/>
  <c r="H1036"/>
  <c r="G1036"/>
  <c r="F1036"/>
  <c r="E1036"/>
  <c r="AK1035"/>
  <c r="AK1037" s="1"/>
  <c r="AJ1035"/>
  <c r="AJ1037" s="1"/>
  <c r="R1035"/>
  <c r="R1037" s="1"/>
  <c r="Q1035"/>
  <c r="Q1037" s="1"/>
  <c r="AK1034"/>
  <c r="AJ1034"/>
  <c r="V1034"/>
  <c r="R1034"/>
  <c r="Q1034"/>
  <c r="AK1033"/>
  <c r="AJ1033"/>
  <c r="V1033"/>
  <c r="R1033"/>
  <c r="Q1033"/>
  <c r="AI1032"/>
  <c r="AH1032"/>
  <c r="AG1032"/>
  <c r="AF1032"/>
  <c r="AE1032"/>
  <c r="AD1032"/>
  <c r="AC1032"/>
  <c r="AB1032"/>
  <c r="AA1032"/>
  <c r="Z1032"/>
  <c r="Y1032"/>
  <c r="X1032"/>
  <c r="P1032"/>
  <c r="O1032"/>
  <c r="N1032"/>
  <c r="M1032"/>
  <c r="L1032"/>
  <c r="K1032"/>
  <c r="J1032"/>
  <c r="I1032"/>
  <c r="H1032"/>
  <c r="G1032"/>
  <c r="F1032"/>
  <c r="E1032"/>
  <c r="AI1031"/>
  <c r="AH1031"/>
  <c r="AG1031"/>
  <c r="AF1031"/>
  <c r="AE1031"/>
  <c r="AD1031"/>
  <c r="AC1031"/>
  <c r="AB1031"/>
  <c r="AA1031"/>
  <c r="Z1031"/>
  <c r="Y1031"/>
  <c r="X1031"/>
  <c r="P1031"/>
  <c r="O1031"/>
  <c r="N1031"/>
  <c r="M1031"/>
  <c r="L1031"/>
  <c r="K1031"/>
  <c r="J1031"/>
  <c r="I1031"/>
  <c r="H1031"/>
  <c r="G1031"/>
  <c r="F1031"/>
  <c r="E1031"/>
  <c r="AK1030"/>
  <c r="AK1031" s="1"/>
  <c r="AJ1030"/>
  <c r="AJ1032" s="1"/>
  <c r="R1030"/>
  <c r="Q1030"/>
  <c r="Q1032" s="1"/>
  <c r="AK1029"/>
  <c r="AJ1029"/>
  <c r="V1029"/>
  <c r="R1029"/>
  <c r="Q1029"/>
  <c r="AK1028"/>
  <c r="AJ1028"/>
  <c r="V1028"/>
  <c r="R1028"/>
  <c r="Q1028"/>
  <c r="AI1027"/>
  <c r="AH1027"/>
  <c r="AG1027"/>
  <c r="AF1027"/>
  <c r="AE1027"/>
  <c r="AD1027"/>
  <c r="AC1027"/>
  <c r="AB1027"/>
  <c r="AA1027"/>
  <c r="Z1027"/>
  <c r="Y1027"/>
  <c r="X1027"/>
  <c r="P1027"/>
  <c r="O1027"/>
  <c r="N1027"/>
  <c r="M1027"/>
  <c r="L1027"/>
  <c r="K1027"/>
  <c r="J1027"/>
  <c r="I1027"/>
  <c r="H1027"/>
  <c r="G1027"/>
  <c r="F1027"/>
  <c r="E1027"/>
  <c r="AI1026"/>
  <c r="AH1026"/>
  <c r="AG1026"/>
  <c r="AF1026"/>
  <c r="AE1026"/>
  <c r="AD1026"/>
  <c r="AC1026"/>
  <c r="AB1026"/>
  <c r="AA1026"/>
  <c r="Z1026"/>
  <c r="Y1026"/>
  <c r="X1026"/>
  <c r="R1026"/>
  <c r="P1026"/>
  <c r="O1026"/>
  <c r="N1026"/>
  <c r="M1026"/>
  <c r="L1026"/>
  <c r="K1026"/>
  <c r="J1026"/>
  <c r="I1026"/>
  <c r="H1026"/>
  <c r="G1026"/>
  <c r="F1026"/>
  <c r="E1026"/>
  <c r="AK1025"/>
  <c r="AK1027" s="1"/>
  <c r="AJ1025"/>
  <c r="AJ1027" s="1"/>
  <c r="R1025"/>
  <c r="R1027" s="1"/>
  <c r="Q1025"/>
  <c r="Q1027" s="1"/>
  <c r="AK1024"/>
  <c r="AJ1024"/>
  <c r="V1024"/>
  <c r="R1024"/>
  <c r="Q1024"/>
  <c r="AK1023"/>
  <c r="AJ1023"/>
  <c r="V1023"/>
  <c r="R1023"/>
  <c r="Q1023"/>
  <c r="AI1022"/>
  <c r="AH1022"/>
  <c r="AG1022"/>
  <c r="AF1022"/>
  <c r="AE1022"/>
  <c r="AD1022"/>
  <c r="AC1022"/>
  <c r="AB1022"/>
  <c r="AA1022"/>
  <c r="Z1022"/>
  <c r="Y1022"/>
  <c r="X1022"/>
  <c r="P1022"/>
  <c r="O1022"/>
  <c r="N1022"/>
  <c r="M1022"/>
  <c r="L1022"/>
  <c r="K1022"/>
  <c r="J1022"/>
  <c r="I1022"/>
  <c r="H1022"/>
  <c r="G1022"/>
  <c r="F1022"/>
  <c r="E1022"/>
  <c r="AI1021"/>
  <c r="AH1021"/>
  <c r="AG1021"/>
  <c r="AF1021"/>
  <c r="AE1021"/>
  <c r="AD1021"/>
  <c r="AC1021"/>
  <c r="AB1021"/>
  <c r="AA1021"/>
  <c r="Z1021"/>
  <c r="Y1021"/>
  <c r="X1021"/>
  <c r="P1021"/>
  <c r="O1021"/>
  <c r="N1021"/>
  <c r="M1021"/>
  <c r="L1021"/>
  <c r="K1021"/>
  <c r="J1021"/>
  <c r="I1021"/>
  <c r="H1021"/>
  <c r="G1021"/>
  <c r="F1021"/>
  <c r="E1021"/>
  <c r="AK1020"/>
  <c r="AK1021" s="1"/>
  <c r="AJ1020"/>
  <c r="AJ1022" s="1"/>
  <c r="R1020"/>
  <c r="Q1020"/>
  <c r="Q1022" s="1"/>
  <c r="AK1019"/>
  <c r="AJ1019"/>
  <c r="V1019"/>
  <c r="R1019"/>
  <c r="Q1019"/>
  <c r="AK1018"/>
  <c r="AJ1018"/>
  <c r="V1018"/>
  <c r="R1018"/>
  <c r="Q1018"/>
  <c r="AI1017"/>
  <c r="AH1017"/>
  <c r="AG1017"/>
  <c r="AF1017"/>
  <c r="AE1017"/>
  <c r="AD1017"/>
  <c r="AC1017"/>
  <c r="AB1017"/>
  <c r="AA1017"/>
  <c r="Z1017"/>
  <c r="Y1017"/>
  <c r="X1017"/>
  <c r="P1017"/>
  <c r="O1017"/>
  <c r="N1017"/>
  <c r="M1017"/>
  <c r="L1017"/>
  <c r="K1017"/>
  <c r="J1017"/>
  <c r="I1017"/>
  <c r="H1017"/>
  <c r="G1017"/>
  <c r="F1017"/>
  <c r="E1017"/>
  <c r="AI1016"/>
  <c r="AH1016"/>
  <c r="AG1016"/>
  <c r="AF1016"/>
  <c r="AE1016"/>
  <c r="AD1016"/>
  <c r="AC1016"/>
  <c r="AB1016"/>
  <c r="AA1016"/>
  <c r="Z1016"/>
  <c r="Y1016"/>
  <c r="X1016"/>
  <c r="R1016"/>
  <c r="P1016"/>
  <c r="O1016"/>
  <c r="N1016"/>
  <c r="M1016"/>
  <c r="L1016"/>
  <c r="K1016"/>
  <c r="J1016"/>
  <c r="I1016"/>
  <c r="H1016"/>
  <c r="G1016"/>
  <c r="F1016"/>
  <c r="E1016"/>
  <c r="AK1015"/>
  <c r="AK1017" s="1"/>
  <c r="AJ1015"/>
  <c r="AJ1017" s="1"/>
  <c r="R1015"/>
  <c r="R1017" s="1"/>
  <c r="Q1015"/>
  <c r="Q1017" s="1"/>
  <c r="AK1014"/>
  <c r="AJ1014"/>
  <c r="V1014"/>
  <c r="R1014"/>
  <c r="Q1014"/>
  <c r="AK1013"/>
  <c r="AJ1013"/>
  <c r="V1013"/>
  <c r="R1013"/>
  <c r="Q1013"/>
  <c r="AI1012"/>
  <c r="AH1012"/>
  <c r="AG1012"/>
  <c r="AF1012"/>
  <c r="AE1012"/>
  <c r="AD1012"/>
  <c r="AC1012"/>
  <c r="AB1012"/>
  <c r="AA1012"/>
  <c r="Z1012"/>
  <c r="Y1012"/>
  <c r="X1012"/>
  <c r="P1012"/>
  <c r="O1012"/>
  <c r="N1012"/>
  <c r="M1012"/>
  <c r="L1012"/>
  <c r="K1012"/>
  <c r="J1012"/>
  <c r="I1012"/>
  <c r="H1012"/>
  <c r="G1012"/>
  <c r="F1012"/>
  <c r="E1012"/>
  <c r="AI1011"/>
  <c r="AH1011"/>
  <c r="AG1011"/>
  <c r="AF1011"/>
  <c r="AE1011"/>
  <c r="AD1011"/>
  <c r="AC1011"/>
  <c r="AB1011"/>
  <c r="AA1011"/>
  <c r="Z1011"/>
  <c r="Y1011"/>
  <c r="X1011"/>
  <c r="P1011"/>
  <c r="O1011"/>
  <c r="N1011"/>
  <c r="M1011"/>
  <c r="L1011"/>
  <c r="K1011"/>
  <c r="J1011"/>
  <c r="I1011"/>
  <c r="H1011"/>
  <c r="G1011"/>
  <c r="F1011"/>
  <c r="E1011"/>
  <c r="AK1010"/>
  <c r="AK1011" s="1"/>
  <c r="AJ1010"/>
  <c r="AJ1012" s="1"/>
  <c r="R1010"/>
  <c r="Q1010"/>
  <c r="Q1012" s="1"/>
  <c r="AK1009"/>
  <c r="AJ1009"/>
  <c r="V1009"/>
  <c r="R1009"/>
  <c r="Q1009"/>
  <c r="AK1008"/>
  <c r="AJ1008"/>
  <c r="V1008"/>
  <c r="R1008"/>
  <c r="Q1008"/>
  <c r="AI1007"/>
  <c r="AH1007"/>
  <c r="AG1007"/>
  <c r="AF1007"/>
  <c r="AE1007"/>
  <c r="AD1007"/>
  <c r="AC1007"/>
  <c r="AB1007"/>
  <c r="AA1007"/>
  <c r="Z1007"/>
  <c r="Y1007"/>
  <c r="X1007"/>
  <c r="P1007"/>
  <c r="O1007"/>
  <c r="N1007"/>
  <c r="M1007"/>
  <c r="L1007"/>
  <c r="K1007"/>
  <c r="J1007"/>
  <c r="I1007"/>
  <c r="H1007"/>
  <c r="G1007"/>
  <c r="F1007"/>
  <c r="E1007"/>
  <c r="AI1006"/>
  <c r="AH1006"/>
  <c r="AG1006"/>
  <c r="AF1006"/>
  <c r="AE1006"/>
  <c r="AD1006"/>
  <c r="AC1006"/>
  <c r="AB1006"/>
  <c r="AA1006"/>
  <c r="Z1006"/>
  <c r="Y1006"/>
  <c r="X1006"/>
  <c r="R1006"/>
  <c r="P1006"/>
  <c r="O1006"/>
  <c r="N1006"/>
  <c r="M1006"/>
  <c r="L1006"/>
  <c r="K1006"/>
  <c r="J1006"/>
  <c r="I1006"/>
  <c r="H1006"/>
  <c r="G1006"/>
  <c r="F1006"/>
  <c r="E1006"/>
  <c r="AK1005"/>
  <c r="AK1007" s="1"/>
  <c r="AJ1005"/>
  <c r="AJ1007" s="1"/>
  <c r="R1005"/>
  <c r="R1007" s="1"/>
  <c r="Q1005"/>
  <c r="Q1007" s="1"/>
  <c r="AK1004"/>
  <c r="AJ1004"/>
  <c r="V1004"/>
  <c r="R1004"/>
  <c r="Q1004"/>
  <c r="AK1003"/>
  <c r="AJ1003"/>
  <c r="V1003"/>
  <c r="R1003"/>
  <c r="Q1003"/>
  <c r="AI1002"/>
  <c r="AH1002"/>
  <c r="AG1002"/>
  <c r="AF1002"/>
  <c r="AE1002"/>
  <c r="AD1002"/>
  <c r="AC1002"/>
  <c r="AB1002"/>
  <c r="AA1002"/>
  <c r="Z1002"/>
  <c r="Y1002"/>
  <c r="X1002"/>
  <c r="P1002"/>
  <c r="O1002"/>
  <c r="N1002"/>
  <c r="M1002"/>
  <c r="L1002"/>
  <c r="K1002"/>
  <c r="J1002"/>
  <c r="I1002"/>
  <c r="H1002"/>
  <c r="G1002"/>
  <c r="F1002"/>
  <c r="E1002"/>
  <c r="AI1001"/>
  <c r="AH1001"/>
  <c r="AG1001"/>
  <c r="AF1001"/>
  <c r="AE1001"/>
  <c r="AD1001"/>
  <c r="AC1001"/>
  <c r="AB1001"/>
  <c r="AA1001"/>
  <c r="Z1001"/>
  <c r="Y1001"/>
  <c r="X1001"/>
  <c r="P1001"/>
  <c r="O1001"/>
  <c r="N1001"/>
  <c r="M1001"/>
  <c r="L1001"/>
  <c r="K1001"/>
  <c r="J1001"/>
  <c r="I1001"/>
  <c r="H1001"/>
  <c r="G1001"/>
  <c r="F1001"/>
  <c r="E1001"/>
  <c r="AK1000"/>
  <c r="AK1001" s="1"/>
  <c r="AJ1000"/>
  <c r="AJ1002" s="1"/>
  <c r="R1000"/>
  <c r="Q1000"/>
  <c r="Q1002" s="1"/>
  <c r="AK999"/>
  <c r="AJ999"/>
  <c r="V999"/>
  <c r="R999"/>
  <c r="Q999"/>
  <c r="AK998"/>
  <c r="AJ998"/>
  <c r="V998"/>
  <c r="R998"/>
  <c r="Q998"/>
  <c r="AI997"/>
  <c r="AH997"/>
  <c r="AG997"/>
  <c r="AF997"/>
  <c r="AE997"/>
  <c r="AD997"/>
  <c r="AC997"/>
  <c r="AB997"/>
  <c r="AA997"/>
  <c r="Z997"/>
  <c r="Y997"/>
  <c r="X997"/>
  <c r="P997"/>
  <c r="O997"/>
  <c r="N997"/>
  <c r="M997"/>
  <c r="L997"/>
  <c r="K997"/>
  <c r="J997"/>
  <c r="I997"/>
  <c r="H997"/>
  <c r="G997"/>
  <c r="F997"/>
  <c r="E997"/>
  <c r="AI996"/>
  <c r="AH996"/>
  <c r="AG996"/>
  <c r="AF996"/>
  <c r="AE996"/>
  <c r="AD996"/>
  <c r="AC996"/>
  <c r="AB996"/>
  <c r="AA996"/>
  <c r="Z996"/>
  <c r="Y996"/>
  <c r="X996"/>
  <c r="P996"/>
  <c r="O996"/>
  <c r="N996"/>
  <c r="M996"/>
  <c r="L996"/>
  <c r="K996"/>
  <c r="J996"/>
  <c r="I996"/>
  <c r="H996"/>
  <c r="G996"/>
  <c r="F996"/>
  <c r="E996"/>
  <c r="AK995"/>
  <c r="AK997" s="1"/>
  <c r="AJ995"/>
  <c r="AJ997" s="1"/>
  <c r="R995"/>
  <c r="R996" s="1"/>
  <c r="Q995"/>
  <c r="Q997" s="1"/>
  <c r="AK994"/>
  <c r="AJ994"/>
  <c r="V994"/>
  <c r="R994"/>
  <c r="Q994"/>
  <c r="AK993"/>
  <c r="AJ993"/>
  <c r="V993"/>
  <c r="R993"/>
  <c r="Q993"/>
  <c r="AI992"/>
  <c r="AH992"/>
  <c r="AG992"/>
  <c r="AF992"/>
  <c r="AE992"/>
  <c r="AD992"/>
  <c r="AC992"/>
  <c r="AB992"/>
  <c r="AA992"/>
  <c r="Z992"/>
  <c r="Y992"/>
  <c r="X992"/>
  <c r="P992"/>
  <c r="O992"/>
  <c r="N992"/>
  <c r="M992"/>
  <c r="L992"/>
  <c r="K992"/>
  <c r="J992"/>
  <c r="I992"/>
  <c r="H992"/>
  <c r="G992"/>
  <c r="F992"/>
  <c r="E992"/>
  <c r="AI991"/>
  <c r="AH991"/>
  <c r="AG991"/>
  <c r="AF991"/>
  <c r="AE991"/>
  <c r="AD991"/>
  <c r="AC991"/>
  <c r="AB991"/>
  <c r="AA991"/>
  <c r="Z991"/>
  <c r="Y991"/>
  <c r="X991"/>
  <c r="P991"/>
  <c r="O991"/>
  <c r="N991"/>
  <c r="M991"/>
  <c r="L991"/>
  <c r="K991"/>
  <c r="J991"/>
  <c r="I991"/>
  <c r="H991"/>
  <c r="G991"/>
  <c r="F991"/>
  <c r="E991"/>
  <c r="AK990"/>
  <c r="AK991" s="1"/>
  <c r="AJ990"/>
  <c r="AJ992" s="1"/>
  <c r="R990"/>
  <c r="Q990"/>
  <c r="Q992" s="1"/>
  <c r="AK989"/>
  <c r="AJ989"/>
  <c r="V989"/>
  <c r="R989"/>
  <c r="Q989"/>
  <c r="AK988"/>
  <c r="AJ988"/>
  <c r="V988"/>
  <c r="R988"/>
  <c r="Q988"/>
  <c r="AI987"/>
  <c r="AH987"/>
  <c r="AG987"/>
  <c r="AF987"/>
  <c r="AE987"/>
  <c r="AD987"/>
  <c r="AC987"/>
  <c r="AB987"/>
  <c r="AA987"/>
  <c r="Z987"/>
  <c r="Y987"/>
  <c r="X987"/>
  <c r="P987"/>
  <c r="O987"/>
  <c r="N987"/>
  <c r="M987"/>
  <c r="L987"/>
  <c r="K987"/>
  <c r="J987"/>
  <c r="I987"/>
  <c r="H987"/>
  <c r="G987"/>
  <c r="F987"/>
  <c r="E987"/>
  <c r="AI986"/>
  <c r="AH986"/>
  <c r="AG986"/>
  <c r="AF986"/>
  <c r="AE986"/>
  <c r="AD986"/>
  <c r="AC986"/>
  <c r="AB986"/>
  <c r="AA986"/>
  <c r="Z986"/>
  <c r="Y986"/>
  <c r="X986"/>
  <c r="P986"/>
  <c r="O986"/>
  <c r="N986"/>
  <c r="M986"/>
  <c r="L986"/>
  <c r="K986"/>
  <c r="J986"/>
  <c r="I986"/>
  <c r="H986"/>
  <c r="G986"/>
  <c r="F986"/>
  <c r="E986"/>
  <c r="AK985"/>
  <c r="AK987" s="1"/>
  <c r="AJ985"/>
  <c r="AJ987" s="1"/>
  <c r="R985"/>
  <c r="R986" s="1"/>
  <c r="Q985"/>
  <c r="Q987" s="1"/>
  <c r="AK984"/>
  <c r="AJ984"/>
  <c r="V984"/>
  <c r="R984"/>
  <c r="Q984"/>
  <c r="AK983"/>
  <c r="AJ983"/>
  <c r="V983"/>
  <c r="R983"/>
  <c r="Q983"/>
  <c r="AI980"/>
  <c r="AI982" s="1"/>
  <c r="AH980"/>
  <c r="AH982" s="1"/>
  <c r="AG980"/>
  <c r="AG982" s="1"/>
  <c r="AF980"/>
  <c r="AF982" s="1"/>
  <c r="AE980"/>
  <c r="AE982" s="1"/>
  <c r="AD980"/>
  <c r="AD982" s="1"/>
  <c r="AC980"/>
  <c r="AC982" s="1"/>
  <c r="AB980"/>
  <c r="AB982" s="1"/>
  <c r="AA980"/>
  <c r="AA982" s="1"/>
  <c r="Z980"/>
  <c r="Z982" s="1"/>
  <c r="Y980"/>
  <c r="Y981" s="1"/>
  <c r="X980"/>
  <c r="X982" s="1"/>
  <c r="P980"/>
  <c r="P982" s="1"/>
  <c r="O980"/>
  <c r="O982" s="1"/>
  <c r="N980"/>
  <c r="N982" s="1"/>
  <c r="M980"/>
  <c r="M982" s="1"/>
  <c r="L980"/>
  <c r="L982" s="1"/>
  <c r="K980"/>
  <c r="K982" s="1"/>
  <c r="J980"/>
  <c r="J982" s="1"/>
  <c r="I980"/>
  <c r="I982" s="1"/>
  <c r="H980"/>
  <c r="H982" s="1"/>
  <c r="G980"/>
  <c r="G982" s="1"/>
  <c r="F980"/>
  <c r="F982" s="1"/>
  <c r="E980"/>
  <c r="E982" s="1"/>
  <c r="AK979"/>
  <c r="AI979"/>
  <c r="AH979"/>
  <c r="AG979"/>
  <c r="AG981" s="1"/>
  <c r="AF979"/>
  <c r="AE979"/>
  <c r="AD979"/>
  <c r="AC979"/>
  <c r="AB979"/>
  <c r="AA979"/>
  <c r="Z979"/>
  <c r="Y979"/>
  <c r="X979"/>
  <c r="AJ979" s="1"/>
  <c r="P979"/>
  <c r="O979"/>
  <c r="N979"/>
  <c r="M979"/>
  <c r="L979"/>
  <c r="K979"/>
  <c r="J979"/>
  <c r="I979"/>
  <c r="H979"/>
  <c r="G979"/>
  <c r="F979"/>
  <c r="E979"/>
  <c r="Q979" s="1"/>
  <c r="AI978"/>
  <c r="AH978"/>
  <c r="AG978"/>
  <c r="AF978"/>
  <c r="AE978"/>
  <c r="AD978"/>
  <c r="AC978"/>
  <c r="AB978"/>
  <c r="AA978"/>
  <c r="Z978"/>
  <c r="Y978"/>
  <c r="AK978" s="1"/>
  <c r="X978"/>
  <c r="P978"/>
  <c r="O978"/>
  <c r="N978"/>
  <c r="M978"/>
  <c r="L978"/>
  <c r="K978"/>
  <c r="J978"/>
  <c r="I978"/>
  <c r="H978"/>
  <c r="G978"/>
  <c r="F978"/>
  <c r="R978" s="1"/>
  <c r="E978"/>
  <c r="Q978" s="1"/>
  <c r="AI977"/>
  <c r="AH977"/>
  <c r="AG977"/>
  <c r="AF977"/>
  <c r="AE977"/>
  <c r="AD977"/>
  <c r="AC977"/>
  <c r="AB977"/>
  <c r="AA977"/>
  <c r="Z977"/>
  <c r="Y977"/>
  <c r="X977"/>
  <c r="P977"/>
  <c r="O977"/>
  <c r="N977"/>
  <c r="M977"/>
  <c r="L977"/>
  <c r="K977"/>
  <c r="J977"/>
  <c r="I977"/>
  <c r="H977"/>
  <c r="G977"/>
  <c r="F977"/>
  <c r="E977"/>
  <c r="AI976"/>
  <c r="AH976"/>
  <c r="AG976"/>
  <c r="AF976"/>
  <c r="AE976"/>
  <c r="AD976"/>
  <c r="AC976"/>
  <c r="AB976"/>
  <c r="AA976"/>
  <c r="Z976"/>
  <c r="Y976"/>
  <c r="X976"/>
  <c r="P976"/>
  <c r="O976"/>
  <c r="N976"/>
  <c r="M976"/>
  <c r="L976"/>
  <c r="K976"/>
  <c r="J976"/>
  <c r="I976"/>
  <c r="H976"/>
  <c r="G976"/>
  <c r="F976"/>
  <c r="E976"/>
  <c r="AK975"/>
  <c r="AK976" s="1"/>
  <c r="AJ975"/>
  <c r="AJ977" s="1"/>
  <c r="R975"/>
  <c r="Q975"/>
  <c r="Q977" s="1"/>
  <c r="AK974"/>
  <c r="AJ974"/>
  <c r="V974"/>
  <c r="R974"/>
  <c r="Q974"/>
  <c r="AK973"/>
  <c r="AJ973"/>
  <c r="V973"/>
  <c r="R973"/>
  <c r="Q973"/>
  <c r="AI972"/>
  <c r="AH972"/>
  <c r="AG972"/>
  <c r="AF972"/>
  <c r="AE972"/>
  <c r="AD972"/>
  <c r="AC972"/>
  <c r="AB972"/>
  <c r="AA972"/>
  <c r="Z972"/>
  <c r="Y972"/>
  <c r="X972"/>
  <c r="P972"/>
  <c r="O972"/>
  <c r="N972"/>
  <c r="M972"/>
  <c r="L972"/>
  <c r="K972"/>
  <c r="J972"/>
  <c r="I972"/>
  <c r="H972"/>
  <c r="G972"/>
  <c r="F972"/>
  <c r="E972"/>
  <c r="AI971"/>
  <c r="AH971"/>
  <c r="AG971"/>
  <c r="AF971"/>
  <c r="AE971"/>
  <c r="AD971"/>
  <c r="AC971"/>
  <c r="AB971"/>
  <c r="AA971"/>
  <c r="Z971"/>
  <c r="Y971"/>
  <c r="X971"/>
  <c r="P971"/>
  <c r="O971"/>
  <c r="N971"/>
  <c r="M971"/>
  <c r="L971"/>
  <c r="K971"/>
  <c r="J971"/>
  <c r="I971"/>
  <c r="H971"/>
  <c r="G971"/>
  <c r="F971"/>
  <c r="E971"/>
  <c r="AK970"/>
  <c r="AK972" s="1"/>
  <c r="AJ970"/>
  <c r="R970"/>
  <c r="R971" s="1"/>
  <c r="Q970"/>
  <c r="Q972" s="1"/>
  <c r="AK969"/>
  <c r="AJ969"/>
  <c r="V969"/>
  <c r="R969"/>
  <c r="Q969"/>
  <c r="AK968"/>
  <c r="AJ968"/>
  <c r="V968"/>
  <c r="R968"/>
  <c r="Q968"/>
  <c r="AI967"/>
  <c r="AH967"/>
  <c r="AG967"/>
  <c r="AF967"/>
  <c r="AE967"/>
  <c r="AD967"/>
  <c r="AC967"/>
  <c r="AB967"/>
  <c r="AA967"/>
  <c r="Z967"/>
  <c r="Y967"/>
  <c r="X967"/>
  <c r="P967"/>
  <c r="O967"/>
  <c r="N967"/>
  <c r="M967"/>
  <c r="L967"/>
  <c r="K967"/>
  <c r="J967"/>
  <c r="I967"/>
  <c r="H967"/>
  <c r="G967"/>
  <c r="F967"/>
  <c r="E967"/>
  <c r="AI966"/>
  <c r="AH966"/>
  <c r="AG966"/>
  <c r="AF966"/>
  <c r="AE966"/>
  <c r="AD966"/>
  <c r="AC966"/>
  <c r="AB966"/>
  <c r="AA966"/>
  <c r="Z966"/>
  <c r="Y966"/>
  <c r="X966"/>
  <c r="P966"/>
  <c r="O966"/>
  <c r="N966"/>
  <c r="M966"/>
  <c r="L966"/>
  <c r="K966"/>
  <c r="J966"/>
  <c r="I966"/>
  <c r="H966"/>
  <c r="G966"/>
  <c r="F966"/>
  <c r="E966"/>
  <c r="AK965"/>
  <c r="AK966" s="1"/>
  <c r="AJ965"/>
  <c r="AJ967" s="1"/>
  <c r="R965"/>
  <c r="Q965"/>
  <c r="Q967" s="1"/>
  <c r="AK964"/>
  <c r="AJ964"/>
  <c r="V964"/>
  <c r="R964"/>
  <c r="Q964"/>
  <c r="AK963"/>
  <c r="AJ963"/>
  <c r="V963"/>
  <c r="R963"/>
  <c r="Q963"/>
  <c r="AI962"/>
  <c r="AH962"/>
  <c r="AG962"/>
  <c r="AF962"/>
  <c r="AE962"/>
  <c r="AD962"/>
  <c r="AC962"/>
  <c r="AB962"/>
  <c r="AA962"/>
  <c r="Z962"/>
  <c r="Y962"/>
  <c r="X962"/>
  <c r="P962"/>
  <c r="O962"/>
  <c r="N962"/>
  <c r="M962"/>
  <c r="L962"/>
  <c r="K962"/>
  <c r="J962"/>
  <c r="I962"/>
  <c r="H962"/>
  <c r="G962"/>
  <c r="F962"/>
  <c r="E962"/>
  <c r="AI961"/>
  <c r="AH961"/>
  <c r="AG961"/>
  <c r="AF961"/>
  <c r="AE961"/>
  <c r="AD961"/>
  <c r="AC961"/>
  <c r="AB961"/>
  <c r="AA961"/>
  <c r="Z961"/>
  <c r="Y961"/>
  <c r="X961"/>
  <c r="P961"/>
  <c r="O961"/>
  <c r="N961"/>
  <c r="M961"/>
  <c r="L961"/>
  <c r="K961"/>
  <c r="J961"/>
  <c r="I961"/>
  <c r="H961"/>
  <c r="G961"/>
  <c r="F961"/>
  <c r="E961"/>
  <c r="AK960"/>
  <c r="AK962" s="1"/>
  <c r="AJ960"/>
  <c r="R960"/>
  <c r="R961" s="1"/>
  <c r="Q960"/>
  <c r="Q962" s="1"/>
  <c r="AK959"/>
  <c r="AJ959"/>
  <c r="V959"/>
  <c r="R959"/>
  <c r="Q959"/>
  <c r="AK958"/>
  <c r="AJ958"/>
  <c r="V958"/>
  <c r="R958"/>
  <c r="Q958"/>
  <c r="AI957"/>
  <c r="AH957"/>
  <c r="AG957"/>
  <c r="AF957"/>
  <c r="AE957"/>
  <c r="AD957"/>
  <c r="AC957"/>
  <c r="AB957"/>
  <c r="AA957"/>
  <c r="Z957"/>
  <c r="Y957"/>
  <c r="X957"/>
  <c r="P957"/>
  <c r="O957"/>
  <c r="N957"/>
  <c r="M957"/>
  <c r="L957"/>
  <c r="K957"/>
  <c r="J957"/>
  <c r="I957"/>
  <c r="H957"/>
  <c r="G957"/>
  <c r="F957"/>
  <c r="E957"/>
  <c r="AI956"/>
  <c r="AH956"/>
  <c r="AG956"/>
  <c r="AF956"/>
  <c r="AE956"/>
  <c r="AD956"/>
  <c r="AC956"/>
  <c r="AB956"/>
  <c r="AA956"/>
  <c r="Z956"/>
  <c r="Y956"/>
  <c r="X956"/>
  <c r="P956"/>
  <c r="O956"/>
  <c r="N956"/>
  <c r="M956"/>
  <c r="L956"/>
  <c r="K956"/>
  <c r="J956"/>
  <c r="I956"/>
  <c r="H956"/>
  <c r="G956"/>
  <c r="F956"/>
  <c r="E956"/>
  <c r="AK955"/>
  <c r="AK956" s="1"/>
  <c r="AJ955"/>
  <c r="AJ957" s="1"/>
  <c r="R955"/>
  <c r="Q955"/>
  <c r="Q957" s="1"/>
  <c r="AK954"/>
  <c r="AJ954"/>
  <c r="V954"/>
  <c r="R954"/>
  <c r="Q954"/>
  <c r="AK953"/>
  <c r="AJ953"/>
  <c r="V953"/>
  <c r="R953"/>
  <c r="Q953"/>
  <c r="AI952"/>
  <c r="AH952"/>
  <c r="AG952"/>
  <c r="AF952"/>
  <c r="AE952"/>
  <c r="AD952"/>
  <c r="AC952"/>
  <c r="AB952"/>
  <c r="AA952"/>
  <c r="Z952"/>
  <c r="Y952"/>
  <c r="X952"/>
  <c r="P952"/>
  <c r="O952"/>
  <c r="N952"/>
  <c r="M952"/>
  <c r="L952"/>
  <c r="K952"/>
  <c r="J952"/>
  <c r="I952"/>
  <c r="H952"/>
  <c r="G952"/>
  <c r="F952"/>
  <c r="E952"/>
  <c r="AI951"/>
  <c r="AH951"/>
  <c r="AG951"/>
  <c r="AF951"/>
  <c r="AE951"/>
  <c r="AD951"/>
  <c r="AC951"/>
  <c r="AB951"/>
  <c r="AA951"/>
  <c r="Z951"/>
  <c r="Y951"/>
  <c r="X951"/>
  <c r="P951"/>
  <c r="O951"/>
  <c r="N951"/>
  <c r="M951"/>
  <c r="L951"/>
  <c r="K951"/>
  <c r="J951"/>
  <c r="I951"/>
  <c r="H951"/>
  <c r="G951"/>
  <c r="F951"/>
  <c r="E951"/>
  <c r="AK950"/>
  <c r="AK952" s="1"/>
  <c r="AJ950"/>
  <c r="R950"/>
  <c r="R951" s="1"/>
  <c r="Q950"/>
  <c r="Q952" s="1"/>
  <c r="AK949"/>
  <c r="AJ949"/>
  <c r="V949"/>
  <c r="R949"/>
  <c r="Q949"/>
  <c r="AK948"/>
  <c r="AJ948"/>
  <c r="V948"/>
  <c r="R948"/>
  <c r="Q948"/>
  <c r="AI947"/>
  <c r="AH947"/>
  <c r="AG947"/>
  <c r="AF947"/>
  <c r="AE947"/>
  <c r="AD947"/>
  <c r="AC947"/>
  <c r="AB947"/>
  <c r="AA947"/>
  <c r="Z947"/>
  <c r="Y947"/>
  <c r="X947"/>
  <c r="P947"/>
  <c r="O947"/>
  <c r="N947"/>
  <c r="M947"/>
  <c r="L947"/>
  <c r="K947"/>
  <c r="J947"/>
  <c r="I947"/>
  <c r="H947"/>
  <c r="G947"/>
  <c r="F947"/>
  <c r="E947"/>
  <c r="AI946"/>
  <c r="AH946"/>
  <c r="AG946"/>
  <c r="AF946"/>
  <c r="AE946"/>
  <c r="AD946"/>
  <c r="AC946"/>
  <c r="AB946"/>
  <c r="AA946"/>
  <c r="Z946"/>
  <c r="Y946"/>
  <c r="X946"/>
  <c r="P946"/>
  <c r="O946"/>
  <c r="N946"/>
  <c r="M946"/>
  <c r="L946"/>
  <c r="K946"/>
  <c r="J946"/>
  <c r="I946"/>
  <c r="H946"/>
  <c r="G946"/>
  <c r="F946"/>
  <c r="E946"/>
  <c r="AK945"/>
  <c r="AK946" s="1"/>
  <c r="AJ945"/>
  <c r="AJ947" s="1"/>
  <c r="R945"/>
  <c r="Q945"/>
  <c r="Q947" s="1"/>
  <c r="AK944"/>
  <c r="AJ944"/>
  <c r="V944"/>
  <c r="R944"/>
  <c r="Q944"/>
  <c r="AK943"/>
  <c r="AJ943"/>
  <c r="V943"/>
  <c r="R943"/>
  <c r="Q943"/>
  <c r="AI942"/>
  <c r="AH942"/>
  <c r="AG942"/>
  <c r="AF942"/>
  <c r="AE942"/>
  <c r="AD942"/>
  <c r="AC942"/>
  <c r="AB942"/>
  <c r="AA942"/>
  <c r="Z942"/>
  <c r="Y942"/>
  <c r="X942"/>
  <c r="P942"/>
  <c r="O942"/>
  <c r="N942"/>
  <c r="M942"/>
  <c r="L942"/>
  <c r="K942"/>
  <c r="J942"/>
  <c r="I942"/>
  <c r="H942"/>
  <c r="G942"/>
  <c r="F942"/>
  <c r="E942"/>
  <c r="AI941"/>
  <c r="AH941"/>
  <c r="AG941"/>
  <c r="AF941"/>
  <c r="AE941"/>
  <c r="AD941"/>
  <c r="AC941"/>
  <c r="AB941"/>
  <c r="AA941"/>
  <c r="Z941"/>
  <c r="Y941"/>
  <c r="X941"/>
  <c r="P941"/>
  <c r="O941"/>
  <c r="N941"/>
  <c r="M941"/>
  <c r="L941"/>
  <c r="K941"/>
  <c r="J941"/>
  <c r="I941"/>
  <c r="H941"/>
  <c r="G941"/>
  <c r="F941"/>
  <c r="E941"/>
  <c r="AK940"/>
  <c r="AK942" s="1"/>
  <c r="AJ940"/>
  <c r="R940"/>
  <c r="R941" s="1"/>
  <c r="Q940"/>
  <c r="Q942" s="1"/>
  <c r="AK939"/>
  <c r="AJ939"/>
  <c r="V939"/>
  <c r="R939"/>
  <c r="Q939"/>
  <c r="AK938"/>
  <c r="AJ938"/>
  <c r="V938"/>
  <c r="R938"/>
  <c r="Q938"/>
  <c r="AI937"/>
  <c r="AH937"/>
  <c r="AG937"/>
  <c r="AF937"/>
  <c r="AE937"/>
  <c r="AD937"/>
  <c r="AC937"/>
  <c r="AB937"/>
  <c r="AA937"/>
  <c r="Z937"/>
  <c r="Y937"/>
  <c r="X937"/>
  <c r="P937"/>
  <c r="O937"/>
  <c r="N937"/>
  <c r="M937"/>
  <c r="L937"/>
  <c r="K937"/>
  <c r="J937"/>
  <c r="I937"/>
  <c r="H937"/>
  <c r="G937"/>
  <c r="F937"/>
  <c r="E937"/>
  <c r="AI936"/>
  <c r="AH936"/>
  <c r="AG936"/>
  <c r="AF936"/>
  <c r="AE936"/>
  <c r="AD936"/>
  <c r="AC936"/>
  <c r="AB936"/>
  <c r="AA936"/>
  <c r="Z936"/>
  <c r="Y936"/>
  <c r="X936"/>
  <c r="P936"/>
  <c r="O936"/>
  <c r="N936"/>
  <c r="M936"/>
  <c r="L936"/>
  <c r="K936"/>
  <c r="J936"/>
  <c r="I936"/>
  <c r="H936"/>
  <c r="G936"/>
  <c r="F936"/>
  <c r="E936"/>
  <c r="AK935"/>
  <c r="AK936" s="1"/>
  <c r="AJ935"/>
  <c r="AJ937" s="1"/>
  <c r="R935"/>
  <c r="Q935"/>
  <c r="Q937" s="1"/>
  <c r="AK934"/>
  <c r="AJ934"/>
  <c r="V934"/>
  <c r="R934"/>
  <c r="Q934"/>
  <c r="AK933"/>
  <c r="AJ933"/>
  <c r="V933"/>
  <c r="R933"/>
  <c r="Q933"/>
  <c r="AI932"/>
  <c r="AH932"/>
  <c r="AG932"/>
  <c r="AF932"/>
  <c r="AE932"/>
  <c r="AD932"/>
  <c r="AC932"/>
  <c r="AB932"/>
  <c r="AA932"/>
  <c r="Z932"/>
  <c r="Y932"/>
  <c r="X932"/>
  <c r="P932"/>
  <c r="O932"/>
  <c r="N932"/>
  <c r="M932"/>
  <c r="L932"/>
  <c r="K932"/>
  <c r="J932"/>
  <c r="I932"/>
  <c r="H932"/>
  <c r="G932"/>
  <c r="F932"/>
  <c r="E932"/>
  <c r="AI931"/>
  <c r="AH931"/>
  <c r="AG931"/>
  <c r="AF931"/>
  <c r="AE931"/>
  <c r="AD931"/>
  <c r="AC931"/>
  <c r="AB931"/>
  <c r="AA931"/>
  <c r="Z931"/>
  <c r="Y931"/>
  <c r="X931"/>
  <c r="P931"/>
  <c r="O931"/>
  <c r="N931"/>
  <c r="M931"/>
  <c r="L931"/>
  <c r="K931"/>
  <c r="J931"/>
  <c r="I931"/>
  <c r="H931"/>
  <c r="G931"/>
  <c r="F931"/>
  <c r="E931"/>
  <c r="AK930"/>
  <c r="AK932" s="1"/>
  <c r="AJ930"/>
  <c r="R930"/>
  <c r="R931" s="1"/>
  <c r="Q930"/>
  <c r="Q932" s="1"/>
  <c r="AK929"/>
  <c r="AJ929"/>
  <c r="V929"/>
  <c r="R929"/>
  <c r="Q929"/>
  <c r="AK928"/>
  <c r="AJ928"/>
  <c r="V928"/>
  <c r="R928"/>
  <c r="Q928"/>
  <c r="AI927"/>
  <c r="AH927"/>
  <c r="AG927"/>
  <c r="AF927"/>
  <c r="AE927"/>
  <c r="AD927"/>
  <c r="AC927"/>
  <c r="AB927"/>
  <c r="AA927"/>
  <c r="Z927"/>
  <c r="Y927"/>
  <c r="X927"/>
  <c r="P927"/>
  <c r="O927"/>
  <c r="N927"/>
  <c r="M927"/>
  <c r="L927"/>
  <c r="K927"/>
  <c r="J927"/>
  <c r="I927"/>
  <c r="H927"/>
  <c r="G927"/>
  <c r="F927"/>
  <c r="E927"/>
  <c r="AI926"/>
  <c r="AH926"/>
  <c r="AG926"/>
  <c r="AF926"/>
  <c r="AE926"/>
  <c r="AD926"/>
  <c r="AC926"/>
  <c r="AB926"/>
  <c r="AA926"/>
  <c r="Z926"/>
  <c r="Y926"/>
  <c r="X926"/>
  <c r="P926"/>
  <c r="O926"/>
  <c r="N926"/>
  <c r="M926"/>
  <c r="L926"/>
  <c r="K926"/>
  <c r="J926"/>
  <c r="I926"/>
  <c r="H926"/>
  <c r="G926"/>
  <c r="F926"/>
  <c r="E926"/>
  <c r="AK925"/>
  <c r="AK926" s="1"/>
  <c r="AJ925"/>
  <c r="AJ927" s="1"/>
  <c r="R925"/>
  <c r="Q925"/>
  <c r="Q927" s="1"/>
  <c r="AK924"/>
  <c r="AJ924"/>
  <c r="V924"/>
  <c r="R924"/>
  <c r="Q924"/>
  <c r="AK923"/>
  <c r="AJ923"/>
  <c r="V923"/>
  <c r="R923"/>
  <c r="Q923"/>
  <c r="AI922"/>
  <c r="AH922"/>
  <c r="AG922"/>
  <c r="AF922"/>
  <c r="AE922"/>
  <c r="AD922"/>
  <c r="AC922"/>
  <c r="AB922"/>
  <c r="AA922"/>
  <c r="Z922"/>
  <c r="Y922"/>
  <c r="X922"/>
  <c r="P922"/>
  <c r="O922"/>
  <c r="N922"/>
  <c r="M922"/>
  <c r="L922"/>
  <c r="K922"/>
  <c r="J922"/>
  <c r="I922"/>
  <c r="H922"/>
  <c r="G922"/>
  <c r="F922"/>
  <c r="E922"/>
  <c r="AI921"/>
  <c r="AH921"/>
  <c r="AG921"/>
  <c r="AF921"/>
  <c r="AE921"/>
  <c r="AD921"/>
  <c r="AC921"/>
  <c r="AB921"/>
  <c r="AA921"/>
  <c r="Z921"/>
  <c r="Y921"/>
  <c r="X921"/>
  <c r="P921"/>
  <c r="O921"/>
  <c r="N921"/>
  <c r="M921"/>
  <c r="L921"/>
  <c r="K921"/>
  <c r="J921"/>
  <c r="I921"/>
  <c r="H921"/>
  <c r="G921"/>
  <c r="F921"/>
  <c r="E921"/>
  <c r="AK920"/>
  <c r="AK922" s="1"/>
  <c r="AJ920"/>
  <c r="R920"/>
  <c r="R921" s="1"/>
  <c r="Q920"/>
  <c r="Q922" s="1"/>
  <c r="AK919"/>
  <c r="AJ919"/>
  <c r="V919"/>
  <c r="R919"/>
  <c r="Q919"/>
  <c r="AK918"/>
  <c r="AJ918"/>
  <c r="V918"/>
  <c r="R918"/>
  <c r="Q918"/>
  <c r="AI917"/>
  <c r="AH917"/>
  <c r="AG917"/>
  <c r="AF917"/>
  <c r="AE917"/>
  <c r="AD917"/>
  <c r="AC917"/>
  <c r="AB917"/>
  <c r="AA917"/>
  <c r="Z917"/>
  <c r="Y917"/>
  <c r="X917"/>
  <c r="P917"/>
  <c r="O917"/>
  <c r="N917"/>
  <c r="M917"/>
  <c r="L917"/>
  <c r="K917"/>
  <c r="J917"/>
  <c r="I917"/>
  <c r="H917"/>
  <c r="G917"/>
  <c r="F917"/>
  <c r="E917"/>
  <c r="AI916"/>
  <c r="AH916"/>
  <c r="AG916"/>
  <c r="AF916"/>
  <c r="AE916"/>
  <c r="AD916"/>
  <c r="AC916"/>
  <c r="AB916"/>
  <c r="AA916"/>
  <c r="Z916"/>
  <c r="Y916"/>
  <c r="X916"/>
  <c r="P916"/>
  <c r="O916"/>
  <c r="N916"/>
  <c r="M916"/>
  <c r="L916"/>
  <c r="K916"/>
  <c r="J916"/>
  <c r="I916"/>
  <c r="H916"/>
  <c r="G916"/>
  <c r="F916"/>
  <c r="E916"/>
  <c r="AK915"/>
  <c r="AK916" s="1"/>
  <c r="AJ915"/>
  <c r="AJ917" s="1"/>
  <c r="R915"/>
  <c r="Q915"/>
  <c r="Q917" s="1"/>
  <c r="AK914"/>
  <c r="AJ914"/>
  <c r="V914"/>
  <c r="R914"/>
  <c r="Q914"/>
  <c r="AK913"/>
  <c r="AJ913"/>
  <c r="V913"/>
  <c r="R913"/>
  <c r="Q913"/>
  <c r="AI912"/>
  <c r="AH912"/>
  <c r="AG912"/>
  <c r="AF912"/>
  <c r="AE912"/>
  <c r="AD912"/>
  <c r="AC912"/>
  <c r="AB912"/>
  <c r="AA912"/>
  <c r="Z912"/>
  <c r="Y912"/>
  <c r="X912"/>
  <c r="P912"/>
  <c r="O912"/>
  <c r="N912"/>
  <c r="M912"/>
  <c r="L912"/>
  <c r="K912"/>
  <c r="J912"/>
  <c r="I912"/>
  <c r="H912"/>
  <c r="G912"/>
  <c r="F912"/>
  <c r="E912"/>
  <c r="AI911"/>
  <c r="AH911"/>
  <c r="AG911"/>
  <c r="AF911"/>
  <c r="AE911"/>
  <c r="AD911"/>
  <c r="AC911"/>
  <c r="AB911"/>
  <c r="AA911"/>
  <c r="Z911"/>
  <c r="Y911"/>
  <c r="X911"/>
  <c r="P911"/>
  <c r="O911"/>
  <c r="N911"/>
  <c r="M911"/>
  <c r="L911"/>
  <c r="K911"/>
  <c r="J911"/>
  <c r="I911"/>
  <c r="H911"/>
  <c r="G911"/>
  <c r="F911"/>
  <c r="E911"/>
  <c r="AK910"/>
  <c r="AK912" s="1"/>
  <c r="AJ910"/>
  <c r="R910"/>
  <c r="R911" s="1"/>
  <c r="Q910"/>
  <c r="Q912" s="1"/>
  <c r="AK909"/>
  <c r="AJ909"/>
  <c r="V909"/>
  <c r="R909"/>
  <c r="Q909"/>
  <c r="AK908"/>
  <c r="AJ908"/>
  <c r="V908"/>
  <c r="R908"/>
  <c r="Q908"/>
  <c r="AC907"/>
  <c r="P907"/>
  <c r="H907"/>
  <c r="AK905"/>
  <c r="AK907" s="1"/>
  <c r="AI905"/>
  <c r="AI907" s="1"/>
  <c r="AH905"/>
  <c r="AH907" s="1"/>
  <c r="AG905"/>
  <c r="AG907" s="1"/>
  <c r="AF905"/>
  <c r="AF907" s="1"/>
  <c r="AE905"/>
  <c r="AE907" s="1"/>
  <c r="AD905"/>
  <c r="AD907" s="1"/>
  <c r="AC905"/>
  <c r="AC906" s="1"/>
  <c r="AB905"/>
  <c r="AB907" s="1"/>
  <c r="AA905"/>
  <c r="AA907" s="1"/>
  <c r="Z905"/>
  <c r="Z907" s="1"/>
  <c r="Y905"/>
  <c r="Y907" s="1"/>
  <c r="X905"/>
  <c r="X907" s="1"/>
  <c r="P905"/>
  <c r="P906" s="1"/>
  <c r="O905"/>
  <c r="O907" s="1"/>
  <c r="N905"/>
  <c r="N907" s="1"/>
  <c r="M905"/>
  <c r="M907" s="1"/>
  <c r="L905"/>
  <c r="L907" s="1"/>
  <c r="K905"/>
  <c r="K907" s="1"/>
  <c r="J905"/>
  <c r="J907" s="1"/>
  <c r="I905"/>
  <c r="I907" s="1"/>
  <c r="H905"/>
  <c r="H906" s="1"/>
  <c r="G905"/>
  <c r="G907" s="1"/>
  <c r="F905"/>
  <c r="F907" s="1"/>
  <c r="E905"/>
  <c r="E907" s="1"/>
  <c r="AI904"/>
  <c r="AH904"/>
  <c r="AG904"/>
  <c r="AG906" s="1"/>
  <c r="AF904"/>
  <c r="AE904"/>
  <c r="AD904"/>
  <c r="AC904"/>
  <c r="AB904"/>
  <c r="AA904"/>
  <c r="Z904"/>
  <c r="Y904"/>
  <c r="AK904" s="1"/>
  <c r="X904"/>
  <c r="P904"/>
  <c r="O904"/>
  <c r="N904"/>
  <c r="M904"/>
  <c r="L904"/>
  <c r="L906" s="1"/>
  <c r="K904"/>
  <c r="J904"/>
  <c r="I904"/>
  <c r="H904"/>
  <c r="G904"/>
  <c r="F904"/>
  <c r="R904" s="1"/>
  <c r="E904"/>
  <c r="AK903"/>
  <c r="AI903"/>
  <c r="AH903"/>
  <c r="AG903"/>
  <c r="AF903"/>
  <c r="AE903"/>
  <c r="AD903"/>
  <c r="AC903"/>
  <c r="AB903"/>
  <c r="AA903"/>
  <c r="Z903"/>
  <c r="Y903"/>
  <c r="X903"/>
  <c r="AJ903" s="1"/>
  <c r="P903"/>
  <c r="O903"/>
  <c r="N903"/>
  <c r="M903"/>
  <c r="L903"/>
  <c r="K903"/>
  <c r="J903"/>
  <c r="I903"/>
  <c r="H903"/>
  <c r="G903"/>
  <c r="F903"/>
  <c r="R903" s="1"/>
  <c r="E903"/>
  <c r="Q903" s="1"/>
  <c r="AI902"/>
  <c r="AH902"/>
  <c r="AG902"/>
  <c r="AF902"/>
  <c r="AE902"/>
  <c r="AD902"/>
  <c r="AC902"/>
  <c r="AB902"/>
  <c r="AA902"/>
  <c r="Z902"/>
  <c r="Y902"/>
  <c r="X902"/>
  <c r="P902"/>
  <c r="O902"/>
  <c r="N902"/>
  <c r="M902"/>
  <c r="L902"/>
  <c r="K902"/>
  <c r="J902"/>
  <c r="I902"/>
  <c r="H902"/>
  <c r="G902"/>
  <c r="F902"/>
  <c r="E902"/>
  <c r="AK901"/>
  <c r="AI901"/>
  <c r="AH901"/>
  <c r="AG901"/>
  <c r="AF901"/>
  <c r="AE901"/>
  <c r="AD901"/>
  <c r="AC901"/>
  <c r="AB901"/>
  <c r="AA901"/>
  <c r="Z901"/>
  <c r="Y901"/>
  <c r="X901"/>
  <c r="P901"/>
  <c r="O901"/>
  <c r="N901"/>
  <c r="M901"/>
  <c r="L901"/>
  <c r="K901"/>
  <c r="J901"/>
  <c r="I901"/>
  <c r="H901"/>
  <c r="G901"/>
  <c r="F901"/>
  <c r="E901"/>
  <c r="AK900"/>
  <c r="AK902" s="1"/>
  <c r="AJ900"/>
  <c r="AJ902" s="1"/>
  <c r="R900"/>
  <c r="Q900"/>
  <c r="Q902" s="1"/>
  <c r="AK899"/>
  <c r="AJ899"/>
  <c r="V899"/>
  <c r="R899"/>
  <c r="Q899"/>
  <c r="AK898"/>
  <c r="AJ898"/>
  <c r="V898"/>
  <c r="R898"/>
  <c r="Q898"/>
  <c r="AI897"/>
  <c r="AH897"/>
  <c r="AG897"/>
  <c r="AF897"/>
  <c r="AE897"/>
  <c r="AD897"/>
  <c r="AC897"/>
  <c r="AB897"/>
  <c r="AA897"/>
  <c r="Z897"/>
  <c r="Y897"/>
  <c r="X897"/>
  <c r="P897"/>
  <c r="O897"/>
  <c r="N897"/>
  <c r="M897"/>
  <c r="L897"/>
  <c r="K897"/>
  <c r="J897"/>
  <c r="I897"/>
  <c r="H897"/>
  <c r="G897"/>
  <c r="F897"/>
  <c r="E897"/>
  <c r="AI896"/>
  <c r="AH896"/>
  <c r="AG896"/>
  <c r="AF896"/>
  <c r="AE896"/>
  <c r="AD896"/>
  <c r="AC896"/>
  <c r="AB896"/>
  <c r="AA896"/>
  <c r="Z896"/>
  <c r="Y896"/>
  <c r="X896"/>
  <c r="R896"/>
  <c r="P896"/>
  <c r="O896"/>
  <c r="N896"/>
  <c r="M896"/>
  <c r="L896"/>
  <c r="K896"/>
  <c r="J896"/>
  <c r="I896"/>
  <c r="H896"/>
  <c r="G896"/>
  <c r="F896"/>
  <c r="E896"/>
  <c r="AK895"/>
  <c r="AK897" s="1"/>
  <c r="AJ895"/>
  <c r="AJ897" s="1"/>
  <c r="R895"/>
  <c r="R897" s="1"/>
  <c r="Q895"/>
  <c r="Q897" s="1"/>
  <c r="AK894"/>
  <c r="AJ894"/>
  <c r="V894"/>
  <c r="R894"/>
  <c r="Q894"/>
  <c r="AK893"/>
  <c r="AJ893"/>
  <c r="V893"/>
  <c r="R893"/>
  <c r="Q893"/>
  <c r="AI892"/>
  <c r="AH892"/>
  <c r="AG892"/>
  <c r="AF892"/>
  <c r="AE892"/>
  <c r="AD892"/>
  <c r="AC892"/>
  <c r="AB892"/>
  <c r="AA892"/>
  <c r="Z892"/>
  <c r="Y892"/>
  <c r="X892"/>
  <c r="P892"/>
  <c r="O892"/>
  <c r="N892"/>
  <c r="M892"/>
  <c r="L892"/>
  <c r="K892"/>
  <c r="J892"/>
  <c r="I892"/>
  <c r="H892"/>
  <c r="G892"/>
  <c r="F892"/>
  <c r="E892"/>
  <c r="AK891"/>
  <c r="AI891"/>
  <c r="AH891"/>
  <c r="AG891"/>
  <c r="AF891"/>
  <c r="AE891"/>
  <c r="AD891"/>
  <c r="AC891"/>
  <c r="AB891"/>
  <c r="AA891"/>
  <c r="Z891"/>
  <c r="Y891"/>
  <c r="X891"/>
  <c r="P891"/>
  <c r="O891"/>
  <c r="N891"/>
  <c r="M891"/>
  <c r="L891"/>
  <c r="K891"/>
  <c r="J891"/>
  <c r="I891"/>
  <c r="H891"/>
  <c r="G891"/>
  <c r="F891"/>
  <c r="E891"/>
  <c r="AK890"/>
  <c r="AK892" s="1"/>
  <c r="AJ890"/>
  <c r="AJ892" s="1"/>
  <c r="R890"/>
  <c r="R892" s="1"/>
  <c r="Q890"/>
  <c r="Q892" s="1"/>
  <c r="AK889"/>
  <c r="AJ889"/>
  <c r="V889"/>
  <c r="R889"/>
  <c r="Q889"/>
  <c r="AK888"/>
  <c r="AJ888"/>
  <c r="V888"/>
  <c r="R888"/>
  <c r="Q888"/>
  <c r="AI887"/>
  <c r="AH887"/>
  <c r="AG887"/>
  <c r="AF887"/>
  <c r="AE887"/>
  <c r="AD887"/>
  <c r="AC887"/>
  <c r="AB887"/>
  <c r="AA887"/>
  <c r="Z887"/>
  <c r="Y887"/>
  <c r="X887"/>
  <c r="P887"/>
  <c r="O887"/>
  <c r="N887"/>
  <c r="M887"/>
  <c r="L887"/>
  <c r="K887"/>
  <c r="J887"/>
  <c r="I887"/>
  <c r="H887"/>
  <c r="G887"/>
  <c r="F887"/>
  <c r="E887"/>
  <c r="AI886"/>
  <c r="AH886"/>
  <c r="AG886"/>
  <c r="AF886"/>
  <c r="AE886"/>
  <c r="AD886"/>
  <c r="AC886"/>
  <c r="AB886"/>
  <c r="AA886"/>
  <c r="Z886"/>
  <c r="Y886"/>
  <c r="X886"/>
  <c r="R886"/>
  <c r="P886"/>
  <c r="O886"/>
  <c r="N886"/>
  <c r="M886"/>
  <c r="L886"/>
  <c r="K886"/>
  <c r="J886"/>
  <c r="I886"/>
  <c r="H886"/>
  <c r="G886"/>
  <c r="F886"/>
  <c r="E886"/>
  <c r="AK885"/>
  <c r="AK887" s="1"/>
  <c r="AJ885"/>
  <c r="AJ887" s="1"/>
  <c r="R885"/>
  <c r="R887" s="1"/>
  <c r="Q885"/>
  <c r="Q887" s="1"/>
  <c r="AK884"/>
  <c r="AJ884"/>
  <c r="V884"/>
  <c r="R884"/>
  <c r="Q884"/>
  <c r="AK883"/>
  <c r="AJ883"/>
  <c r="V883"/>
  <c r="R883"/>
  <c r="Q883"/>
  <c r="AK882"/>
  <c r="AI882"/>
  <c r="AH882"/>
  <c r="AG882"/>
  <c r="AF882"/>
  <c r="AE882"/>
  <c r="AD882"/>
  <c r="AC882"/>
  <c r="AB882"/>
  <c r="AA882"/>
  <c r="Z882"/>
  <c r="Y882"/>
  <c r="X882"/>
  <c r="P882"/>
  <c r="O882"/>
  <c r="N882"/>
  <c r="M882"/>
  <c r="L882"/>
  <c r="K882"/>
  <c r="J882"/>
  <c r="I882"/>
  <c r="H882"/>
  <c r="G882"/>
  <c r="F882"/>
  <c r="E882"/>
  <c r="AK881"/>
  <c r="AI881"/>
  <c r="AH881"/>
  <c r="AG881"/>
  <c r="AF881"/>
  <c r="AE881"/>
  <c r="AD881"/>
  <c r="AC881"/>
  <c r="AB881"/>
  <c r="AA881"/>
  <c r="Z881"/>
  <c r="Y881"/>
  <c r="X881"/>
  <c r="P881"/>
  <c r="O881"/>
  <c r="N881"/>
  <c r="M881"/>
  <c r="L881"/>
  <c r="K881"/>
  <c r="J881"/>
  <c r="I881"/>
  <c r="H881"/>
  <c r="G881"/>
  <c r="F881"/>
  <c r="E881"/>
  <c r="AK880"/>
  <c r="AJ880"/>
  <c r="AJ882" s="1"/>
  <c r="R880"/>
  <c r="R882" s="1"/>
  <c r="Q880"/>
  <c r="Q882" s="1"/>
  <c r="AK879"/>
  <c r="AJ879"/>
  <c r="V879"/>
  <c r="R879"/>
  <c r="Q879"/>
  <c r="AK878"/>
  <c r="AJ878"/>
  <c r="V878"/>
  <c r="R878"/>
  <c r="Q878"/>
  <c r="AI877"/>
  <c r="AH877"/>
  <c r="AG877"/>
  <c r="AF877"/>
  <c r="AE877"/>
  <c r="AD877"/>
  <c r="AC877"/>
  <c r="AB877"/>
  <c r="AA877"/>
  <c r="Z877"/>
  <c r="Y877"/>
  <c r="X877"/>
  <c r="P877"/>
  <c r="O877"/>
  <c r="N877"/>
  <c r="M877"/>
  <c r="L877"/>
  <c r="K877"/>
  <c r="J877"/>
  <c r="I877"/>
  <c r="H877"/>
  <c r="G877"/>
  <c r="F877"/>
  <c r="E877"/>
  <c r="AI876"/>
  <c r="AH876"/>
  <c r="AG876"/>
  <c r="AF876"/>
  <c r="AE876"/>
  <c r="AD876"/>
  <c r="AC876"/>
  <c r="AB876"/>
  <c r="AA876"/>
  <c r="Z876"/>
  <c r="Y876"/>
  <c r="X876"/>
  <c r="R876"/>
  <c r="P876"/>
  <c r="O876"/>
  <c r="N876"/>
  <c r="M876"/>
  <c r="L876"/>
  <c r="K876"/>
  <c r="J876"/>
  <c r="I876"/>
  <c r="H876"/>
  <c r="G876"/>
  <c r="F876"/>
  <c r="E876"/>
  <c r="AK875"/>
  <c r="AK877" s="1"/>
  <c r="AJ875"/>
  <c r="AJ877" s="1"/>
  <c r="R875"/>
  <c r="R877" s="1"/>
  <c r="Q875"/>
  <c r="Q877" s="1"/>
  <c r="AK874"/>
  <c r="AJ874"/>
  <c r="V874"/>
  <c r="R874"/>
  <c r="Q874"/>
  <c r="AK873"/>
  <c r="AJ873"/>
  <c r="V873"/>
  <c r="R873"/>
  <c r="Q873"/>
  <c r="AK872"/>
  <c r="AI872"/>
  <c r="AH872"/>
  <c r="AG872"/>
  <c r="AF872"/>
  <c r="AE872"/>
  <c r="AD872"/>
  <c r="AC872"/>
  <c r="AB872"/>
  <c r="AA872"/>
  <c r="Z872"/>
  <c r="Y872"/>
  <c r="X872"/>
  <c r="P872"/>
  <c r="O872"/>
  <c r="N872"/>
  <c r="M872"/>
  <c r="L872"/>
  <c r="K872"/>
  <c r="J872"/>
  <c r="I872"/>
  <c r="H872"/>
  <c r="G872"/>
  <c r="F872"/>
  <c r="E872"/>
  <c r="AK871"/>
  <c r="AI871"/>
  <c r="AH871"/>
  <c r="AG871"/>
  <c r="AF871"/>
  <c r="AE871"/>
  <c r="AD871"/>
  <c r="AC871"/>
  <c r="AB871"/>
  <c r="AA871"/>
  <c r="Z871"/>
  <c r="Y871"/>
  <c r="X871"/>
  <c r="P871"/>
  <c r="O871"/>
  <c r="N871"/>
  <c r="M871"/>
  <c r="L871"/>
  <c r="K871"/>
  <c r="J871"/>
  <c r="I871"/>
  <c r="H871"/>
  <c r="G871"/>
  <c r="F871"/>
  <c r="E871"/>
  <c r="AK870"/>
  <c r="AJ870"/>
  <c r="AJ872" s="1"/>
  <c r="R870"/>
  <c r="R872" s="1"/>
  <c r="Q870"/>
  <c r="Q872" s="1"/>
  <c r="AK869"/>
  <c r="AJ869"/>
  <c r="V869"/>
  <c r="R869"/>
  <c r="Q869"/>
  <c r="AK868"/>
  <c r="AJ868"/>
  <c r="V868"/>
  <c r="R868"/>
  <c r="Q868"/>
  <c r="AI867"/>
  <c r="AH867"/>
  <c r="AG867"/>
  <c r="AF867"/>
  <c r="AE867"/>
  <c r="AD867"/>
  <c r="AC867"/>
  <c r="AB867"/>
  <c r="AA867"/>
  <c r="Z867"/>
  <c r="Y867"/>
  <c r="X867"/>
  <c r="P867"/>
  <c r="O867"/>
  <c r="N867"/>
  <c r="M867"/>
  <c r="L867"/>
  <c r="K867"/>
  <c r="J867"/>
  <c r="I867"/>
  <c r="H867"/>
  <c r="G867"/>
  <c r="F867"/>
  <c r="E867"/>
  <c r="AI866"/>
  <c r="AH866"/>
  <c r="AG866"/>
  <c r="AF866"/>
  <c r="AE866"/>
  <c r="AD866"/>
  <c r="AC866"/>
  <c r="AB866"/>
  <c r="AA866"/>
  <c r="Z866"/>
  <c r="Y866"/>
  <c r="X866"/>
  <c r="R866"/>
  <c r="P866"/>
  <c r="O866"/>
  <c r="N866"/>
  <c r="M866"/>
  <c r="L866"/>
  <c r="K866"/>
  <c r="J866"/>
  <c r="I866"/>
  <c r="H866"/>
  <c r="G866"/>
  <c r="F866"/>
  <c r="E866"/>
  <c r="AK865"/>
  <c r="AK867" s="1"/>
  <c r="AJ865"/>
  <c r="AJ867" s="1"/>
  <c r="R865"/>
  <c r="R867" s="1"/>
  <c r="Q865"/>
  <c r="Q867" s="1"/>
  <c r="AK864"/>
  <c r="AJ864"/>
  <c r="V864"/>
  <c r="R864"/>
  <c r="Q864"/>
  <c r="AK863"/>
  <c r="AJ863"/>
  <c r="V863"/>
  <c r="R863"/>
  <c r="Q863"/>
  <c r="AK862"/>
  <c r="AI862"/>
  <c r="AH862"/>
  <c r="AG862"/>
  <c r="AF862"/>
  <c r="AE862"/>
  <c r="AD862"/>
  <c r="AC862"/>
  <c r="AB862"/>
  <c r="AA862"/>
  <c r="Z862"/>
  <c r="Y862"/>
  <c r="X862"/>
  <c r="P862"/>
  <c r="O862"/>
  <c r="N862"/>
  <c r="M862"/>
  <c r="L862"/>
  <c r="K862"/>
  <c r="J862"/>
  <c r="I862"/>
  <c r="H862"/>
  <c r="G862"/>
  <c r="F862"/>
  <c r="E862"/>
  <c r="AK861"/>
  <c r="AI861"/>
  <c r="AH861"/>
  <c r="AG861"/>
  <c r="AF861"/>
  <c r="AE861"/>
  <c r="AD861"/>
  <c r="AC861"/>
  <c r="AB861"/>
  <c r="AA861"/>
  <c r="Z861"/>
  <c r="Y861"/>
  <c r="X861"/>
  <c r="P861"/>
  <c r="O861"/>
  <c r="N861"/>
  <c r="M861"/>
  <c r="L861"/>
  <c r="K861"/>
  <c r="J861"/>
  <c r="I861"/>
  <c r="H861"/>
  <c r="G861"/>
  <c r="F861"/>
  <c r="E861"/>
  <c r="AK860"/>
  <c r="AJ860"/>
  <c r="AJ862" s="1"/>
  <c r="R860"/>
  <c r="R862" s="1"/>
  <c r="Q860"/>
  <c r="Q862" s="1"/>
  <c r="AK859"/>
  <c r="AJ859"/>
  <c r="V859"/>
  <c r="R859"/>
  <c r="Q859"/>
  <c r="AK858"/>
  <c r="AJ858"/>
  <c r="V858"/>
  <c r="R858"/>
  <c r="Q858"/>
  <c r="AI857"/>
  <c r="AH857"/>
  <c r="AG857"/>
  <c r="AF857"/>
  <c r="AE857"/>
  <c r="AD857"/>
  <c r="AC857"/>
  <c r="AB857"/>
  <c r="AA857"/>
  <c r="Z857"/>
  <c r="Y857"/>
  <c r="X857"/>
  <c r="P857"/>
  <c r="O857"/>
  <c r="N857"/>
  <c r="M857"/>
  <c r="L857"/>
  <c r="K857"/>
  <c r="J857"/>
  <c r="I857"/>
  <c r="H857"/>
  <c r="G857"/>
  <c r="F857"/>
  <c r="E857"/>
  <c r="AI856"/>
  <c r="AH856"/>
  <c r="AG856"/>
  <c r="AF856"/>
  <c r="AE856"/>
  <c r="AD856"/>
  <c r="AC856"/>
  <c r="AB856"/>
  <c r="AA856"/>
  <c r="Z856"/>
  <c r="Y856"/>
  <c r="X856"/>
  <c r="R856"/>
  <c r="P856"/>
  <c r="O856"/>
  <c r="N856"/>
  <c r="M856"/>
  <c r="L856"/>
  <c r="K856"/>
  <c r="J856"/>
  <c r="I856"/>
  <c r="H856"/>
  <c r="G856"/>
  <c r="F856"/>
  <c r="E856"/>
  <c r="AK855"/>
  <c r="AK857" s="1"/>
  <c r="AJ855"/>
  <c r="AJ857" s="1"/>
  <c r="R855"/>
  <c r="R857" s="1"/>
  <c r="Q855"/>
  <c r="Q857" s="1"/>
  <c r="AK854"/>
  <c r="AJ854"/>
  <c r="V854"/>
  <c r="R854"/>
  <c r="Q854"/>
  <c r="AK853"/>
  <c r="AJ853"/>
  <c r="V853"/>
  <c r="R853"/>
  <c r="Q853"/>
  <c r="AK852"/>
  <c r="AI852"/>
  <c r="AH852"/>
  <c r="AG852"/>
  <c r="AF852"/>
  <c r="AE852"/>
  <c r="AD852"/>
  <c r="AC852"/>
  <c r="AB852"/>
  <c r="AA852"/>
  <c r="Z852"/>
  <c r="Y852"/>
  <c r="X852"/>
  <c r="P852"/>
  <c r="O852"/>
  <c r="N852"/>
  <c r="M852"/>
  <c r="L852"/>
  <c r="K852"/>
  <c r="J852"/>
  <c r="I852"/>
  <c r="H852"/>
  <c r="G852"/>
  <c r="F852"/>
  <c r="E852"/>
  <c r="AK851"/>
  <c r="AI851"/>
  <c r="AH851"/>
  <c r="AG851"/>
  <c r="AF851"/>
  <c r="AE851"/>
  <c r="AD851"/>
  <c r="AC851"/>
  <c r="AB851"/>
  <c r="AA851"/>
  <c r="Z851"/>
  <c r="Y851"/>
  <c r="X851"/>
  <c r="P851"/>
  <c r="O851"/>
  <c r="N851"/>
  <c r="M851"/>
  <c r="L851"/>
  <c r="K851"/>
  <c r="J851"/>
  <c r="I851"/>
  <c r="H851"/>
  <c r="G851"/>
  <c r="F851"/>
  <c r="E851"/>
  <c r="AK850"/>
  <c r="AJ850"/>
  <c r="AJ852" s="1"/>
  <c r="R850"/>
  <c r="R852" s="1"/>
  <c r="Q850"/>
  <c r="Q852" s="1"/>
  <c r="AK849"/>
  <c r="AJ849"/>
  <c r="V849"/>
  <c r="R849"/>
  <c r="Q849"/>
  <c r="AK848"/>
  <c r="AJ848"/>
  <c r="V848"/>
  <c r="R848"/>
  <c r="Q848"/>
  <c r="AI847"/>
  <c r="AH847"/>
  <c r="AG847"/>
  <c r="AF847"/>
  <c r="AE847"/>
  <c r="AD847"/>
  <c r="AC847"/>
  <c r="AB847"/>
  <c r="AA847"/>
  <c r="Z847"/>
  <c r="Y847"/>
  <c r="X847"/>
  <c r="P847"/>
  <c r="O847"/>
  <c r="N847"/>
  <c r="M847"/>
  <c r="L847"/>
  <c r="K847"/>
  <c r="J847"/>
  <c r="I847"/>
  <c r="H847"/>
  <c r="G847"/>
  <c r="F847"/>
  <c r="E847"/>
  <c r="AI846"/>
  <c r="AH846"/>
  <c r="AG846"/>
  <c r="AF846"/>
  <c r="AE846"/>
  <c r="AD846"/>
  <c r="AC846"/>
  <c r="AB846"/>
  <c r="AA846"/>
  <c r="Z846"/>
  <c r="Y846"/>
  <c r="X846"/>
  <c r="R846"/>
  <c r="P846"/>
  <c r="O846"/>
  <c r="N846"/>
  <c r="M846"/>
  <c r="L846"/>
  <c r="K846"/>
  <c r="J846"/>
  <c r="I846"/>
  <c r="H846"/>
  <c r="G846"/>
  <c r="F846"/>
  <c r="E846"/>
  <c r="AK845"/>
  <c r="AK847" s="1"/>
  <c r="AJ845"/>
  <c r="AJ847" s="1"/>
  <c r="R845"/>
  <c r="R847" s="1"/>
  <c r="Q845"/>
  <c r="Q847" s="1"/>
  <c r="AK844"/>
  <c r="AJ844"/>
  <c r="V844"/>
  <c r="R844"/>
  <c r="Q844"/>
  <c r="AK843"/>
  <c r="AJ843"/>
  <c r="V843"/>
  <c r="R843"/>
  <c r="Q843"/>
  <c r="AK842"/>
  <c r="AI842"/>
  <c r="AH842"/>
  <c r="AG842"/>
  <c r="AF842"/>
  <c r="AE842"/>
  <c r="AD842"/>
  <c r="AC842"/>
  <c r="AB842"/>
  <c r="AA842"/>
  <c r="Z842"/>
  <c r="Y842"/>
  <c r="X842"/>
  <c r="P842"/>
  <c r="O842"/>
  <c r="N842"/>
  <c r="M842"/>
  <c r="L842"/>
  <c r="K842"/>
  <c r="J842"/>
  <c r="I842"/>
  <c r="H842"/>
  <c r="G842"/>
  <c r="F842"/>
  <c r="E842"/>
  <c r="AK841"/>
  <c r="AI841"/>
  <c r="AH841"/>
  <c r="AG841"/>
  <c r="AF841"/>
  <c r="AE841"/>
  <c r="AD841"/>
  <c r="AC841"/>
  <c r="AB841"/>
  <c r="AA841"/>
  <c r="Z841"/>
  <c r="Y841"/>
  <c r="X841"/>
  <c r="P841"/>
  <c r="O841"/>
  <c r="N841"/>
  <c r="M841"/>
  <c r="L841"/>
  <c r="K841"/>
  <c r="J841"/>
  <c r="I841"/>
  <c r="H841"/>
  <c r="G841"/>
  <c r="F841"/>
  <c r="E841"/>
  <c r="AK840"/>
  <c r="AJ840"/>
  <c r="AJ842" s="1"/>
  <c r="R840"/>
  <c r="R842" s="1"/>
  <c r="Q840"/>
  <c r="Q842" s="1"/>
  <c r="AK839"/>
  <c r="AJ839"/>
  <c r="V839"/>
  <c r="R839"/>
  <c r="Q839"/>
  <c r="AK838"/>
  <c r="AJ838"/>
  <c r="V838"/>
  <c r="R838"/>
  <c r="Q838"/>
  <c r="AI837"/>
  <c r="AH837"/>
  <c r="AG837"/>
  <c r="AF837"/>
  <c r="AE837"/>
  <c r="AD837"/>
  <c r="AC837"/>
  <c r="AB837"/>
  <c r="AA837"/>
  <c r="Z837"/>
  <c r="Y837"/>
  <c r="X837"/>
  <c r="P837"/>
  <c r="O837"/>
  <c r="N837"/>
  <c r="M837"/>
  <c r="L837"/>
  <c r="K837"/>
  <c r="J837"/>
  <c r="I837"/>
  <c r="H837"/>
  <c r="G837"/>
  <c r="F837"/>
  <c r="E837"/>
  <c r="AI836"/>
  <c r="AH836"/>
  <c r="AG836"/>
  <c r="AF836"/>
  <c r="AE836"/>
  <c r="AD836"/>
  <c r="AC836"/>
  <c r="AB836"/>
  <c r="AA836"/>
  <c r="Z836"/>
  <c r="Y836"/>
  <c r="X836"/>
  <c r="R836"/>
  <c r="P836"/>
  <c r="O836"/>
  <c r="N836"/>
  <c r="M836"/>
  <c r="L836"/>
  <c r="K836"/>
  <c r="J836"/>
  <c r="I836"/>
  <c r="H836"/>
  <c r="G836"/>
  <c r="F836"/>
  <c r="E836"/>
  <c r="AK835"/>
  <c r="AK837" s="1"/>
  <c r="AJ835"/>
  <c r="AJ837" s="1"/>
  <c r="R835"/>
  <c r="R837" s="1"/>
  <c r="Q835"/>
  <c r="Q837" s="1"/>
  <c r="AK834"/>
  <c r="AJ834"/>
  <c r="V834"/>
  <c r="R834"/>
  <c r="Q834"/>
  <c r="AK833"/>
  <c r="AJ833"/>
  <c r="V833"/>
  <c r="R833"/>
  <c r="Q833"/>
  <c r="L832"/>
  <c r="H831"/>
  <c r="AI830"/>
  <c r="AI832" s="1"/>
  <c r="AH830"/>
  <c r="AH832" s="1"/>
  <c r="AG830"/>
  <c r="AG831" s="1"/>
  <c r="AF830"/>
  <c r="AF832" s="1"/>
  <c r="AE830"/>
  <c r="AE832" s="1"/>
  <c r="AD830"/>
  <c r="AD832" s="1"/>
  <c r="AC830"/>
  <c r="AC832" s="1"/>
  <c r="AB830"/>
  <c r="AB832" s="1"/>
  <c r="AA830"/>
  <c r="AA832" s="1"/>
  <c r="Z830"/>
  <c r="Z832" s="1"/>
  <c r="Y830"/>
  <c r="X830"/>
  <c r="X832" s="1"/>
  <c r="P830"/>
  <c r="P832" s="1"/>
  <c r="O830"/>
  <c r="O832" s="1"/>
  <c r="N830"/>
  <c r="N832" s="1"/>
  <c r="M830"/>
  <c r="M832" s="1"/>
  <c r="L830"/>
  <c r="L831" s="1"/>
  <c r="K830"/>
  <c r="K832" s="1"/>
  <c r="J830"/>
  <c r="J832" s="1"/>
  <c r="I830"/>
  <c r="I832" s="1"/>
  <c r="H830"/>
  <c r="H832" s="1"/>
  <c r="G830"/>
  <c r="G832" s="1"/>
  <c r="F830"/>
  <c r="F832" s="1"/>
  <c r="E830"/>
  <c r="E832" s="1"/>
  <c r="AK829"/>
  <c r="AI829"/>
  <c r="AH829"/>
  <c r="AG829"/>
  <c r="AF829"/>
  <c r="AE829"/>
  <c r="AD829"/>
  <c r="AC829"/>
  <c r="AB829"/>
  <c r="AA829"/>
  <c r="Z829"/>
  <c r="Y829"/>
  <c r="X829"/>
  <c r="AJ829" s="1"/>
  <c r="P829"/>
  <c r="O829"/>
  <c r="N829"/>
  <c r="M829"/>
  <c r="L829"/>
  <c r="K829"/>
  <c r="J829"/>
  <c r="I829"/>
  <c r="H829"/>
  <c r="G829"/>
  <c r="F829"/>
  <c r="E829"/>
  <c r="Q829" s="1"/>
  <c r="AI828"/>
  <c r="AH828"/>
  <c r="AG828"/>
  <c r="AF828"/>
  <c r="AE828"/>
  <c r="AD828"/>
  <c r="AC828"/>
  <c r="AB828"/>
  <c r="AA828"/>
  <c r="Z828"/>
  <c r="Y828"/>
  <c r="AK828" s="1"/>
  <c r="X828"/>
  <c r="R828"/>
  <c r="P828"/>
  <c r="O828"/>
  <c r="N828"/>
  <c r="M828"/>
  <c r="L828"/>
  <c r="K828"/>
  <c r="J828"/>
  <c r="I828"/>
  <c r="H828"/>
  <c r="G828"/>
  <c r="F828"/>
  <c r="E828"/>
  <c r="Q828" s="1"/>
  <c r="AI827"/>
  <c r="AH827"/>
  <c r="AG827"/>
  <c r="AF827"/>
  <c r="AE827"/>
  <c r="AD827"/>
  <c r="AC827"/>
  <c r="AB827"/>
  <c r="AA827"/>
  <c r="Z827"/>
  <c r="Y827"/>
  <c r="X827"/>
  <c r="R827"/>
  <c r="P827"/>
  <c r="O827"/>
  <c r="N827"/>
  <c r="M827"/>
  <c r="L827"/>
  <c r="K827"/>
  <c r="J827"/>
  <c r="I827"/>
  <c r="H827"/>
  <c r="G827"/>
  <c r="F827"/>
  <c r="E827"/>
  <c r="AK826"/>
  <c r="AI826"/>
  <c r="AH826"/>
  <c r="AG826"/>
  <c r="AF826"/>
  <c r="AE826"/>
  <c r="AD826"/>
  <c r="AC826"/>
  <c r="AB826"/>
  <c r="AA826"/>
  <c r="Z826"/>
  <c r="Y826"/>
  <c r="X826"/>
  <c r="R826"/>
  <c r="P826"/>
  <c r="O826"/>
  <c r="N826"/>
  <c r="M826"/>
  <c r="L826"/>
  <c r="K826"/>
  <c r="J826"/>
  <c r="I826"/>
  <c r="H826"/>
  <c r="G826"/>
  <c r="F826"/>
  <c r="E826"/>
  <c r="AK825"/>
  <c r="AK827" s="1"/>
  <c r="AJ825"/>
  <c r="AJ827" s="1"/>
  <c r="R825"/>
  <c r="Q825"/>
  <c r="Q827" s="1"/>
  <c r="AK824"/>
  <c r="AJ824"/>
  <c r="V824"/>
  <c r="R824"/>
  <c r="Q824"/>
  <c r="AK823"/>
  <c r="AJ823"/>
  <c r="V823"/>
  <c r="R823"/>
  <c r="Q823"/>
  <c r="AI822"/>
  <c r="AH822"/>
  <c r="AG822"/>
  <c r="AF822"/>
  <c r="AE822"/>
  <c r="AD822"/>
  <c r="AC822"/>
  <c r="AB822"/>
  <c r="AA822"/>
  <c r="Z822"/>
  <c r="Y822"/>
  <c r="X822"/>
  <c r="R822"/>
  <c r="P822"/>
  <c r="O822"/>
  <c r="N822"/>
  <c r="M822"/>
  <c r="L822"/>
  <c r="K822"/>
  <c r="J822"/>
  <c r="I822"/>
  <c r="H822"/>
  <c r="G822"/>
  <c r="F822"/>
  <c r="E822"/>
  <c r="AI821"/>
  <c r="AH821"/>
  <c r="AG821"/>
  <c r="AF821"/>
  <c r="AE821"/>
  <c r="AD821"/>
  <c r="AC821"/>
  <c r="AB821"/>
  <c r="AA821"/>
  <c r="Z821"/>
  <c r="Y821"/>
  <c r="X821"/>
  <c r="R821"/>
  <c r="P821"/>
  <c r="O821"/>
  <c r="N821"/>
  <c r="M821"/>
  <c r="L821"/>
  <c r="K821"/>
  <c r="J821"/>
  <c r="I821"/>
  <c r="H821"/>
  <c r="G821"/>
  <c r="F821"/>
  <c r="E821"/>
  <c r="AK820"/>
  <c r="AK822" s="1"/>
  <c r="AJ820"/>
  <c r="AJ822" s="1"/>
  <c r="R820"/>
  <c r="Q820"/>
  <c r="Q822" s="1"/>
  <c r="AK819"/>
  <c r="AJ819"/>
  <c r="V819"/>
  <c r="R819"/>
  <c r="Q819"/>
  <c r="AK818"/>
  <c r="AJ818"/>
  <c r="V818"/>
  <c r="R818"/>
  <c r="Q818"/>
  <c r="AI817"/>
  <c r="AH817"/>
  <c r="AG817"/>
  <c r="AF817"/>
  <c r="AE817"/>
  <c r="AD817"/>
  <c r="AC817"/>
  <c r="AB817"/>
  <c r="AA817"/>
  <c r="Z817"/>
  <c r="Y817"/>
  <c r="X817"/>
  <c r="R817"/>
  <c r="P817"/>
  <c r="O817"/>
  <c r="N817"/>
  <c r="M817"/>
  <c r="L817"/>
  <c r="K817"/>
  <c r="J817"/>
  <c r="I817"/>
  <c r="H817"/>
  <c r="G817"/>
  <c r="F817"/>
  <c r="E817"/>
  <c r="AK816"/>
  <c r="AI816"/>
  <c r="AH816"/>
  <c r="AG816"/>
  <c r="AF816"/>
  <c r="AE816"/>
  <c r="AD816"/>
  <c r="AC816"/>
  <c r="AB816"/>
  <c r="AA816"/>
  <c r="Z816"/>
  <c r="Y816"/>
  <c r="X816"/>
  <c r="R816"/>
  <c r="P816"/>
  <c r="O816"/>
  <c r="N816"/>
  <c r="M816"/>
  <c r="L816"/>
  <c r="K816"/>
  <c r="J816"/>
  <c r="I816"/>
  <c r="H816"/>
  <c r="G816"/>
  <c r="F816"/>
  <c r="E816"/>
  <c r="AK815"/>
  <c r="AK817" s="1"/>
  <c r="AJ815"/>
  <c r="AJ817" s="1"/>
  <c r="R815"/>
  <c r="Q815"/>
  <c r="Q817" s="1"/>
  <c r="AK814"/>
  <c r="AJ814"/>
  <c r="V814"/>
  <c r="R814"/>
  <c r="Q814"/>
  <c r="AK813"/>
  <c r="AJ813"/>
  <c r="V813"/>
  <c r="R813"/>
  <c r="Q813"/>
  <c r="AI812"/>
  <c r="AH812"/>
  <c r="AG812"/>
  <c r="AF812"/>
  <c r="AE812"/>
  <c r="AD812"/>
  <c r="AC812"/>
  <c r="AB812"/>
  <c r="AA812"/>
  <c r="Z812"/>
  <c r="Y812"/>
  <c r="X812"/>
  <c r="R812"/>
  <c r="P812"/>
  <c r="O812"/>
  <c r="N812"/>
  <c r="M812"/>
  <c r="L812"/>
  <c r="K812"/>
  <c r="J812"/>
  <c r="I812"/>
  <c r="H812"/>
  <c r="G812"/>
  <c r="F812"/>
  <c r="E812"/>
  <c r="AI811"/>
  <c r="AH811"/>
  <c r="AG811"/>
  <c r="AF811"/>
  <c r="AE811"/>
  <c r="AD811"/>
  <c r="AC811"/>
  <c r="AB811"/>
  <c r="AA811"/>
  <c r="Z811"/>
  <c r="Y811"/>
  <c r="X811"/>
  <c r="R811"/>
  <c r="P811"/>
  <c r="O811"/>
  <c r="N811"/>
  <c r="M811"/>
  <c r="L811"/>
  <c r="K811"/>
  <c r="J811"/>
  <c r="I811"/>
  <c r="H811"/>
  <c r="G811"/>
  <c r="F811"/>
  <c r="E811"/>
  <c r="AK810"/>
  <c r="AK812" s="1"/>
  <c r="AJ810"/>
  <c r="AJ812" s="1"/>
  <c r="R810"/>
  <c r="Q810"/>
  <c r="Q812" s="1"/>
  <c r="AK809"/>
  <c r="AJ809"/>
  <c r="V809"/>
  <c r="R809"/>
  <c r="Q809"/>
  <c r="AK808"/>
  <c r="AJ808"/>
  <c r="V808"/>
  <c r="R808"/>
  <c r="Q808"/>
  <c r="AI807"/>
  <c r="AH807"/>
  <c r="AG807"/>
  <c r="AF807"/>
  <c r="AE807"/>
  <c r="AD807"/>
  <c r="AC807"/>
  <c r="AB807"/>
  <c r="AA807"/>
  <c r="Z807"/>
  <c r="Y807"/>
  <c r="X807"/>
  <c r="R807"/>
  <c r="P807"/>
  <c r="O807"/>
  <c r="N807"/>
  <c r="M807"/>
  <c r="L807"/>
  <c r="K807"/>
  <c r="J807"/>
  <c r="I807"/>
  <c r="H807"/>
  <c r="G807"/>
  <c r="F807"/>
  <c r="E807"/>
  <c r="AJ806"/>
  <c r="AI806"/>
  <c r="AH806"/>
  <c r="AG806"/>
  <c r="AF806"/>
  <c r="AE806"/>
  <c r="AD806"/>
  <c r="AC806"/>
  <c r="AB806"/>
  <c r="AA806"/>
  <c r="Z806"/>
  <c r="Y806"/>
  <c r="X806"/>
  <c r="P806"/>
  <c r="O806"/>
  <c r="N806"/>
  <c r="M806"/>
  <c r="L806"/>
  <c r="K806"/>
  <c r="J806"/>
  <c r="I806"/>
  <c r="H806"/>
  <c r="G806"/>
  <c r="F806"/>
  <c r="E806"/>
  <c r="AK805"/>
  <c r="AK806" s="1"/>
  <c r="AJ805"/>
  <c r="AJ807" s="1"/>
  <c r="R805"/>
  <c r="R806" s="1"/>
  <c r="Q805"/>
  <c r="AK804"/>
  <c r="AJ804"/>
  <c r="V804"/>
  <c r="R804"/>
  <c r="Q804"/>
  <c r="AK803"/>
  <c r="AJ803"/>
  <c r="V803"/>
  <c r="R803"/>
  <c r="Q803"/>
  <c r="AI802"/>
  <c r="AH802"/>
  <c r="AG802"/>
  <c r="AF802"/>
  <c r="AE802"/>
  <c r="AD802"/>
  <c r="AC802"/>
  <c r="AB802"/>
  <c r="AA802"/>
  <c r="Z802"/>
  <c r="Y802"/>
  <c r="X802"/>
  <c r="P802"/>
  <c r="O802"/>
  <c r="N802"/>
  <c r="M802"/>
  <c r="L802"/>
  <c r="K802"/>
  <c r="J802"/>
  <c r="I802"/>
  <c r="H802"/>
  <c r="G802"/>
  <c r="F802"/>
  <c r="E802"/>
  <c r="AI801"/>
  <c r="AH801"/>
  <c r="AG801"/>
  <c r="AF801"/>
  <c r="AE801"/>
  <c r="AD801"/>
  <c r="AC801"/>
  <c r="AB801"/>
  <c r="AA801"/>
  <c r="Z801"/>
  <c r="Y801"/>
  <c r="X801"/>
  <c r="P801"/>
  <c r="O801"/>
  <c r="N801"/>
  <c r="M801"/>
  <c r="L801"/>
  <c r="K801"/>
  <c r="J801"/>
  <c r="I801"/>
  <c r="H801"/>
  <c r="G801"/>
  <c r="F801"/>
  <c r="E801"/>
  <c r="AK800"/>
  <c r="AK802" s="1"/>
  <c r="AJ800"/>
  <c r="AJ802" s="1"/>
  <c r="R800"/>
  <c r="R802" s="1"/>
  <c r="Q800"/>
  <c r="Q802" s="1"/>
  <c r="AK799"/>
  <c r="AJ799"/>
  <c r="V799"/>
  <c r="R799"/>
  <c r="Q799"/>
  <c r="AK798"/>
  <c r="AJ798"/>
  <c r="V798"/>
  <c r="R798"/>
  <c r="Q798"/>
  <c r="AI797"/>
  <c r="AH797"/>
  <c r="AG797"/>
  <c r="AF797"/>
  <c r="AE797"/>
  <c r="AD797"/>
  <c r="AC797"/>
  <c r="AB797"/>
  <c r="AA797"/>
  <c r="Z797"/>
  <c r="Y797"/>
  <c r="X797"/>
  <c r="P797"/>
  <c r="O797"/>
  <c r="N797"/>
  <c r="M797"/>
  <c r="L797"/>
  <c r="K797"/>
  <c r="J797"/>
  <c r="I797"/>
  <c r="H797"/>
  <c r="G797"/>
  <c r="F797"/>
  <c r="E797"/>
  <c r="AJ796"/>
  <c r="AI796"/>
  <c r="AH796"/>
  <c r="AG796"/>
  <c r="AF796"/>
  <c r="AE796"/>
  <c r="AD796"/>
  <c r="AC796"/>
  <c r="AB796"/>
  <c r="AA796"/>
  <c r="Z796"/>
  <c r="Y796"/>
  <c r="X796"/>
  <c r="P796"/>
  <c r="O796"/>
  <c r="N796"/>
  <c r="M796"/>
  <c r="L796"/>
  <c r="K796"/>
  <c r="J796"/>
  <c r="I796"/>
  <c r="H796"/>
  <c r="G796"/>
  <c r="F796"/>
  <c r="E796"/>
  <c r="AK795"/>
  <c r="AK797" s="1"/>
  <c r="AJ795"/>
  <c r="AJ797" s="1"/>
  <c r="R795"/>
  <c r="R797" s="1"/>
  <c r="Q795"/>
  <c r="Q797" s="1"/>
  <c r="AK794"/>
  <c r="AJ794"/>
  <c r="V794"/>
  <c r="R794"/>
  <c r="Q794"/>
  <c r="AK793"/>
  <c r="AJ793"/>
  <c r="V793"/>
  <c r="R793"/>
  <c r="Q793"/>
  <c r="AI792"/>
  <c r="AH792"/>
  <c r="AG792"/>
  <c r="AF792"/>
  <c r="AE792"/>
  <c r="AD792"/>
  <c r="AC792"/>
  <c r="AB792"/>
  <c r="AA792"/>
  <c r="Z792"/>
  <c r="Y792"/>
  <c r="X792"/>
  <c r="P792"/>
  <c r="O792"/>
  <c r="N792"/>
  <c r="M792"/>
  <c r="L792"/>
  <c r="K792"/>
  <c r="J792"/>
  <c r="I792"/>
  <c r="H792"/>
  <c r="G792"/>
  <c r="F792"/>
  <c r="E792"/>
  <c r="AI791"/>
  <c r="AH791"/>
  <c r="AG791"/>
  <c r="AF791"/>
  <c r="AE791"/>
  <c r="AD791"/>
  <c r="AC791"/>
  <c r="AB791"/>
  <c r="AA791"/>
  <c r="Z791"/>
  <c r="Y791"/>
  <c r="X791"/>
  <c r="P791"/>
  <c r="O791"/>
  <c r="N791"/>
  <c r="M791"/>
  <c r="L791"/>
  <c r="K791"/>
  <c r="J791"/>
  <c r="I791"/>
  <c r="H791"/>
  <c r="G791"/>
  <c r="F791"/>
  <c r="E791"/>
  <c r="AK790"/>
  <c r="AK792" s="1"/>
  <c r="AJ790"/>
  <c r="AJ792" s="1"/>
  <c r="R790"/>
  <c r="R792" s="1"/>
  <c r="Q790"/>
  <c r="Q792" s="1"/>
  <c r="AK789"/>
  <c r="AJ789"/>
  <c r="V789"/>
  <c r="R789"/>
  <c r="Q789"/>
  <c r="AK788"/>
  <c r="AJ788"/>
  <c r="V788"/>
  <c r="R788"/>
  <c r="Q788"/>
  <c r="AI787"/>
  <c r="AH787"/>
  <c r="AG787"/>
  <c r="AF787"/>
  <c r="AE787"/>
  <c r="AD787"/>
  <c r="AC787"/>
  <c r="AB787"/>
  <c r="AA787"/>
  <c r="Z787"/>
  <c r="Y787"/>
  <c r="X787"/>
  <c r="P787"/>
  <c r="O787"/>
  <c r="N787"/>
  <c r="M787"/>
  <c r="L787"/>
  <c r="K787"/>
  <c r="J787"/>
  <c r="I787"/>
  <c r="H787"/>
  <c r="G787"/>
  <c r="F787"/>
  <c r="E787"/>
  <c r="AJ786"/>
  <c r="AI786"/>
  <c r="AH786"/>
  <c r="AG786"/>
  <c r="AF786"/>
  <c r="AE786"/>
  <c r="AD786"/>
  <c r="AC786"/>
  <c r="AB786"/>
  <c r="AA786"/>
  <c r="Z786"/>
  <c r="Y786"/>
  <c r="X786"/>
  <c r="P786"/>
  <c r="O786"/>
  <c r="N786"/>
  <c r="M786"/>
  <c r="L786"/>
  <c r="K786"/>
  <c r="J786"/>
  <c r="I786"/>
  <c r="H786"/>
  <c r="G786"/>
  <c r="F786"/>
  <c r="E786"/>
  <c r="AK785"/>
  <c r="AK787" s="1"/>
  <c r="AJ785"/>
  <c r="AJ787" s="1"/>
  <c r="R785"/>
  <c r="R787" s="1"/>
  <c r="Q785"/>
  <c r="Q787" s="1"/>
  <c r="AK784"/>
  <c r="AJ784"/>
  <c r="V784"/>
  <c r="R784"/>
  <c r="Q784"/>
  <c r="AK783"/>
  <c r="AJ783"/>
  <c r="V783"/>
  <c r="R783"/>
  <c r="Q783"/>
  <c r="AI782"/>
  <c r="AH782"/>
  <c r="AG782"/>
  <c r="AF782"/>
  <c r="AE782"/>
  <c r="AD782"/>
  <c r="AC782"/>
  <c r="AB782"/>
  <c r="AA782"/>
  <c r="Z782"/>
  <c r="Y782"/>
  <c r="X782"/>
  <c r="P782"/>
  <c r="O782"/>
  <c r="N782"/>
  <c r="M782"/>
  <c r="L782"/>
  <c r="K782"/>
  <c r="J782"/>
  <c r="I782"/>
  <c r="H782"/>
  <c r="G782"/>
  <c r="F782"/>
  <c r="E782"/>
  <c r="AI781"/>
  <c r="AH781"/>
  <c r="AG781"/>
  <c r="AF781"/>
  <c r="AE781"/>
  <c r="AD781"/>
  <c r="AC781"/>
  <c r="AB781"/>
  <c r="AA781"/>
  <c r="Z781"/>
  <c r="Y781"/>
  <c r="X781"/>
  <c r="P781"/>
  <c r="O781"/>
  <c r="N781"/>
  <c r="M781"/>
  <c r="L781"/>
  <c r="K781"/>
  <c r="J781"/>
  <c r="I781"/>
  <c r="H781"/>
  <c r="G781"/>
  <c r="F781"/>
  <c r="E781"/>
  <c r="AK780"/>
  <c r="AK782" s="1"/>
  <c r="AJ780"/>
  <c r="AJ782" s="1"/>
  <c r="R780"/>
  <c r="R782" s="1"/>
  <c r="Q780"/>
  <c r="Q782" s="1"/>
  <c r="AK779"/>
  <c r="AJ779"/>
  <c r="V779"/>
  <c r="R779"/>
  <c r="Q779"/>
  <c r="AK778"/>
  <c r="AJ778"/>
  <c r="V778"/>
  <c r="R778"/>
  <c r="Q778"/>
  <c r="AI777"/>
  <c r="AH777"/>
  <c r="AG777"/>
  <c r="AF777"/>
  <c r="AE777"/>
  <c r="AD777"/>
  <c r="AC777"/>
  <c r="AB777"/>
  <c r="AA777"/>
  <c r="Z777"/>
  <c r="Y777"/>
  <c r="X777"/>
  <c r="P777"/>
  <c r="O777"/>
  <c r="N777"/>
  <c r="M777"/>
  <c r="L777"/>
  <c r="K777"/>
  <c r="J777"/>
  <c r="I777"/>
  <c r="H777"/>
  <c r="G777"/>
  <c r="F777"/>
  <c r="E777"/>
  <c r="AJ776"/>
  <c r="AI776"/>
  <c r="AH776"/>
  <c r="AG776"/>
  <c r="AF776"/>
  <c r="AE776"/>
  <c r="AD776"/>
  <c r="AC776"/>
  <c r="AB776"/>
  <c r="AA776"/>
  <c r="Z776"/>
  <c r="Y776"/>
  <c r="X776"/>
  <c r="P776"/>
  <c r="O776"/>
  <c r="N776"/>
  <c r="M776"/>
  <c r="L776"/>
  <c r="K776"/>
  <c r="J776"/>
  <c r="I776"/>
  <c r="H776"/>
  <c r="G776"/>
  <c r="F776"/>
  <c r="E776"/>
  <c r="AK775"/>
  <c r="AK777" s="1"/>
  <c r="AJ775"/>
  <c r="AJ777" s="1"/>
  <c r="R775"/>
  <c r="R777" s="1"/>
  <c r="Q775"/>
  <c r="Q777" s="1"/>
  <c r="AK774"/>
  <c r="AJ774"/>
  <c r="V774"/>
  <c r="R774"/>
  <c r="Q774"/>
  <c r="AK773"/>
  <c r="AJ773"/>
  <c r="V773"/>
  <c r="R773"/>
  <c r="Q773"/>
  <c r="AI772"/>
  <c r="AH772"/>
  <c r="AG772"/>
  <c r="AF772"/>
  <c r="AE772"/>
  <c r="AD772"/>
  <c r="AC772"/>
  <c r="AB772"/>
  <c r="AA772"/>
  <c r="Z772"/>
  <c r="Y772"/>
  <c r="X772"/>
  <c r="P772"/>
  <c r="O772"/>
  <c r="N772"/>
  <c r="M772"/>
  <c r="L772"/>
  <c r="K772"/>
  <c r="J772"/>
  <c r="I772"/>
  <c r="H772"/>
  <c r="G772"/>
  <c r="F772"/>
  <c r="E772"/>
  <c r="AI771"/>
  <c r="AH771"/>
  <c r="AG771"/>
  <c r="AF771"/>
  <c r="AE771"/>
  <c r="AD771"/>
  <c r="AC771"/>
  <c r="AB771"/>
  <c r="AA771"/>
  <c r="Z771"/>
  <c r="Y771"/>
  <c r="X771"/>
  <c r="P771"/>
  <c r="O771"/>
  <c r="N771"/>
  <c r="M771"/>
  <c r="L771"/>
  <c r="K771"/>
  <c r="J771"/>
  <c r="I771"/>
  <c r="H771"/>
  <c r="G771"/>
  <c r="F771"/>
  <c r="E771"/>
  <c r="AK770"/>
  <c r="AK772" s="1"/>
  <c r="AJ770"/>
  <c r="AJ772" s="1"/>
  <c r="R770"/>
  <c r="R772" s="1"/>
  <c r="Q770"/>
  <c r="Q772" s="1"/>
  <c r="AK769"/>
  <c r="AJ769"/>
  <c r="V769"/>
  <c r="R769"/>
  <c r="Q769"/>
  <c r="AK768"/>
  <c r="AJ768"/>
  <c r="V768"/>
  <c r="R768"/>
  <c r="Q768"/>
  <c r="AI767"/>
  <c r="AH767"/>
  <c r="AG767"/>
  <c r="AF767"/>
  <c r="AE767"/>
  <c r="AD767"/>
  <c r="AC767"/>
  <c r="AB767"/>
  <c r="AA767"/>
  <c r="Z767"/>
  <c r="Y767"/>
  <c r="X767"/>
  <c r="P767"/>
  <c r="O767"/>
  <c r="N767"/>
  <c r="M767"/>
  <c r="L767"/>
  <c r="K767"/>
  <c r="J767"/>
  <c r="I767"/>
  <c r="H767"/>
  <c r="G767"/>
  <c r="F767"/>
  <c r="E767"/>
  <c r="AJ766"/>
  <c r="AI766"/>
  <c r="AH766"/>
  <c r="AG766"/>
  <c r="AF766"/>
  <c r="AE766"/>
  <c r="AD766"/>
  <c r="AC766"/>
  <c r="AB766"/>
  <c r="AA766"/>
  <c r="Z766"/>
  <c r="Y766"/>
  <c r="X766"/>
  <c r="P766"/>
  <c r="O766"/>
  <c r="N766"/>
  <c r="M766"/>
  <c r="L766"/>
  <c r="K766"/>
  <c r="J766"/>
  <c r="I766"/>
  <c r="H766"/>
  <c r="G766"/>
  <c r="F766"/>
  <c r="E766"/>
  <c r="AK765"/>
  <c r="AK767" s="1"/>
  <c r="AJ765"/>
  <c r="AJ767" s="1"/>
  <c r="R765"/>
  <c r="R767" s="1"/>
  <c r="Q765"/>
  <c r="Q767" s="1"/>
  <c r="AK764"/>
  <c r="AJ764"/>
  <c r="V764"/>
  <c r="R764"/>
  <c r="Q764"/>
  <c r="AK763"/>
  <c r="AJ763"/>
  <c r="V763"/>
  <c r="R763"/>
  <c r="Q763"/>
  <c r="AI762"/>
  <c r="AH762"/>
  <c r="AG762"/>
  <c r="AF762"/>
  <c r="AE762"/>
  <c r="AD762"/>
  <c r="AC762"/>
  <c r="AB762"/>
  <c r="AA762"/>
  <c r="Z762"/>
  <c r="Y762"/>
  <c r="X762"/>
  <c r="P762"/>
  <c r="O762"/>
  <c r="N762"/>
  <c r="M762"/>
  <c r="L762"/>
  <c r="K762"/>
  <c r="J762"/>
  <c r="I762"/>
  <c r="H762"/>
  <c r="G762"/>
  <c r="F762"/>
  <c r="E762"/>
  <c r="AI761"/>
  <c r="AH761"/>
  <c r="AG761"/>
  <c r="AF761"/>
  <c r="AE761"/>
  <c r="AD761"/>
  <c r="AC761"/>
  <c r="AB761"/>
  <c r="AA761"/>
  <c r="Z761"/>
  <c r="Y761"/>
  <c r="X761"/>
  <c r="P761"/>
  <c r="O761"/>
  <c r="N761"/>
  <c r="M761"/>
  <c r="L761"/>
  <c r="K761"/>
  <c r="J761"/>
  <c r="I761"/>
  <c r="H761"/>
  <c r="G761"/>
  <c r="F761"/>
  <c r="E761"/>
  <c r="AK760"/>
  <c r="AK762" s="1"/>
  <c r="AJ760"/>
  <c r="AJ762" s="1"/>
  <c r="R760"/>
  <c r="R762" s="1"/>
  <c r="Q760"/>
  <c r="Q762" s="1"/>
  <c r="AK759"/>
  <c r="AJ759"/>
  <c r="V759"/>
  <c r="R759"/>
  <c r="Q759"/>
  <c r="AK758"/>
  <c r="AJ758"/>
  <c r="V758"/>
  <c r="R758"/>
  <c r="Q758"/>
  <c r="AI754"/>
  <c r="AH754"/>
  <c r="AG754"/>
  <c r="AF754"/>
  <c r="AE754"/>
  <c r="AD754"/>
  <c r="AC754"/>
  <c r="AB754"/>
  <c r="AA754"/>
  <c r="Z754"/>
  <c r="Y754"/>
  <c r="X754"/>
  <c r="AK754" s="1"/>
  <c r="O754"/>
  <c r="K754"/>
  <c r="G754"/>
  <c r="AF753"/>
  <c r="AB753"/>
  <c r="X753"/>
  <c r="AF752"/>
  <c r="AB752"/>
  <c r="K752"/>
  <c r="G752"/>
  <c r="AB751"/>
  <c r="G751"/>
  <c r="AF750"/>
  <c r="AF751" s="1"/>
  <c r="AB750"/>
  <c r="AB755" s="1"/>
  <c r="X750"/>
  <c r="P750"/>
  <c r="P755" s="1"/>
  <c r="O750"/>
  <c r="AH750" s="1"/>
  <c r="N750"/>
  <c r="AG750" s="1"/>
  <c r="M750"/>
  <c r="L750"/>
  <c r="L755" s="1"/>
  <c r="K750"/>
  <c r="AD750" s="1"/>
  <c r="J750"/>
  <c r="AC750" s="1"/>
  <c r="I750"/>
  <c r="H750"/>
  <c r="H755" s="1"/>
  <c r="G750"/>
  <c r="Z750" s="1"/>
  <c r="F750"/>
  <c r="Y750" s="1"/>
  <c r="E750"/>
  <c r="AK749"/>
  <c r="AJ749"/>
  <c r="V749"/>
  <c r="R749"/>
  <c r="Q749"/>
  <c r="AI748"/>
  <c r="AH748"/>
  <c r="AH753" s="1"/>
  <c r="AG748"/>
  <c r="AF748"/>
  <c r="AE748"/>
  <c r="AD748"/>
  <c r="AD753" s="1"/>
  <c r="AC748"/>
  <c r="AB748"/>
  <c r="AA748"/>
  <c r="Z748"/>
  <c r="Z753" s="1"/>
  <c r="Y748"/>
  <c r="X748"/>
  <c r="V748"/>
  <c r="R748"/>
  <c r="Q748"/>
  <c r="AI747"/>
  <c r="AH747"/>
  <c r="AG747"/>
  <c r="AF747"/>
  <c r="AE747"/>
  <c r="AD747"/>
  <c r="AC747"/>
  <c r="AB747"/>
  <c r="AA747"/>
  <c r="Z747"/>
  <c r="Y747"/>
  <c r="X747"/>
  <c r="P747"/>
  <c r="O747"/>
  <c r="N747"/>
  <c r="M747"/>
  <c r="L747"/>
  <c r="K747"/>
  <c r="J747"/>
  <c r="I747"/>
  <c r="H747"/>
  <c r="G747"/>
  <c r="F747"/>
  <c r="E747"/>
  <c r="AI746"/>
  <c r="AH746"/>
  <c r="AG746"/>
  <c r="AF746"/>
  <c r="AE746"/>
  <c r="AD746"/>
  <c r="AC746"/>
  <c r="AB746"/>
  <c r="AA746"/>
  <c r="Z746"/>
  <c r="Y746"/>
  <c r="X746"/>
  <c r="P746"/>
  <c r="O746"/>
  <c r="N746"/>
  <c r="M746"/>
  <c r="L746"/>
  <c r="K746"/>
  <c r="J746"/>
  <c r="I746"/>
  <c r="H746"/>
  <c r="G746"/>
  <c r="F746"/>
  <c r="E746"/>
  <c r="AK745"/>
  <c r="AK747" s="1"/>
  <c r="AJ745"/>
  <c r="AJ747" s="1"/>
  <c r="R745"/>
  <c r="R747" s="1"/>
  <c r="Q745"/>
  <c r="Q746" s="1"/>
  <c r="AK744"/>
  <c r="AJ744"/>
  <c r="V744"/>
  <c r="R744"/>
  <c r="Q744"/>
  <c r="AK743"/>
  <c r="AJ743"/>
  <c r="V743"/>
  <c r="R743"/>
  <c r="Q743"/>
  <c r="AI742"/>
  <c r="AH742"/>
  <c r="AG742"/>
  <c r="AF742"/>
  <c r="AE742"/>
  <c r="AD742"/>
  <c r="AC742"/>
  <c r="AB742"/>
  <c r="AA742"/>
  <c r="Z742"/>
  <c r="Y742"/>
  <c r="X742"/>
  <c r="P742"/>
  <c r="O742"/>
  <c r="N742"/>
  <c r="M742"/>
  <c r="L742"/>
  <c r="K742"/>
  <c r="J742"/>
  <c r="I742"/>
  <c r="H742"/>
  <c r="G742"/>
  <c r="F742"/>
  <c r="E742"/>
  <c r="AI741"/>
  <c r="AH741"/>
  <c r="AG741"/>
  <c r="AF741"/>
  <c r="AE741"/>
  <c r="AD741"/>
  <c r="AC741"/>
  <c r="AB741"/>
  <c r="AA741"/>
  <c r="Z741"/>
  <c r="Y741"/>
  <c r="X741"/>
  <c r="P741"/>
  <c r="O741"/>
  <c r="N741"/>
  <c r="M741"/>
  <c r="L741"/>
  <c r="K741"/>
  <c r="J741"/>
  <c r="I741"/>
  <c r="H741"/>
  <c r="G741"/>
  <c r="F741"/>
  <c r="E741"/>
  <c r="AK740"/>
  <c r="AK742" s="1"/>
  <c r="AJ740"/>
  <c r="AJ741" s="1"/>
  <c r="R740"/>
  <c r="R742" s="1"/>
  <c r="Q740"/>
  <c r="AK739"/>
  <c r="AJ739"/>
  <c r="V739"/>
  <c r="R739"/>
  <c r="Q739"/>
  <c r="AK738"/>
  <c r="AJ738"/>
  <c r="V738"/>
  <c r="R738"/>
  <c r="Q738"/>
  <c r="AI737"/>
  <c r="AH737"/>
  <c r="AG737"/>
  <c r="AF737"/>
  <c r="AE737"/>
  <c r="AD737"/>
  <c r="AC737"/>
  <c r="AB737"/>
  <c r="AA737"/>
  <c r="Z737"/>
  <c r="Y737"/>
  <c r="X737"/>
  <c r="P737"/>
  <c r="O737"/>
  <c r="N737"/>
  <c r="M737"/>
  <c r="L737"/>
  <c r="K737"/>
  <c r="J737"/>
  <c r="I737"/>
  <c r="H737"/>
  <c r="G737"/>
  <c r="F737"/>
  <c r="E737"/>
  <c r="AI736"/>
  <c r="AH736"/>
  <c r="AG736"/>
  <c r="AF736"/>
  <c r="AE736"/>
  <c r="AD736"/>
  <c r="AC736"/>
  <c r="AB736"/>
  <c r="AA736"/>
  <c r="Z736"/>
  <c r="Y736"/>
  <c r="X736"/>
  <c r="P736"/>
  <c r="O736"/>
  <c r="N736"/>
  <c r="M736"/>
  <c r="L736"/>
  <c r="K736"/>
  <c r="J736"/>
  <c r="I736"/>
  <c r="H736"/>
  <c r="G736"/>
  <c r="F736"/>
  <c r="E736"/>
  <c r="AK735"/>
  <c r="AK737" s="1"/>
  <c r="AJ735"/>
  <c r="AJ737" s="1"/>
  <c r="R735"/>
  <c r="R737" s="1"/>
  <c r="Q735"/>
  <c r="Q736" s="1"/>
  <c r="AK734"/>
  <c r="AJ734"/>
  <c r="V734"/>
  <c r="R734"/>
  <c r="Q734"/>
  <c r="AK733"/>
  <c r="AJ733"/>
  <c r="V733"/>
  <c r="R733"/>
  <c r="Q733"/>
  <c r="AI732"/>
  <c r="AH732"/>
  <c r="AG732"/>
  <c r="AF732"/>
  <c r="AE732"/>
  <c r="AD732"/>
  <c r="AC732"/>
  <c r="AB732"/>
  <c r="AA732"/>
  <c r="Z732"/>
  <c r="Y732"/>
  <c r="X732"/>
  <c r="P732"/>
  <c r="O732"/>
  <c r="N732"/>
  <c r="M732"/>
  <c r="L732"/>
  <c r="K732"/>
  <c r="J732"/>
  <c r="I732"/>
  <c r="H732"/>
  <c r="G732"/>
  <c r="F732"/>
  <c r="E732"/>
  <c r="AI731"/>
  <c r="AH731"/>
  <c r="AG731"/>
  <c r="AF731"/>
  <c r="AE731"/>
  <c r="AD731"/>
  <c r="AC731"/>
  <c r="AB731"/>
  <c r="AA731"/>
  <c r="Z731"/>
  <c r="Y731"/>
  <c r="X731"/>
  <c r="P731"/>
  <c r="O731"/>
  <c r="N731"/>
  <c r="M731"/>
  <c r="L731"/>
  <c r="K731"/>
  <c r="J731"/>
  <c r="I731"/>
  <c r="H731"/>
  <c r="G731"/>
  <c r="F731"/>
  <c r="E731"/>
  <c r="AK730"/>
  <c r="AK732" s="1"/>
  <c r="AJ730"/>
  <c r="AJ731" s="1"/>
  <c r="R730"/>
  <c r="R732" s="1"/>
  <c r="Q730"/>
  <c r="AK729"/>
  <c r="AJ729"/>
  <c r="V729"/>
  <c r="R729"/>
  <c r="Q729"/>
  <c r="AK728"/>
  <c r="AJ728"/>
  <c r="V728"/>
  <c r="R728"/>
  <c r="Q728"/>
  <c r="AI727"/>
  <c r="AH727"/>
  <c r="AG727"/>
  <c r="AF727"/>
  <c r="AE727"/>
  <c r="AD727"/>
  <c r="AC727"/>
  <c r="AB727"/>
  <c r="AA727"/>
  <c r="Z727"/>
  <c r="Y727"/>
  <c r="X727"/>
  <c r="P727"/>
  <c r="O727"/>
  <c r="N727"/>
  <c r="M727"/>
  <c r="L727"/>
  <c r="K727"/>
  <c r="J727"/>
  <c r="I727"/>
  <c r="H727"/>
  <c r="G727"/>
  <c r="F727"/>
  <c r="E727"/>
  <c r="AI726"/>
  <c r="AH726"/>
  <c r="AG726"/>
  <c r="AF726"/>
  <c r="AE726"/>
  <c r="AD726"/>
  <c r="AC726"/>
  <c r="AB726"/>
  <c r="AA726"/>
  <c r="Z726"/>
  <c r="Y726"/>
  <c r="X726"/>
  <c r="P726"/>
  <c r="O726"/>
  <c r="N726"/>
  <c r="M726"/>
  <c r="L726"/>
  <c r="K726"/>
  <c r="J726"/>
  <c r="I726"/>
  <c r="H726"/>
  <c r="G726"/>
  <c r="F726"/>
  <c r="E726"/>
  <c r="AK725"/>
  <c r="AK727" s="1"/>
  <c r="AJ725"/>
  <c r="AJ727" s="1"/>
  <c r="R725"/>
  <c r="R727" s="1"/>
  <c r="Q725"/>
  <c r="Q726" s="1"/>
  <c r="AK724"/>
  <c r="AJ724"/>
  <c r="V724"/>
  <c r="R724"/>
  <c r="Q724"/>
  <c r="AK723"/>
  <c r="AJ723"/>
  <c r="V723"/>
  <c r="R723"/>
  <c r="Q723"/>
  <c r="AI722"/>
  <c r="AH722"/>
  <c r="AG722"/>
  <c r="AF722"/>
  <c r="AE722"/>
  <c r="AD722"/>
  <c r="AC722"/>
  <c r="AB722"/>
  <c r="AA722"/>
  <c r="Z722"/>
  <c r="Y722"/>
  <c r="X722"/>
  <c r="P722"/>
  <c r="O722"/>
  <c r="N722"/>
  <c r="M722"/>
  <c r="L722"/>
  <c r="K722"/>
  <c r="J722"/>
  <c r="I722"/>
  <c r="H722"/>
  <c r="G722"/>
  <c r="F722"/>
  <c r="E722"/>
  <c r="AI721"/>
  <c r="AH721"/>
  <c r="AG721"/>
  <c r="AF721"/>
  <c r="AE721"/>
  <c r="AD721"/>
  <c r="AC721"/>
  <c r="AB721"/>
  <c r="AA721"/>
  <c r="Z721"/>
  <c r="Y721"/>
  <c r="X721"/>
  <c r="P721"/>
  <c r="O721"/>
  <c r="N721"/>
  <c r="M721"/>
  <c r="L721"/>
  <c r="K721"/>
  <c r="J721"/>
  <c r="I721"/>
  <c r="H721"/>
  <c r="G721"/>
  <c r="F721"/>
  <c r="E721"/>
  <c r="AK720"/>
  <c r="AK722" s="1"/>
  <c r="AJ720"/>
  <c r="AJ721" s="1"/>
  <c r="R720"/>
  <c r="R722" s="1"/>
  <c r="Q720"/>
  <c r="AK719"/>
  <c r="AJ719"/>
  <c r="V719"/>
  <c r="R719"/>
  <c r="Q719"/>
  <c r="AK718"/>
  <c r="AJ718"/>
  <c r="V718"/>
  <c r="R718"/>
  <c r="Q718"/>
  <c r="AI717"/>
  <c r="AH717"/>
  <c r="AG717"/>
  <c r="AF717"/>
  <c r="AE717"/>
  <c r="AD717"/>
  <c r="AC717"/>
  <c r="AB717"/>
  <c r="AA717"/>
  <c r="Z717"/>
  <c r="Y717"/>
  <c r="X717"/>
  <c r="P717"/>
  <c r="O717"/>
  <c r="N717"/>
  <c r="M717"/>
  <c r="L717"/>
  <c r="K717"/>
  <c r="J717"/>
  <c r="I717"/>
  <c r="H717"/>
  <c r="G717"/>
  <c r="F717"/>
  <c r="E717"/>
  <c r="AI716"/>
  <c r="AH716"/>
  <c r="AG716"/>
  <c r="AF716"/>
  <c r="AE716"/>
  <c r="AD716"/>
  <c r="AC716"/>
  <c r="AB716"/>
  <c r="AA716"/>
  <c r="Z716"/>
  <c r="Y716"/>
  <c r="X716"/>
  <c r="P716"/>
  <c r="O716"/>
  <c r="N716"/>
  <c r="M716"/>
  <c r="L716"/>
  <c r="K716"/>
  <c r="J716"/>
  <c r="I716"/>
  <c r="H716"/>
  <c r="G716"/>
  <c r="F716"/>
  <c r="E716"/>
  <c r="AK715"/>
  <c r="AK717" s="1"/>
  <c r="AJ715"/>
  <c r="AJ717" s="1"/>
  <c r="R715"/>
  <c r="R717" s="1"/>
  <c r="Q715"/>
  <c r="Q716" s="1"/>
  <c r="AK714"/>
  <c r="AJ714"/>
  <c r="V714"/>
  <c r="R714"/>
  <c r="Q714"/>
  <c r="AK713"/>
  <c r="AJ713"/>
  <c r="V713"/>
  <c r="R713"/>
  <c r="Q713"/>
  <c r="AI712"/>
  <c r="AH712"/>
  <c r="AG712"/>
  <c r="AF712"/>
  <c r="AE712"/>
  <c r="AD712"/>
  <c r="AC712"/>
  <c r="AB712"/>
  <c r="AA712"/>
  <c r="Z712"/>
  <c r="Y712"/>
  <c r="X712"/>
  <c r="P712"/>
  <c r="O712"/>
  <c r="N712"/>
  <c r="M712"/>
  <c r="L712"/>
  <c r="K712"/>
  <c r="J712"/>
  <c r="I712"/>
  <c r="H712"/>
  <c r="G712"/>
  <c r="F712"/>
  <c r="E712"/>
  <c r="AI711"/>
  <c r="AH711"/>
  <c r="AG711"/>
  <c r="AF711"/>
  <c r="AE711"/>
  <c r="AD711"/>
  <c r="AC711"/>
  <c r="AB711"/>
  <c r="AA711"/>
  <c r="Z711"/>
  <c r="Y711"/>
  <c r="X711"/>
  <c r="P711"/>
  <c r="O711"/>
  <c r="N711"/>
  <c r="M711"/>
  <c r="L711"/>
  <c r="K711"/>
  <c r="J711"/>
  <c r="I711"/>
  <c r="H711"/>
  <c r="G711"/>
  <c r="F711"/>
  <c r="E711"/>
  <c r="AK710"/>
  <c r="AK712" s="1"/>
  <c r="AJ710"/>
  <c r="AJ711" s="1"/>
  <c r="R710"/>
  <c r="R712" s="1"/>
  <c r="Q710"/>
  <c r="AK709"/>
  <c r="AJ709"/>
  <c r="V709"/>
  <c r="R709"/>
  <c r="Q709"/>
  <c r="AK708"/>
  <c r="AJ708"/>
  <c r="V708"/>
  <c r="R708"/>
  <c r="Q708"/>
  <c r="AI707"/>
  <c r="AH707"/>
  <c r="AG707"/>
  <c r="AF707"/>
  <c r="AE707"/>
  <c r="AD707"/>
  <c r="AC707"/>
  <c r="AB707"/>
  <c r="AA707"/>
  <c r="Z707"/>
  <c r="Y707"/>
  <c r="X707"/>
  <c r="P707"/>
  <c r="O707"/>
  <c r="N707"/>
  <c r="M707"/>
  <c r="L707"/>
  <c r="K707"/>
  <c r="J707"/>
  <c r="I707"/>
  <c r="H707"/>
  <c r="G707"/>
  <c r="F707"/>
  <c r="E707"/>
  <c r="AI706"/>
  <c r="AH706"/>
  <c r="AG706"/>
  <c r="AF706"/>
  <c r="AE706"/>
  <c r="AD706"/>
  <c r="AC706"/>
  <c r="AB706"/>
  <c r="AA706"/>
  <c r="Z706"/>
  <c r="Y706"/>
  <c r="X706"/>
  <c r="P706"/>
  <c r="O706"/>
  <c r="N706"/>
  <c r="M706"/>
  <c r="L706"/>
  <c r="K706"/>
  <c r="J706"/>
  <c r="I706"/>
  <c r="H706"/>
  <c r="G706"/>
  <c r="F706"/>
  <c r="E706"/>
  <c r="AK705"/>
  <c r="AK707" s="1"/>
  <c r="AJ705"/>
  <c r="AJ707" s="1"/>
  <c r="R705"/>
  <c r="R707" s="1"/>
  <c r="Q705"/>
  <c r="Q706" s="1"/>
  <c r="AK704"/>
  <c r="AJ704"/>
  <c r="V704"/>
  <c r="R704"/>
  <c r="Q704"/>
  <c r="AK703"/>
  <c r="AJ703"/>
  <c r="V703"/>
  <c r="R703"/>
  <c r="Q703"/>
  <c r="AI702"/>
  <c r="AH702"/>
  <c r="AG702"/>
  <c r="AF702"/>
  <c r="AE702"/>
  <c r="AD702"/>
  <c r="AC702"/>
  <c r="AB702"/>
  <c r="AA702"/>
  <c r="Z702"/>
  <c r="Y702"/>
  <c r="X702"/>
  <c r="P702"/>
  <c r="O702"/>
  <c r="N702"/>
  <c r="M702"/>
  <c r="L702"/>
  <c r="K702"/>
  <c r="J702"/>
  <c r="I702"/>
  <c r="H702"/>
  <c r="G702"/>
  <c r="F702"/>
  <c r="E702"/>
  <c r="AI701"/>
  <c r="AH701"/>
  <c r="AG701"/>
  <c r="AF701"/>
  <c r="AE701"/>
  <c r="AD701"/>
  <c r="AC701"/>
  <c r="AB701"/>
  <c r="AA701"/>
  <c r="Z701"/>
  <c r="Y701"/>
  <c r="X701"/>
  <c r="P701"/>
  <c r="O701"/>
  <c r="N701"/>
  <c r="M701"/>
  <c r="L701"/>
  <c r="K701"/>
  <c r="J701"/>
  <c r="I701"/>
  <c r="H701"/>
  <c r="G701"/>
  <c r="F701"/>
  <c r="E701"/>
  <c r="AK700"/>
  <c r="AK702" s="1"/>
  <c r="AJ700"/>
  <c r="AJ701" s="1"/>
  <c r="R700"/>
  <c r="R702" s="1"/>
  <c r="Q700"/>
  <c r="AK699"/>
  <c r="AJ699"/>
  <c r="V699"/>
  <c r="R699"/>
  <c r="Q699"/>
  <c r="AK698"/>
  <c r="AJ698"/>
  <c r="V698"/>
  <c r="R698"/>
  <c r="Q698"/>
  <c r="Z697"/>
  <c r="E697"/>
  <c r="Z696"/>
  <c r="M696"/>
  <c r="AH695"/>
  <c r="AH697" s="1"/>
  <c r="AD695"/>
  <c r="AD697" s="1"/>
  <c r="Z695"/>
  <c r="P695"/>
  <c r="AI695" s="1"/>
  <c r="O695"/>
  <c r="N695"/>
  <c r="M695"/>
  <c r="AF695" s="1"/>
  <c r="L695"/>
  <c r="AE695" s="1"/>
  <c r="K695"/>
  <c r="K697" s="1"/>
  <c r="J695"/>
  <c r="I695"/>
  <c r="AB695" s="1"/>
  <c r="H695"/>
  <c r="AA695" s="1"/>
  <c r="G695"/>
  <c r="F695"/>
  <c r="E695"/>
  <c r="AK694"/>
  <c r="AJ694"/>
  <c r="V694"/>
  <c r="R694"/>
  <c r="P694"/>
  <c r="O694"/>
  <c r="N694"/>
  <c r="N754" s="1"/>
  <c r="M694"/>
  <c r="M754" s="1"/>
  <c r="L694"/>
  <c r="K694"/>
  <c r="J694"/>
  <c r="J754" s="1"/>
  <c r="I694"/>
  <c r="I754" s="1"/>
  <c r="H694"/>
  <c r="G694"/>
  <c r="F694"/>
  <c r="F754" s="1"/>
  <c r="E694"/>
  <c r="E754" s="1"/>
  <c r="AI693"/>
  <c r="P693" s="1"/>
  <c r="P753" s="1"/>
  <c r="AH693"/>
  <c r="AG693"/>
  <c r="N693" s="1"/>
  <c r="AF693"/>
  <c r="AE693"/>
  <c r="L693" s="1"/>
  <c r="L753" s="1"/>
  <c r="AD693"/>
  <c r="AC693"/>
  <c r="J693" s="1"/>
  <c r="AB693"/>
  <c r="AA693"/>
  <c r="H693" s="1"/>
  <c r="H753" s="1"/>
  <c r="Z693"/>
  <c r="Y693"/>
  <c r="X693"/>
  <c r="V693"/>
  <c r="O693"/>
  <c r="O753" s="1"/>
  <c r="M693"/>
  <c r="K693"/>
  <c r="K753" s="1"/>
  <c r="I693"/>
  <c r="I753" s="1"/>
  <c r="G693"/>
  <c r="G753" s="1"/>
  <c r="E693"/>
  <c r="AF692"/>
  <c r="AB692"/>
  <c r="O692"/>
  <c r="K692"/>
  <c r="G692"/>
  <c r="AF691"/>
  <c r="AB691"/>
  <c r="K691"/>
  <c r="G691"/>
  <c r="AF690"/>
  <c r="AB690"/>
  <c r="X690"/>
  <c r="P690"/>
  <c r="O690"/>
  <c r="AH690" s="1"/>
  <c r="N690"/>
  <c r="AG690" s="1"/>
  <c r="M690"/>
  <c r="L690"/>
  <c r="K690"/>
  <c r="AD690" s="1"/>
  <c r="J690"/>
  <c r="AC690" s="1"/>
  <c r="I690"/>
  <c r="I692" s="1"/>
  <c r="H690"/>
  <c r="G690"/>
  <c r="Z690" s="1"/>
  <c r="F690"/>
  <c r="Y690" s="1"/>
  <c r="E690"/>
  <c r="AK689"/>
  <c r="AJ689"/>
  <c r="V689"/>
  <c r="P689"/>
  <c r="O689"/>
  <c r="N689"/>
  <c r="M689"/>
  <c r="L689"/>
  <c r="K689"/>
  <c r="J689"/>
  <c r="I689"/>
  <c r="H689"/>
  <c r="G689"/>
  <c r="F689"/>
  <c r="E689"/>
  <c r="AK688"/>
  <c r="AI688"/>
  <c r="P688" s="1"/>
  <c r="AH688"/>
  <c r="AG688"/>
  <c r="N688" s="1"/>
  <c r="AF688"/>
  <c r="AE688"/>
  <c r="L688" s="1"/>
  <c r="AD688"/>
  <c r="AC688"/>
  <c r="J688" s="1"/>
  <c r="AB688"/>
  <c r="AA688"/>
  <c r="H688" s="1"/>
  <c r="Z688"/>
  <c r="Y688"/>
  <c r="F688" s="1"/>
  <c r="X688"/>
  <c r="AJ688" s="1"/>
  <c r="V688"/>
  <c r="O688"/>
  <c r="M688"/>
  <c r="K688"/>
  <c r="I688"/>
  <c r="G688"/>
  <c r="E688"/>
  <c r="R688" s="1"/>
  <c r="AI687"/>
  <c r="AH687"/>
  <c r="AG687"/>
  <c r="AF687"/>
  <c r="AE687"/>
  <c r="AD687"/>
  <c r="AC687"/>
  <c r="AB687"/>
  <c r="AA687"/>
  <c r="Z687"/>
  <c r="Y687"/>
  <c r="X687"/>
  <c r="Q687"/>
  <c r="P687"/>
  <c r="O687"/>
  <c r="N687"/>
  <c r="M687"/>
  <c r="L687"/>
  <c r="K687"/>
  <c r="J687"/>
  <c r="I687"/>
  <c r="H687"/>
  <c r="G687"/>
  <c r="F687"/>
  <c r="E687"/>
  <c r="AI686"/>
  <c r="AH686"/>
  <c r="AG686"/>
  <c r="AF686"/>
  <c r="AE686"/>
  <c r="AD686"/>
  <c r="AC686"/>
  <c r="AB686"/>
  <c r="AA686"/>
  <c r="Z686"/>
  <c r="Y686"/>
  <c r="X686"/>
  <c r="P686"/>
  <c r="O686"/>
  <c r="N686"/>
  <c r="M686"/>
  <c r="L686"/>
  <c r="K686"/>
  <c r="J686"/>
  <c r="I686"/>
  <c r="H686"/>
  <c r="G686"/>
  <c r="F686"/>
  <c r="E686"/>
  <c r="AK685"/>
  <c r="AK687" s="1"/>
  <c r="AJ685"/>
  <c r="AJ687" s="1"/>
  <c r="R685"/>
  <c r="R687" s="1"/>
  <c r="Q685"/>
  <c r="Q686" s="1"/>
  <c r="AK684"/>
  <c r="AJ684"/>
  <c r="V684"/>
  <c r="R684"/>
  <c r="Q684"/>
  <c r="AK683"/>
  <c r="AJ683"/>
  <c r="V683"/>
  <c r="R683"/>
  <c r="Q683"/>
  <c r="AF676"/>
  <c r="AI675"/>
  <c r="AH675"/>
  <c r="AG675"/>
  <c r="AF675"/>
  <c r="AE675"/>
  <c r="AD675"/>
  <c r="AC675"/>
  <c r="AB675"/>
  <c r="AB677" s="1"/>
  <c r="AA675"/>
  <c r="Z675"/>
  <c r="Y675"/>
  <c r="X675"/>
  <c r="AK675" s="1"/>
  <c r="P675"/>
  <c r="O675"/>
  <c r="N675"/>
  <c r="M675"/>
  <c r="L675"/>
  <c r="K675"/>
  <c r="K677" s="1"/>
  <c r="J675"/>
  <c r="I675"/>
  <c r="H675"/>
  <c r="G675"/>
  <c r="G677" s="1"/>
  <c r="F675"/>
  <c r="E675"/>
  <c r="AI674"/>
  <c r="AH674"/>
  <c r="AG674"/>
  <c r="AF674"/>
  <c r="AE674"/>
  <c r="AD674"/>
  <c r="AC674"/>
  <c r="AB674"/>
  <c r="AB676" s="1"/>
  <c r="AA674"/>
  <c r="Z674"/>
  <c r="Y674"/>
  <c r="X674"/>
  <c r="AK674" s="1"/>
  <c r="P674"/>
  <c r="O674"/>
  <c r="N674"/>
  <c r="M674"/>
  <c r="L674"/>
  <c r="K674"/>
  <c r="J674"/>
  <c r="I674"/>
  <c r="H674"/>
  <c r="G674"/>
  <c r="F674"/>
  <c r="E674"/>
  <c r="AI673"/>
  <c r="AH673"/>
  <c r="AG673"/>
  <c r="AF673"/>
  <c r="AE673"/>
  <c r="AD673"/>
  <c r="AC673"/>
  <c r="AB673"/>
  <c r="AA673"/>
  <c r="Z673"/>
  <c r="Y673"/>
  <c r="X673"/>
  <c r="AK673" s="1"/>
  <c r="P673"/>
  <c r="O673"/>
  <c r="N673"/>
  <c r="M673"/>
  <c r="L673"/>
  <c r="K673"/>
  <c r="J673"/>
  <c r="I673"/>
  <c r="H673"/>
  <c r="G673"/>
  <c r="F673"/>
  <c r="E673"/>
  <c r="AI672"/>
  <c r="AH672"/>
  <c r="AG672"/>
  <c r="AF672"/>
  <c r="AE672"/>
  <c r="AD672"/>
  <c r="AC672"/>
  <c r="AB672"/>
  <c r="AA672"/>
  <c r="Z672"/>
  <c r="Y672"/>
  <c r="X672"/>
  <c r="P672"/>
  <c r="O672"/>
  <c r="N672"/>
  <c r="M672"/>
  <c r="L672"/>
  <c r="K672"/>
  <c r="J672"/>
  <c r="I672"/>
  <c r="H672"/>
  <c r="G672"/>
  <c r="F672"/>
  <c r="E672"/>
  <c r="AI671"/>
  <c r="AH671"/>
  <c r="AG671"/>
  <c r="AF671"/>
  <c r="AE671"/>
  <c r="AD671"/>
  <c r="AC671"/>
  <c r="AB671"/>
  <c r="AA671"/>
  <c r="Z671"/>
  <c r="Y671"/>
  <c r="X671"/>
  <c r="P671"/>
  <c r="O671"/>
  <c r="N671"/>
  <c r="M671"/>
  <c r="L671"/>
  <c r="K671"/>
  <c r="J671"/>
  <c r="I671"/>
  <c r="H671"/>
  <c r="G671"/>
  <c r="F671"/>
  <c r="E671"/>
  <c r="AK670"/>
  <c r="AJ670"/>
  <c r="AJ671" s="1"/>
  <c r="R670"/>
  <c r="R672" s="1"/>
  <c r="Q670"/>
  <c r="AK669"/>
  <c r="AJ669"/>
  <c r="V669"/>
  <c r="R669"/>
  <c r="Q669"/>
  <c r="AK668"/>
  <c r="AJ668"/>
  <c r="V668"/>
  <c r="R668"/>
  <c r="Q668"/>
  <c r="AI667"/>
  <c r="AH667"/>
  <c r="AG667"/>
  <c r="AF667"/>
  <c r="AE667"/>
  <c r="AD667"/>
  <c r="AC667"/>
  <c r="AB667"/>
  <c r="AA667"/>
  <c r="Z667"/>
  <c r="Y667"/>
  <c r="X667"/>
  <c r="Q667"/>
  <c r="P667"/>
  <c r="O667"/>
  <c r="N667"/>
  <c r="M667"/>
  <c r="L667"/>
  <c r="K667"/>
  <c r="J667"/>
  <c r="I667"/>
  <c r="H667"/>
  <c r="G667"/>
  <c r="F667"/>
  <c r="E667"/>
  <c r="AI666"/>
  <c r="AH666"/>
  <c r="AG666"/>
  <c r="AF666"/>
  <c r="AE666"/>
  <c r="AD666"/>
  <c r="AC666"/>
  <c r="AB666"/>
  <c r="AA666"/>
  <c r="Z666"/>
  <c r="Y666"/>
  <c r="X666"/>
  <c r="P666"/>
  <c r="O666"/>
  <c r="N666"/>
  <c r="M666"/>
  <c r="L666"/>
  <c r="K666"/>
  <c r="J666"/>
  <c r="I666"/>
  <c r="H666"/>
  <c r="G666"/>
  <c r="F666"/>
  <c r="E666"/>
  <c r="AK665"/>
  <c r="AK667" s="1"/>
  <c r="AJ665"/>
  <c r="AJ667" s="1"/>
  <c r="R665"/>
  <c r="R667" s="1"/>
  <c r="Q665"/>
  <c r="Q666" s="1"/>
  <c r="AK664"/>
  <c r="AJ664"/>
  <c r="V664"/>
  <c r="R664"/>
  <c r="Q664"/>
  <c r="AK663"/>
  <c r="AJ663"/>
  <c r="V663"/>
  <c r="R663"/>
  <c r="Q663"/>
  <c r="AI662"/>
  <c r="AH662"/>
  <c r="AG662"/>
  <c r="AF662"/>
  <c r="AE662"/>
  <c r="AD662"/>
  <c r="AC662"/>
  <c r="AB662"/>
  <c r="AA662"/>
  <c r="Z662"/>
  <c r="Y662"/>
  <c r="X662"/>
  <c r="P662"/>
  <c r="O662"/>
  <c r="N662"/>
  <c r="M662"/>
  <c r="L662"/>
  <c r="K662"/>
  <c r="J662"/>
  <c r="I662"/>
  <c r="H662"/>
  <c r="G662"/>
  <c r="F662"/>
  <c r="E662"/>
  <c r="AI661"/>
  <c r="AH661"/>
  <c r="AG661"/>
  <c r="AF661"/>
  <c r="AE661"/>
  <c r="AD661"/>
  <c r="AC661"/>
  <c r="AB661"/>
  <c r="AA661"/>
  <c r="Z661"/>
  <c r="Y661"/>
  <c r="X661"/>
  <c r="P661"/>
  <c r="O661"/>
  <c r="N661"/>
  <c r="M661"/>
  <c r="L661"/>
  <c r="K661"/>
  <c r="J661"/>
  <c r="I661"/>
  <c r="H661"/>
  <c r="G661"/>
  <c r="F661"/>
  <c r="E661"/>
  <c r="AK660"/>
  <c r="AJ660"/>
  <c r="AJ661" s="1"/>
  <c r="R660"/>
  <c r="R662" s="1"/>
  <c r="Q660"/>
  <c r="AK659"/>
  <c r="AJ659"/>
  <c r="V659"/>
  <c r="R659"/>
  <c r="Q659"/>
  <c r="AK658"/>
  <c r="AJ658"/>
  <c r="V658"/>
  <c r="R658"/>
  <c r="Q658"/>
  <c r="AI657"/>
  <c r="AH657"/>
  <c r="AG657"/>
  <c r="AF657"/>
  <c r="AE657"/>
  <c r="AD657"/>
  <c r="AC657"/>
  <c r="AB657"/>
  <c r="AA657"/>
  <c r="Z657"/>
  <c r="Y657"/>
  <c r="X657"/>
  <c r="Q657"/>
  <c r="P657"/>
  <c r="O657"/>
  <c r="N657"/>
  <c r="M657"/>
  <c r="L657"/>
  <c r="K657"/>
  <c r="J657"/>
  <c r="I657"/>
  <c r="H657"/>
  <c r="G657"/>
  <c r="F657"/>
  <c r="E657"/>
  <c r="AI656"/>
  <c r="AH656"/>
  <c r="AG656"/>
  <c r="AF656"/>
  <c r="AE656"/>
  <c r="AD656"/>
  <c r="AC656"/>
  <c r="AB656"/>
  <c r="AA656"/>
  <c r="Z656"/>
  <c r="Y656"/>
  <c r="X656"/>
  <c r="P656"/>
  <c r="O656"/>
  <c r="N656"/>
  <c r="M656"/>
  <c r="L656"/>
  <c r="K656"/>
  <c r="J656"/>
  <c r="I656"/>
  <c r="H656"/>
  <c r="G656"/>
  <c r="F656"/>
  <c r="E656"/>
  <c r="AK655"/>
  <c r="AK657" s="1"/>
  <c r="AJ655"/>
  <c r="AJ657" s="1"/>
  <c r="R655"/>
  <c r="R657" s="1"/>
  <c r="Q655"/>
  <c r="Q656" s="1"/>
  <c r="AK654"/>
  <c r="AJ654"/>
  <c r="V654"/>
  <c r="R654"/>
  <c r="Q654"/>
  <c r="AK653"/>
  <c r="AJ653"/>
  <c r="V653"/>
  <c r="R653"/>
  <c r="Q653"/>
  <c r="AI652"/>
  <c r="AH652"/>
  <c r="AG652"/>
  <c r="AF652"/>
  <c r="AE652"/>
  <c r="AD652"/>
  <c r="AC652"/>
  <c r="AB652"/>
  <c r="AA652"/>
  <c r="Z652"/>
  <c r="Y652"/>
  <c r="X652"/>
  <c r="P652"/>
  <c r="O652"/>
  <c r="N652"/>
  <c r="M652"/>
  <c r="L652"/>
  <c r="K652"/>
  <c r="J652"/>
  <c r="I652"/>
  <c r="H652"/>
  <c r="G652"/>
  <c r="F652"/>
  <c r="E652"/>
  <c r="AI651"/>
  <c r="AH651"/>
  <c r="AG651"/>
  <c r="AF651"/>
  <c r="AE651"/>
  <c r="AD651"/>
  <c r="AC651"/>
  <c r="AB651"/>
  <c r="AA651"/>
  <c r="Z651"/>
  <c r="Y651"/>
  <c r="X651"/>
  <c r="P651"/>
  <c r="O651"/>
  <c r="N651"/>
  <c r="M651"/>
  <c r="L651"/>
  <c r="K651"/>
  <c r="J651"/>
  <c r="I651"/>
  <c r="H651"/>
  <c r="G651"/>
  <c r="F651"/>
  <c r="E651"/>
  <c r="AK650"/>
  <c r="AJ650"/>
  <c r="AJ651" s="1"/>
  <c r="R650"/>
  <c r="R652" s="1"/>
  <c r="Q650"/>
  <c r="AK649"/>
  <c r="AJ649"/>
  <c r="V649"/>
  <c r="R649"/>
  <c r="Q649"/>
  <c r="AK648"/>
  <c r="AJ648"/>
  <c r="V648"/>
  <c r="R648"/>
  <c r="Q648"/>
  <c r="AI647"/>
  <c r="AH647"/>
  <c r="AG647"/>
  <c r="AF647"/>
  <c r="AE647"/>
  <c r="AD647"/>
  <c r="AC647"/>
  <c r="AB647"/>
  <c r="AA647"/>
  <c r="Z647"/>
  <c r="Y647"/>
  <c r="X647"/>
  <c r="Q647"/>
  <c r="P647"/>
  <c r="O647"/>
  <c r="N647"/>
  <c r="M647"/>
  <c r="L647"/>
  <c r="K647"/>
  <c r="J647"/>
  <c r="I647"/>
  <c r="H647"/>
  <c r="G647"/>
  <c r="F647"/>
  <c r="E647"/>
  <c r="AI646"/>
  <c r="AH646"/>
  <c r="AG646"/>
  <c r="AF646"/>
  <c r="AE646"/>
  <c r="AD646"/>
  <c r="AC646"/>
  <c r="AB646"/>
  <c r="AA646"/>
  <c r="Z646"/>
  <c r="Y646"/>
  <c r="X646"/>
  <c r="P646"/>
  <c r="O646"/>
  <c r="N646"/>
  <c r="M646"/>
  <c r="L646"/>
  <c r="K646"/>
  <c r="J646"/>
  <c r="I646"/>
  <c r="H646"/>
  <c r="G646"/>
  <c r="F646"/>
  <c r="E646"/>
  <c r="AK645"/>
  <c r="AK647" s="1"/>
  <c r="AJ645"/>
  <c r="AJ647" s="1"/>
  <c r="R645"/>
  <c r="R647" s="1"/>
  <c r="Q645"/>
  <c r="Q646" s="1"/>
  <c r="AK644"/>
  <c r="AJ644"/>
  <c r="V644"/>
  <c r="R644"/>
  <c r="Q644"/>
  <c r="AK643"/>
  <c r="AJ643"/>
  <c r="V643"/>
  <c r="R643"/>
  <c r="Q643"/>
  <c r="AI642"/>
  <c r="AH642"/>
  <c r="AG642"/>
  <c r="AF642"/>
  <c r="AE642"/>
  <c r="AD642"/>
  <c r="AC642"/>
  <c r="AB642"/>
  <c r="AA642"/>
  <c r="Z642"/>
  <c r="Y642"/>
  <c r="X642"/>
  <c r="P642"/>
  <c r="O642"/>
  <c r="N642"/>
  <c r="M642"/>
  <c r="L642"/>
  <c r="K642"/>
  <c r="J642"/>
  <c r="I642"/>
  <c r="H642"/>
  <c r="G642"/>
  <c r="F642"/>
  <c r="E642"/>
  <c r="AI641"/>
  <c r="AH641"/>
  <c r="AG641"/>
  <c r="AF641"/>
  <c r="AE641"/>
  <c r="AD641"/>
  <c r="AC641"/>
  <c r="AB641"/>
  <c r="AA641"/>
  <c r="Z641"/>
  <c r="Y641"/>
  <c r="X641"/>
  <c r="P641"/>
  <c r="O641"/>
  <c r="N641"/>
  <c r="M641"/>
  <c r="L641"/>
  <c r="K641"/>
  <c r="J641"/>
  <c r="I641"/>
  <c r="H641"/>
  <c r="G641"/>
  <c r="F641"/>
  <c r="E641"/>
  <c r="AK640"/>
  <c r="AK642" s="1"/>
  <c r="AJ640"/>
  <c r="AJ641" s="1"/>
  <c r="R640"/>
  <c r="R642" s="1"/>
  <c r="Q640"/>
  <c r="AK639"/>
  <c r="AJ639"/>
  <c r="V639"/>
  <c r="R639"/>
  <c r="Q639"/>
  <c r="AK638"/>
  <c r="AJ638"/>
  <c r="V638"/>
  <c r="R638"/>
  <c r="Q638"/>
  <c r="AJ637"/>
  <c r="AI637"/>
  <c r="AH637"/>
  <c r="AG637"/>
  <c r="AF637"/>
  <c r="AE637"/>
  <c r="AD637"/>
  <c r="AC637"/>
  <c r="AB637"/>
  <c r="AA637"/>
  <c r="Z637"/>
  <c r="Y637"/>
  <c r="X637"/>
  <c r="P637"/>
  <c r="O637"/>
  <c r="N637"/>
  <c r="M637"/>
  <c r="L637"/>
  <c r="K637"/>
  <c r="J637"/>
  <c r="I637"/>
  <c r="H637"/>
  <c r="G637"/>
  <c r="F637"/>
  <c r="E637"/>
  <c r="AJ636"/>
  <c r="AI636"/>
  <c r="AH636"/>
  <c r="AG636"/>
  <c r="AF636"/>
  <c r="AE636"/>
  <c r="AD636"/>
  <c r="AC636"/>
  <c r="AB636"/>
  <c r="AA636"/>
  <c r="Z636"/>
  <c r="Y636"/>
  <c r="X636"/>
  <c r="P636"/>
  <c r="O636"/>
  <c r="N636"/>
  <c r="M636"/>
  <c r="L636"/>
  <c r="K636"/>
  <c r="J636"/>
  <c r="I636"/>
  <c r="H636"/>
  <c r="G636"/>
  <c r="F636"/>
  <c r="E636"/>
  <c r="AK635"/>
  <c r="AK637" s="1"/>
  <c r="AJ635"/>
  <c r="R635"/>
  <c r="R637" s="1"/>
  <c r="Q635"/>
  <c r="Q637" s="1"/>
  <c r="AK634"/>
  <c r="AJ634"/>
  <c r="V634"/>
  <c r="R634"/>
  <c r="Q634"/>
  <c r="AK633"/>
  <c r="AJ633"/>
  <c r="V633"/>
  <c r="R633"/>
  <c r="Q633"/>
  <c r="AI632"/>
  <c r="AH632"/>
  <c r="AG632"/>
  <c r="AF632"/>
  <c r="AE632"/>
  <c r="AD632"/>
  <c r="AC632"/>
  <c r="AB632"/>
  <c r="AA632"/>
  <c r="Z632"/>
  <c r="Y632"/>
  <c r="X632"/>
  <c r="P632"/>
  <c r="O632"/>
  <c r="N632"/>
  <c r="M632"/>
  <c r="L632"/>
  <c r="K632"/>
  <c r="J632"/>
  <c r="I632"/>
  <c r="H632"/>
  <c r="G632"/>
  <c r="F632"/>
  <c r="E632"/>
  <c r="AI631"/>
  <c r="AH631"/>
  <c r="AG631"/>
  <c r="AF631"/>
  <c r="AE631"/>
  <c r="AD631"/>
  <c r="AC631"/>
  <c r="AB631"/>
  <c r="AA631"/>
  <c r="Z631"/>
  <c r="Y631"/>
  <c r="X631"/>
  <c r="P631"/>
  <c r="O631"/>
  <c r="N631"/>
  <c r="M631"/>
  <c r="L631"/>
  <c r="K631"/>
  <c r="J631"/>
  <c r="I631"/>
  <c r="H631"/>
  <c r="G631"/>
  <c r="F631"/>
  <c r="E631"/>
  <c r="AK630"/>
  <c r="AJ630"/>
  <c r="AJ632" s="1"/>
  <c r="R630"/>
  <c r="R632" s="1"/>
  <c r="Q630"/>
  <c r="Q632" s="1"/>
  <c r="AK629"/>
  <c r="AJ629"/>
  <c r="V629"/>
  <c r="R629"/>
  <c r="Q629"/>
  <c r="AK628"/>
  <c r="AJ628"/>
  <c r="V628"/>
  <c r="R628"/>
  <c r="Q628"/>
  <c r="AI627"/>
  <c r="AH627"/>
  <c r="AG627"/>
  <c r="AF627"/>
  <c r="AE627"/>
  <c r="AD627"/>
  <c r="AC627"/>
  <c r="AB627"/>
  <c r="AA627"/>
  <c r="Z627"/>
  <c r="Y627"/>
  <c r="X627"/>
  <c r="P627"/>
  <c r="O627"/>
  <c r="N627"/>
  <c r="M627"/>
  <c r="L627"/>
  <c r="K627"/>
  <c r="J627"/>
  <c r="I627"/>
  <c r="H627"/>
  <c r="G627"/>
  <c r="F627"/>
  <c r="E627"/>
  <c r="AI626"/>
  <c r="AH626"/>
  <c r="AG626"/>
  <c r="AF626"/>
  <c r="AE626"/>
  <c r="AD626"/>
  <c r="AC626"/>
  <c r="AB626"/>
  <c r="AA626"/>
  <c r="Z626"/>
  <c r="Y626"/>
  <c r="X626"/>
  <c r="P626"/>
  <c r="O626"/>
  <c r="N626"/>
  <c r="M626"/>
  <c r="L626"/>
  <c r="K626"/>
  <c r="J626"/>
  <c r="I626"/>
  <c r="H626"/>
  <c r="G626"/>
  <c r="F626"/>
  <c r="E626"/>
  <c r="AK625"/>
  <c r="AK627" s="1"/>
  <c r="AJ625"/>
  <c r="AJ627" s="1"/>
  <c r="R625"/>
  <c r="R627" s="1"/>
  <c r="Q625"/>
  <c r="Q627" s="1"/>
  <c r="AK624"/>
  <c r="AJ624"/>
  <c r="V624"/>
  <c r="R624"/>
  <c r="Q624"/>
  <c r="AK623"/>
  <c r="AJ623"/>
  <c r="V623"/>
  <c r="R623"/>
  <c r="Q623"/>
  <c r="AI622"/>
  <c r="AH622"/>
  <c r="AG622"/>
  <c r="AF622"/>
  <c r="AE622"/>
  <c r="AD622"/>
  <c r="AC622"/>
  <c r="AB622"/>
  <c r="AA622"/>
  <c r="Z622"/>
  <c r="Y622"/>
  <c r="X622"/>
  <c r="P622"/>
  <c r="O622"/>
  <c r="N622"/>
  <c r="M622"/>
  <c r="L622"/>
  <c r="K622"/>
  <c r="J622"/>
  <c r="I622"/>
  <c r="H622"/>
  <c r="G622"/>
  <c r="F622"/>
  <c r="E622"/>
  <c r="AI621"/>
  <c r="AH621"/>
  <c r="AG621"/>
  <c r="AF621"/>
  <c r="AE621"/>
  <c r="AD621"/>
  <c r="AC621"/>
  <c r="AB621"/>
  <c r="AA621"/>
  <c r="Z621"/>
  <c r="Y621"/>
  <c r="X621"/>
  <c r="P621"/>
  <c r="O621"/>
  <c r="N621"/>
  <c r="M621"/>
  <c r="L621"/>
  <c r="K621"/>
  <c r="J621"/>
  <c r="I621"/>
  <c r="H621"/>
  <c r="G621"/>
  <c r="F621"/>
  <c r="E621"/>
  <c r="AK620"/>
  <c r="AK622" s="1"/>
  <c r="AJ620"/>
  <c r="AJ622" s="1"/>
  <c r="R620"/>
  <c r="R622" s="1"/>
  <c r="Q620"/>
  <c r="Q622" s="1"/>
  <c r="AK619"/>
  <c r="AJ619"/>
  <c r="V619"/>
  <c r="R619"/>
  <c r="Q619"/>
  <c r="AK618"/>
  <c r="AJ618"/>
  <c r="V618"/>
  <c r="R618"/>
  <c r="Q618"/>
  <c r="AI617"/>
  <c r="AH617"/>
  <c r="AG617"/>
  <c r="AF617"/>
  <c r="AE617"/>
  <c r="AD617"/>
  <c r="AC617"/>
  <c r="AB617"/>
  <c r="AA617"/>
  <c r="Z617"/>
  <c r="Y617"/>
  <c r="X617"/>
  <c r="P617"/>
  <c r="O617"/>
  <c r="N617"/>
  <c r="M617"/>
  <c r="L617"/>
  <c r="K617"/>
  <c r="J617"/>
  <c r="I617"/>
  <c r="H617"/>
  <c r="G617"/>
  <c r="F617"/>
  <c r="E617"/>
  <c r="AI616"/>
  <c r="AH616"/>
  <c r="AG616"/>
  <c r="AF616"/>
  <c r="AE616"/>
  <c r="AD616"/>
  <c r="AC616"/>
  <c r="AB616"/>
  <c r="AA616"/>
  <c r="Z616"/>
  <c r="Y616"/>
  <c r="X616"/>
  <c r="P616"/>
  <c r="O616"/>
  <c r="N616"/>
  <c r="M616"/>
  <c r="L616"/>
  <c r="K616"/>
  <c r="J616"/>
  <c r="I616"/>
  <c r="H616"/>
  <c r="G616"/>
  <c r="F616"/>
  <c r="E616"/>
  <c r="AK615"/>
  <c r="AK617" s="1"/>
  <c r="AJ615"/>
  <c r="AJ617" s="1"/>
  <c r="R615"/>
  <c r="R617" s="1"/>
  <c r="Q615"/>
  <c r="Q617" s="1"/>
  <c r="AK614"/>
  <c r="AJ614"/>
  <c r="V614"/>
  <c r="R614"/>
  <c r="Q614"/>
  <c r="AK613"/>
  <c r="AJ613"/>
  <c r="V613"/>
  <c r="R613"/>
  <c r="Q613"/>
  <c r="AI612"/>
  <c r="AH612"/>
  <c r="AG612"/>
  <c r="AF612"/>
  <c r="AE612"/>
  <c r="AD612"/>
  <c r="AC612"/>
  <c r="AB612"/>
  <c r="AA612"/>
  <c r="Z612"/>
  <c r="Y612"/>
  <c r="X612"/>
  <c r="P612"/>
  <c r="O612"/>
  <c r="N612"/>
  <c r="M612"/>
  <c r="L612"/>
  <c r="K612"/>
  <c r="J612"/>
  <c r="I612"/>
  <c r="H612"/>
  <c r="G612"/>
  <c r="F612"/>
  <c r="E612"/>
  <c r="AI611"/>
  <c r="AH611"/>
  <c r="AG611"/>
  <c r="AF611"/>
  <c r="AE611"/>
  <c r="AD611"/>
  <c r="AC611"/>
  <c r="AB611"/>
  <c r="AA611"/>
  <c r="Z611"/>
  <c r="Y611"/>
  <c r="X611"/>
  <c r="P611"/>
  <c r="O611"/>
  <c r="N611"/>
  <c r="M611"/>
  <c r="L611"/>
  <c r="K611"/>
  <c r="J611"/>
  <c r="I611"/>
  <c r="H611"/>
  <c r="G611"/>
  <c r="F611"/>
  <c r="E611"/>
  <c r="AK610"/>
  <c r="AK612" s="1"/>
  <c r="AJ610"/>
  <c r="AJ612" s="1"/>
  <c r="R610"/>
  <c r="R612" s="1"/>
  <c r="Q610"/>
  <c r="Q612" s="1"/>
  <c r="AK609"/>
  <c r="AJ609"/>
  <c r="V609"/>
  <c r="R609"/>
  <c r="Q609"/>
  <c r="AK608"/>
  <c r="AJ608"/>
  <c r="V608"/>
  <c r="R608"/>
  <c r="Q608"/>
  <c r="AI607"/>
  <c r="AH607"/>
  <c r="AG607"/>
  <c r="AF607"/>
  <c r="AE607"/>
  <c r="AD607"/>
  <c r="AC607"/>
  <c r="AB607"/>
  <c r="AA607"/>
  <c r="Z607"/>
  <c r="Y607"/>
  <c r="X607"/>
  <c r="P607"/>
  <c r="O607"/>
  <c r="N607"/>
  <c r="M607"/>
  <c r="L607"/>
  <c r="K607"/>
  <c r="J607"/>
  <c r="I607"/>
  <c r="H607"/>
  <c r="G607"/>
  <c r="F607"/>
  <c r="E607"/>
  <c r="AI606"/>
  <c r="AH606"/>
  <c r="AG606"/>
  <c r="AF606"/>
  <c r="AE606"/>
  <c r="AD606"/>
  <c r="AC606"/>
  <c r="AB606"/>
  <c r="AA606"/>
  <c r="Z606"/>
  <c r="Y606"/>
  <c r="X606"/>
  <c r="P606"/>
  <c r="O606"/>
  <c r="N606"/>
  <c r="M606"/>
  <c r="L606"/>
  <c r="K606"/>
  <c r="J606"/>
  <c r="I606"/>
  <c r="H606"/>
  <c r="G606"/>
  <c r="F606"/>
  <c r="E606"/>
  <c r="AK605"/>
  <c r="AK607" s="1"/>
  <c r="AJ605"/>
  <c r="AJ607" s="1"/>
  <c r="R605"/>
  <c r="R607" s="1"/>
  <c r="Q605"/>
  <c r="Q607" s="1"/>
  <c r="AK604"/>
  <c r="AJ604"/>
  <c r="V604"/>
  <c r="R604"/>
  <c r="Q604"/>
  <c r="AK603"/>
  <c r="AJ603"/>
  <c r="V603"/>
  <c r="R603"/>
  <c r="Q603"/>
  <c r="AI600"/>
  <c r="AI602" s="1"/>
  <c r="AH600"/>
  <c r="AH602" s="1"/>
  <c r="AG600"/>
  <c r="AG602" s="1"/>
  <c r="AF600"/>
  <c r="AE600"/>
  <c r="AE602" s="1"/>
  <c r="AD600"/>
  <c r="AD602" s="1"/>
  <c r="AC600"/>
  <c r="AC602" s="1"/>
  <c r="AB600"/>
  <c r="AB602" s="1"/>
  <c r="AA600"/>
  <c r="AA602" s="1"/>
  <c r="Z600"/>
  <c r="Z602" s="1"/>
  <c r="Y600"/>
  <c r="Y602" s="1"/>
  <c r="X600"/>
  <c r="AK600" s="1"/>
  <c r="P600"/>
  <c r="P602" s="1"/>
  <c r="O600"/>
  <c r="O602" s="1"/>
  <c r="N600"/>
  <c r="N602" s="1"/>
  <c r="M600"/>
  <c r="M602" s="1"/>
  <c r="L600"/>
  <c r="L602" s="1"/>
  <c r="K600"/>
  <c r="K602" s="1"/>
  <c r="J600"/>
  <c r="J602" s="1"/>
  <c r="I600"/>
  <c r="I602" s="1"/>
  <c r="H600"/>
  <c r="H602" s="1"/>
  <c r="G600"/>
  <c r="G602" s="1"/>
  <c r="F600"/>
  <c r="F602" s="1"/>
  <c r="E600"/>
  <c r="E602" s="1"/>
  <c r="AI599"/>
  <c r="AH599"/>
  <c r="AG599"/>
  <c r="AF599"/>
  <c r="AE599"/>
  <c r="AD599"/>
  <c r="AC599"/>
  <c r="AB599"/>
  <c r="AA599"/>
  <c r="Z599"/>
  <c r="Y599"/>
  <c r="X599"/>
  <c r="AK599" s="1"/>
  <c r="P599"/>
  <c r="O599"/>
  <c r="N599"/>
  <c r="M599"/>
  <c r="L599"/>
  <c r="K599"/>
  <c r="J599"/>
  <c r="I599"/>
  <c r="H599"/>
  <c r="G599"/>
  <c r="F599"/>
  <c r="E599"/>
  <c r="Q599" s="1"/>
  <c r="AI598"/>
  <c r="AH598"/>
  <c r="AG598"/>
  <c r="AF598"/>
  <c r="AE598"/>
  <c r="AD598"/>
  <c r="AC598"/>
  <c r="AB598"/>
  <c r="AA598"/>
  <c r="Z598"/>
  <c r="Y598"/>
  <c r="X598"/>
  <c r="AK598" s="1"/>
  <c r="P598"/>
  <c r="O598"/>
  <c r="N598"/>
  <c r="M598"/>
  <c r="L598"/>
  <c r="K598"/>
  <c r="J598"/>
  <c r="I598"/>
  <c r="H598"/>
  <c r="G598"/>
  <c r="F598"/>
  <c r="E598"/>
  <c r="Q598" s="1"/>
  <c r="AI597"/>
  <c r="AH597"/>
  <c r="AG597"/>
  <c r="AF597"/>
  <c r="AE597"/>
  <c r="AD597"/>
  <c r="AC597"/>
  <c r="AB597"/>
  <c r="AA597"/>
  <c r="Z597"/>
  <c r="Y597"/>
  <c r="X597"/>
  <c r="P597"/>
  <c r="O597"/>
  <c r="N597"/>
  <c r="M597"/>
  <c r="L597"/>
  <c r="K597"/>
  <c r="J597"/>
  <c r="I597"/>
  <c r="H597"/>
  <c r="G597"/>
  <c r="F597"/>
  <c r="E597"/>
  <c r="AI596"/>
  <c r="AH596"/>
  <c r="AG596"/>
  <c r="AF596"/>
  <c r="AE596"/>
  <c r="AD596"/>
  <c r="AC596"/>
  <c r="AB596"/>
  <c r="AA596"/>
  <c r="Z596"/>
  <c r="Y596"/>
  <c r="X596"/>
  <c r="P596"/>
  <c r="O596"/>
  <c r="N596"/>
  <c r="M596"/>
  <c r="L596"/>
  <c r="K596"/>
  <c r="J596"/>
  <c r="I596"/>
  <c r="H596"/>
  <c r="G596"/>
  <c r="F596"/>
  <c r="E596"/>
  <c r="AK595"/>
  <c r="AK597" s="1"/>
  <c r="AJ595"/>
  <c r="AJ597" s="1"/>
  <c r="R595"/>
  <c r="R597" s="1"/>
  <c r="Q595"/>
  <c r="Q597" s="1"/>
  <c r="AK594"/>
  <c r="AJ594"/>
  <c r="V594"/>
  <c r="R594"/>
  <c r="Q594"/>
  <c r="AK593"/>
  <c r="AJ593"/>
  <c r="V593"/>
  <c r="R593"/>
  <c r="Q593"/>
  <c r="AI592"/>
  <c r="AH592"/>
  <c r="AG592"/>
  <c r="AF592"/>
  <c r="AE592"/>
  <c r="AD592"/>
  <c r="AC592"/>
  <c r="AB592"/>
  <c r="AA592"/>
  <c r="Z592"/>
  <c r="Y592"/>
  <c r="X592"/>
  <c r="P592"/>
  <c r="O592"/>
  <c r="N592"/>
  <c r="M592"/>
  <c r="L592"/>
  <c r="K592"/>
  <c r="J592"/>
  <c r="I592"/>
  <c r="H592"/>
  <c r="G592"/>
  <c r="F592"/>
  <c r="E592"/>
  <c r="AI591"/>
  <c r="AH591"/>
  <c r="AG591"/>
  <c r="AF591"/>
  <c r="AE591"/>
  <c r="AD591"/>
  <c r="AC591"/>
  <c r="AB591"/>
  <c r="AA591"/>
  <c r="Z591"/>
  <c r="Y591"/>
  <c r="X591"/>
  <c r="P591"/>
  <c r="O591"/>
  <c r="N591"/>
  <c r="M591"/>
  <c r="L591"/>
  <c r="K591"/>
  <c r="J591"/>
  <c r="I591"/>
  <c r="H591"/>
  <c r="G591"/>
  <c r="F591"/>
  <c r="E591"/>
  <c r="AK590"/>
  <c r="AK592" s="1"/>
  <c r="AJ590"/>
  <c r="AJ592" s="1"/>
  <c r="R590"/>
  <c r="R592" s="1"/>
  <c r="Q590"/>
  <c r="Q592" s="1"/>
  <c r="AK589"/>
  <c r="AJ589"/>
  <c r="V589"/>
  <c r="R589"/>
  <c r="Q589"/>
  <c r="AK588"/>
  <c r="AJ588"/>
  <c r="V588"/>
  <c r="R588"/>
  <c r="Q588"/>
  <c r="AI587"/>
  <c r="AH587"/>
  <c r="AG587"/>
  <c r="AF587"/>
  <c r="AE587"/>
  <c r="AD587"/>
  <c r="AC587"/>
  <c r="AB587"/>
  <c r="AA587"/>
  <c r="Z587"/>
  <c r="Y587"/>
  <c r="X587"/>
  <c r="P587"/>
  <c r="O587"/>
  <c r="N587"/>
  <c r="M587"/>
  <c r="L587"/>
  <c r="K587"/>
  <c r="J587"/>
  <c r="I587"/>
  <c r="H587"/>
  <c r="G587"/>
  <c r="F587"/>
  <c r="E587"/>
  <c r="AI586"/>
  <c r="AH586"/>
  <c r="AG586"/>
  <c r="AF586"/>
  <c r="AE586"/>
  <c r="AD586"/>
  <c r="AC586"/>
  <c r="AB586"/>
  <c r="AA586"/>
  <c r="Z586"/>
  <c r="Y586"/>
  <c r="X586"/>
  <c r="P586"/>
  <c r="O586"/>
  <c r="N586"/>
  <c r="M586"/>
  <c r="L586"/>
  <c r="K586"/>
  <c r="J586"/>
  <c r="I586"/>
  <c r="H586"/>
  <c r="G586"/>
  <c r="F586"/>
  <c r="E586"/>
  <c r="AK585"/>
  <c r="AK587" s="1"/>
  <c r="AJ585"/>
  <c r="AJ587" s="1"/>
  <c r="R585"/>
  <c r="R587" s="1"/>
  <c r="Q585"/>
  <c r="Q587" s="1"/>
  <c r="AK584"/>
  <c r="AJ584"/>
  <c r="V584"/>
  <c r="R584"/>
  <c r="Q584"/>
  <c r="AK583"/>
  <c r="AJ583"/>
  <c r="V583"/>
  <c r="R583"/>
  <c r="Q583"/>
  <c r="AI582"/>
  <c r="AH582"/>
  <c r="AG582"/>
  <c r="AF582"/>
  <c r="AE582"/>
  <c r="AD582"/>
  <c r="AC582"/>
  <c r="AB582"/>
  <c r="AA582"/>
  <c r="Z582"/>
  <c r="Y582"/>
  <c r="X582"/>
  <c r="P582"/>
  <c r="O582"/>
  <c r="N582"/>
  <c r="M582"/>
  <c r="L582"/>
  <c r="K582"/>
  <c r="J582"/>
  <c r="I582"/>
  <c r="H582"/>
  <c r="G582"/>
  <c r="F582"/>
  <c r="E582"/>
  <c r="AI581"/>
  <c r="AH581"/>
  <c r="AG581"/>
  <c r="AF581"/>
  <c r="AE581"/>
  <c r="AD581"/>
  <c r="AC581"/>
  <c r="AB581"/>
  <c r="AA581"/>
  <c r="Z581"/>
  <c r="Y581"/>
  <c r="X581"/>
  <c r="P581"/>
  <c r="O581"/>
  <c r="N581"/>
  <c r="M581"/>
  <c r="L581"/>
  <c r="K581"/>
  <c r="J581"/>
  <c r="I581"/>
  <c r="H581"/>
  <c r="G581"/>
  <c r="F581"/>
  <c r="E581"/>
  <c r="AK580"/>
  <c r="AK582" s="1"/>
  <c r="AJ580"/>
  <c r="AJ582" s="1"/>
  <c r="R580"/>
  <c r="R582" s="1"/>
  <c r="Q580"/>
  <c r="Q582" s="1"/>
  <c r="AK579"/>
  <c r="AJ579"/>
  <c r="V579"/>
  <c r="R579"/>
  <c r="Q579"/>
  <c r="AK578"/>
  <c r="AJ578"/>
  <c r="V578"/>
  <c r="R578"/>
  <c r="Q578"/>
  <c r="AI577"/>
  <c r="AH577"/>
  <c r="AG577"/>
  <c r="AF577"/>
  <c r="AE577"/>
  <c r="AD577"/>
  <c r="AC577"/>
  <c r="AB577"/>
  <c r="AA577"/>
  <c r="Z577"/>
  <c r="Y577"/>
  <c r="X577"/>
  <c r="P577"/>
  <c r="O577"/>
  <c r="N577"/>
  <c r="M577"/>
  <c r="L577"/>
  <c r="K577"/>
  <c r="J577"/>
  <c r="I577"/>
  <c r="H577"/>
  <c r="G577"/>
  <c r="F577"/>
  <c r="E577"/>
  <c r="AI576"/>
  <c r="AH576"/>
  <c r="AG576"/>
  <c r="AF576"/>
  <c r="AE576"/>
  <c r="AD576"/>
  <c r="AC576"/>
  <c r="AB576"/>
  <c r="AA576"/>
  <c r="Z576"/>
  <c r="Y576"/>
  <c r="X576"/>
  <c r="P576"/>
  <c r="O576"/>
  <c r="N576"/>
  <c r="M576"/>
  <c r="L576"/>
  <c r="K576"/>
  <c r="J576"/>
  <c r="I576"/>
  <c r="H576"/>
  <c r="G576"/>
  <c r="F576"/>
  <c r="E576"/>
  <c r="AK575"/>
  <c r="AK577" s="1"/>
  <c r="AJ575"/>
  <c r="AJ577" s="1"/>
  <c r="R575"/>
  <c r="R577" s="1"/>
  <c r="Q575"/>
  <c r="Q577" s="1"/>
  <c r="AK574"/>
  <c r="AJ574"/>
  <c r="V574"/>
  <c r="R574"/>
  <c r="Q574"/>
  <c r="AK573"/>
  <c r="AJ573"/>
  <c r="V573"/>
  <c r="R573"/>
  <c r="Q573"/>
  <c r="AI572"/>
  <c r="AH572"/>
  <c r="AG572"/>
  <c r="AF572"/>
  <c r="AE572"/>
  <c r="AD572"/>
  <c r="AC572"/>
  <c r="AB572"/>
  <c r="AA572"/>
  <c r="Z572"/>
  <c r="Y572"/>
  <c r="X572"/>
  <c r="P572"/>
  <c r="O572"/>
  <c r="N572"/>
  <c r="M572"/>
  <c r="L572"/>
  <c r="K572"/>
  <c r="J572"/>
  <c r="I572"/>
  <c r="H572"/>
  <c r="G572"/>
  <c r="F572"/>
  <c r="E572"/>
  <c r="AI571"/>
  <c r="AH571"/>
  <c r="AG571"/>
  <c r="AF571"/>
  <c r="AE571"/>
  <c r="AD571"/>
  <c r="AC571"/>
  <c r="AB571"/>
  <c r="AA571"/>
  <c r="Z571"/>
  <c r="Y571"/>
  <c r="X571"/>
  <c r="P571"/>
  <c r="O571"/>
  <c r="N571"/>
  <c r="M571"/>
  <c r="L571"/>
  <c r="K571"/>
  <c r="J571"/>
  <c r="I571"/>
  <c r="H571"/>
  <c r="G571"/>
  <c r="F571"/>
  <c r="E571"/>
  <c r="AK570"/>
  <c r="AK572" s="1"/>
  <c r="AJ570"/>
  <c r="AJ572" s="1"/>
  <c r="R570"/>
  <c r="R572" s="1"/>
  <c r="Q570"/>
  <c r="Q572" s="1"/>
  <c r="AK569"/>
  <c r="AJ569"/>
  <c r="V569"/>
  <c r="R569"/>
  <c r="Q569"/>
  <c r="AK568"/>
  <c r="AJ568"/>
  <c r="V568"/>
  <c r="R568"/>
  <c r="Q568"/>
  <c r="AI567"/>
  <c r="AH567"/>
  <c r="AG567"/>
  <c r="AF567"/>
  <c r="AE567"/>
  <c r="AD567"/>
  <c r="AC567"/>
  <c r="AB567"/>
  <c r="AA567"/>
  <c r="Z567"/>
  <c r="Y567"/>
  <c r="X567"/>
  <c r="P567"/>
  <c r="O567"/>
  <c r="N567"/>
  <c r="M567"/>
  <c r="L567"/>
  <c r="K567"/>
  <c r="J567"/>
  <c r="I567"/>
  <c r="H567"/>
  <c r="G567"/>
  <c r="F567"/>
  <c r="E567"/>
  <c r="AI566"/>
  <c r="AH566"/>
  <c r="AG566"/>
  <c r="AF566"/>
  <c r="AE566"/>
  <c r="AD566"/>
  <c r="AC566"/>
  <c r="AB566"/>
  <c r="AA566"/>
  <c r="Z566"/>
  <c r="Y566"/>
  <c r="X566"/>
  <c r="P566"/>
  <c r="O566"/>
  <c r="N566"/>
  <c r="M566"/>
  <c r="L566"/>
  <c r="K566"/>
  <c r="J566"/>
  <c r="I566"/>
  <c r="H566"/>
  <c r="G566"/>
  <c r="F566"/>
  <c r="E566"/>
  <c r="AK565"/>
  <c r="AK567" s="1"/>
  <c r="AJ565"/>
  <c r="AJ567" s="1"/>
  <c r="R565"/>
  <c r="R567" s="1"/>
  <c r="Q565"/>
  <c r="Q567" s="1"/>
  <c r="AK564"/>
  <c r="AJ564"/>
  <c r="V564"/>
  <c r="R564"/>
  <c r="Q564"/>
  <c r="AK563"/>
  <c r="AJ563"/>
  <c r="V563"/>
  <c r="R563"/>
  <c r="Q563"/>
  <c r="AI562"/>
  <c r="AH562"/>
  <c r="AG562"/>
  <c r="AF562"/>
  <c r="AE562"/>
  <c r="AD562"/>
  <c r="AC562"/>
  <c r="AB562"/>
  <c r="AA562"/>
  <c r="Z562"/>
  <c r="Y562"/>
  <c r="X562"/>
  <c r="P562"/>
  <c r="O562"/>
  <c r="N562"/>
  <c r="M562"/>
  <c r="L562"/>
  <c r="K562"/>
  <c r="J562"/>
  <c r="I562"/>
  <c r="H562"/>
  <c r="G562"/>
  <c r="F562"/>
  <c r="E562"/>
  <c r="AI561"/>
  <c r="AH561"/>
  <c r="AG561"/>
  <c r="AF561"/>
  <c r="AE561"/>
  <c r="AD561"/>
  <c r="AC561"/>
  <c r="AB561"/>
  <c r="AA561"/>
  <c r="Z561"/>
  <c r="Y561"/>
  <c r="X561"/>
  <c r="P561"/>
  <c r="O561"/>
  <c r="N561"/>
  <c r="M561"/>
  <c r="L561"/>
  <c r="K561"/>
  <c r="J561"/>
  <c r="I561"/>
  <c r="H561"/>
  <c r="G561"/>
  <c r="F561"/>
  <c r="E561"/>
  <c r="AK560"/>
  <c r="AK562" s="1"/>
  <c r="AJ560"/>
  <c r="AJ562" s="1"/>
  <c r="R560"/>
  <c r="R562" s="1"/>
  <c r="Q560"/>
  <c r="Q562" s="1"/>
  <c r="AK559"/>
  <c r="AJ559"/>
  <c r="V559"/>
  <c r="R559"/>
  <c r="Q559"/>
  <c r="AK558"/>
  <c r="AJ558"/>
  <c r="V558"/>
  <c r="R558"/>
  <c r="Q558"/>
  <c r="AI557"/>
  <c r="AH557"/>
  <c r="AG557"/>
  <c r="AF557"/>
  <c r="AE557"/>
  <c r="AD557"/>
  <c r="AC557"/>
  <c r="AB557"/>
  <c r="AA557"/>
  <c r="Z557"/>
  <c r="Y557"/>
  <c r="X557"/>
  <c r="P557"/>
  <c r="O557"/>
  <c r="N557"/>
  <c r="M557"/>
  <c r="L557"/>
  <c r="K557"/>
  <c r="J557"/>
  <c r="I557"/>
  <c r="H557"/>
  <c r="G557"/>
  <c r="F557"/>
  <c r="E557"/>
  <c r="AI556"/>
  <c r="AH556"/>
  <c r="AG556"/>
  <c r="AF556"/>
  <c r="AE556"/>
  <c r="AD556"/>
  <c r="AC556"/>
  <c r="AB556"/>
  <c r="AA556"/>
  <c r="Z556"/>
  <c r="Y556"/>
  <c r="X556"/>
  <c r="P556"/>
  <c r="O556"/>
  <c r="N556"/>
  <c r="M556"/>
  <c r="L556"/>
  <c r="K556"/>
  <c r="J556"/>
  <c r="I556"/>
  <c r="H556"/>
  <c r="G556"/>
  <c r="F556"/>
  <c r="E556"/>
  <c r="AK555"/>
  <c r="AK557" s="1"/>
  <c r="AJ555"/>
  <c r="AJ557" s="1"/>
  <c r="R555"/>
  <c r="R557" s="1"/>
  <c r="Q555"/>
  <c r="Q557" s="1"/>
  <c r="AK554"/>
  <c r="AJ554"/>
  <c r="V554"/>
  <c r="R554"/>
  <c r="Q554"/>
  <c r="AK553"/>
  <c r="AJ553"/>
  <c r="V553"/>
  <c r="R553"/>
  <c r="Q553"/>
  <c r="AI552"/>
  <c r="AH552"/>
  <c r="AG552"/>
  <c r="AF552"/>
  <c r="AE552"/>
  <c r="AD552"/>
  <c r="AC552"/>
  <c r="AB552"/>
  <c r="AA552"/>
  <c r="Z552"/>
  <c r="Y552"/>
  <c r="X552"/>
  <c r="P552"/>
  <c r="O552"/>
  <c r="N552"/>
  <c r="M552"/>
  <c r="L552"/>
  <c r="K552"/>
  <c r="J552"/>
  <c r="I552"/>
  <c r="H552"/>
  <c r="G552"/>
  <c r="F552"/>
  <c r="E552"/>
  <c r="AI551"/>
  <c r="AH551"/>
  <c r="AG551"/>
  <c r="AF551"/>
  <c r="AE551"/>
  <c r="AD551"/>
  <c r="AC551"/>
  <c r="AB551"/>
  <c r="AA551"/>
  <c r="Z551"/>
  <c r="Y551"/>
  <c r="X551"/>
  <c r="P551"/>
  <c r="O551"/>
  <c r="N551"/>
  <c r="M551"/>
  <c r="L551"/>
  <c r="K551"/>
  <c r="J551"/>
  <c r="I551"/>
  <c r="H551"/>
  <c r="G551"/>
  <c r="F551"/>
  <c r="E551"/>
  <c r="AK550"/>
  <c r="AK552" s="1"/>
  <c r="AJ550"/>
  <c r="AJ552" s="1"/>
  <c r="R550"/>
  <c r="R552" s="1"/>
  <c r="Q550"/>
  <c r="Q552" s="1"/>
  <c r="AK549"/>
  <c r="AJ549"/>
  <c r="V549"/>
  <c r="R549"/>
  <c r="Q549"/>
  <c r="AK548"/>
  <c r="AJ548"/>
  <c r="V548"/>
  <c r="R548"/>
  <c r="Q548"/>
  <c r="AI547"/>
  <c r="AH547"/>
  <c r="AG547"/>
  <c r="AF547"/>
  <c r="AE547"/>
  <c r="AD547"/>
  <c r="AC547"/>
  <c r="AB547"/>
  <c r="AA547"/>
  <c r="Z547"/>
  <c r="Y547"/>
  <c r="X547"/>
  <c r="P547"/>
  <c r="O547"/>
  <c r="N547"/>
  <c r="M547"/>
  <c r="L547"/>
  <c r="K547"/>
  <c r="J547"/>
  <c r="I547"/>
  <c r="H547"/>
  <c r="G547"/>
  <c r="F547"/>
  <c r="E547"/>
  <c r="AI546"/>
  <c r="AH546"/>
  <c r="AG546"/>
  <c r="AF546"/>
  <c r="AE546"/>
  <c r="AD546"/>
  <c r="AC546"/>
  <c r="AB546"/>
  <c r="AA546"/>
  <c r="Z546"/>
  <c r="Y546"/>
  <c r="X546"/>
  <c r="P546"/>
  <c r="O546"/>
  <c r="N546"/>
  <c r="M546"/>
  <c r="L546"/>
  <c r="K546"/>
  <c r="J546"/>
  <c r="I546"/>
  <c r="H546"/>
  <c r="G546"/>
  <c r="F546"/>
  <c r="E546"/>
  <c r="AK545"/>
  <c r="AK547" s="1"/>
  <c r="AJ545"/>
  <c r="AJ547" s="1"/>
  <c r="R545"/>
  <c r="R547" s="1"/>
  <c r="Q545"/>
  <c r="Q547" s="1"/>
  <c r="AK544"/>
  <c r="AJ544"/>
  <c r="V544"/>
  <c r="R544"/>
  <c r="Q544"/>
  <c r="AK543"/>
  <c r="AJ543"/>
  <c r="V543"/>
  <c r="R543"/>
  <c r="Q543"/>
  <c r="AI542"/>
  <c r="AH542"/>
  <c r="AG542"/>
  <c r="AF542"/>
  <c r="AE542"/>
  <c r="AD542"/>
  <c r="AC542"/>
  <c r="AB542"/>
  <c r="AA542"/>
  <c r="Z542"/>
  <c r="Y542"/>
  <c r="X542"/>
  <c r="P542"/>
  <c r="O542"/>
  <c r="N542"/>
  <c r="M542"/>
  <c r="L542"/>
  <c r="K542"/>
  <c r="J542"/>
  <c r="I542"/>
  <c r="H542"/>
  <c r="G542"/>
  <c r="F542"/>
  <c r="E542"/>
  <c r="AI541"/>
  <c r="AH541"/>
  <c r="AG541"/>
  <c r="AF541"/>
  <c r="AE541"/>
  <c r="AD541"/>
  <c r="AC541"/>
  <c r="AB541"/>
  <c r="AA541"/>
  <c r="Z541"/>
  <c r="Y541"/>
  <c r="X541"/>
  <c r="P541"/>
  <c r="O541"/>
  <c r="N541"/>
  <c r="M541"/>
  <c r="L541"/>
  <c r="K541"/>
  <c r="J541"/>
  <c r="I541"/>
  <c r="H541"/>
  <c r="G541"/>
  <c r="F541"/>
  <c r="E541"/>
  <c r="AK540"/>
  <c r="AK542" s="1"/>
  <c r="AJ540"/>
  <c r="AJ542" s="1"/>
  <c r="R540"/>
  <c r="R542" s="1"/>
  <c r="Q540"/>
  <c r="Q542" s="1"/>
  <c r="AK539"/>
  <c r="AJ539"/>
  <c r="V539"/>
  <c r="R539"/>
  <c r="Q539"/>
  <c r="AK538"/>
  <c r="AJ538"/>
  <c r="V538"/>
  <c r="R538"/>
  <c r="Q538"/>
  <c r="AI537"/>
  <c r="AH537"/>
  <c r="AG537"/>
  <c r="AF537"/>
  <c r="AE537"/>
  <c r="AD537"/>
  <c r="AC537"/>
  <c r="AB537"/>
  <c r="AA537"/>
  <c r="Z537"/>
  <c r="Y537"/>
  <c r="X537"/>
  <c r="P537"/>
  <c r="O537"/>
  <c r="N537"/>
  <c r="M537"/>
  <c r="L537"/>
  <c r="K537"/>
  <c r="J537"/>
  <c r="I537"/>
  <c r="H537"/>
  <c r="G537"/>
  <c r="F537"/>
  <c r="E537"/>
  <c r="AI536"/>
  <c r="AH536"/>
  <c r="AG536"/>
  <c r="AF536"/>
  <c r="AE536"/>
  <c r="AD536"/>
  <c r="AC536"/>
  <c r="AB536"/>
  <c r="AA536"/>
  <c r="Z536"/>
  <c r="Y536"/>
  <c r="X536"/>
  <c r="P536"/>
  <c r="O536"/>
  <c r="N536"/>
  <c r="M536"/>
  <c r="L536"/>
  <c r="K536"/>
  <c r="J536"/>
  <c r="I536"/>
  <c r="H536"/>
  <c r="G536"/>
  <c r="F536"/>
  <c r="E536"/>
  <c r="AK535"/>
  <c r="AK537" s="1"/>
  <c r="AJ535"/>
  <c r="AJ537" s="1"/>
  <c r="R535"/>
  <c r="R537" s="1"/>
  <c r="Q535"/>
  <c r="Q537" s="1"/>
  <c r="AK534"/>
  <c r="AJ534"/>
  <c r="V534"/>
  <c r="R534"/>
  <c r="Q534"/>
  <c r="AK533"/>
  <c r="AJ533"/>
  <c r="V533"/>
  <c r="R533"/>
  <c r="Q533"/>
  <c r="AI532"/>
  <c r="AH532"/>
  <c r="AG532"/>
  <c r="AF532"/>
  <c r="AE532"/>
  <c r="AD532"/>
  <c r="AC532"/>
  <c r="AB532"/>
  <c r="AA532"/>
  <c r="Z532"/>
  <c r="Y532"/>
  <c r="X532"/>
  <c r="P532"/>
  <c r="O532"/>
  <c r="N532"/>
  <c r="M532"/>
  <c r="L532"/>
  <c r="K532"/>
  <c r="J532"/>
  <c r="I532"/>
  <c r="H532"/>
  <c r="G532"/>
  <c r="F532"/>
  <c r="E532"/>
  <c r="AI531"/>
  <c r="AH531"/>
  <c r="AG531"/>
  <c r="AF531"/>
  <c r="AE531"/>
  <c r="AD531"/>
  <c r="AC531"/>
  <c r="AB531"/>
  <c r="AA531"/>
  <c r="Z531"/>
  <c r="Y531"/>
  <c r="X531"/>
  <c r="P531"/>
  <c r="O531"/>
  <c r="N531"/>
  <c r="M531"/>
  <c r="L531"/>
  <c r="K531"/>
  <c r="J531"/>
  <c r="I531"/>
  <c r="H531"/>
  <c r="G531"/>
  <c r="F531"/>
  <c r="E531"/>
  <c r="AK530"/>
  <c r="AK532" s="1"/>
  <c r="AJ530"/>
  <c r="AJ532" s="1"/>
  <c r="R530"/>
  <c r="R532" s="1"/>
  <c r="Q530"/>
  <c r="Q532" s="1"/>
  <c r="AK529"/>
  <c r="AJ529"/>
  <c r="V529"/>
  <c r="R529"/>
  <c r="Q529"/>
  <c r="AK528"/>
  <c r="AJ528"/>
  <c r="V528"/>
  <c r="R528"/>
  <c r="Q528"/>
  <c r="AI525"/>
  <c r="AI527" s="1"/>
  <c r="AH525"/>
  <c r="AH527" s="1"/>
  <c r="AG525"/>
  <c r="AG527" s="1"/>
  <c r="AF525"/>
  <c r="AF527" s="1"/>
  <c r="AE525"/>
  <c r="AE527" s="1"/>
  <c r="AD525"/>
  <c r="AD527" s="1"/>
  <c r="AC525"/>
  <c r="AC527" s="1"/>
  <c r="AB525"/>
  <c r="AB527" s="1"/>
  <c r="AA525"/>
  <c r="AA527" s="1"/>
  <c r="Z525"/>
  <c r="Z527" s="1"/>
  <c r="Y525"/>
  <c r="Y527" s="1"/>
  <c r="X525"/>
  <c r="AK525" s="1"/>
  <c r="P525"/>
  <c r="P527" s="1"/>
  <c r="O525"/>
  <c r="O527" s="1"/>
  <c r="N525"/>
  <c r="N527" s="1"/>
  <c r="M525"/>
  <c r="M527" s="1"/>
  <c r="L525"/>
  <c r="L527" s="1"/>
  <c r="K525"/>
  <c r="K527" s="1"/>
  <c r="J525"/>
  <c r="J527" s="1"/>
  <c r="I525"/>
  <c r="I527" s="1"/>
  <c r="H525"/>
  <c r="H527" s="1"/>
  <c r="G525"/>
  <c r="G527" s="1"/>
  <c r="F525"/>
  <c r="F527" s="1"/>
  <c r="E525"/>
  <c r="E527" s="1"/>
  <c r="AI524"/>
  <c r="AH524"/>
  <c r="AG524"/>
  <c r="AF524"/>
  <c r="AE524"/>
  <c r="AD524"/>
  <c r="AC524"/>
  <c r="AB524"/>
  <c r="AA524"/>
  <c r="Z524"/>
  <c r="Y524"/>
  <c r="X524"/>
  <c r="AK524" s="1"/>
  <c r="P524"/>
  <c r="O524"/>
  <c r="N524"/>
  <c r="M524"/>
  <c r="L524"/>
  <c r="K524"/>
  <c r="J524"/>
  <c r="I524"/>
  <c r="H524"/>
  <c r="G524"/>
  <c r="F524"/>
  <c r="E524"/>
  <c r="Q524" s="1"/>
  <c r="AI523"/>
  <c r="AH523"/>
  <c r="AG523"/>
  <c r="AF523"/>
  <c r="AE523"/>
  <c r="AD523"/>
  <c r="AC523"/>
  <c r="AB523"/>
  <c r="AA523"/>
  <c r="Z523"/>
  <c r="Y523"/>
  <c r="X523"/>
  <c r="AK523" s="1"/>
  <c r="P523"/>
  <c r="O523"/>
  <c r="N523"/>
  <c r="M523"/>
  <c r="L523"/>
  <c r="K523"/>
  <c r="J523"/>
  <c r="I523"/>
  <c r="H523"/>
  <c r="G523"/>
  <c r="F523"/>
  <c r="E523"/>
  <c r="Q523" s="1"/>
  <c r="AI522"/>
  <c r="AH522"/>
  <c r="AG522"/>
  <c r="AF522"/>
  <c r="AE522"/>
  <c r="AD522"/>
  <c r="AC522"/>
  <c r="AB522"/>
  <c r="AA522"/>
  <c r="Z522"/>
  <c r="Y522"/>
  <c r="X522"/>
  <c r="P522"/>
  <c r="O522"/>
  <c r="N522"/>
  <c r="M522"/>
  <c r="L522"/>
  <c r="K522"/>
  <c r="J522"/>
  <c r="I522"/>
  <c r="H522"/>
  <c r="G522"/>
  <c r="F522"/>
  <c r="E522"/>
  <c r="AI521"/>
  <c r="AH521"/>
  <c r="AG521"/>
  <c r="AF521"/>
  <c r="AE521"/>
  <c r="AD521"/>
  <c r="AC521"/>
  <c r="AB521"/>
  <c r="AA521"/>
  <c r="Z521"/>
  <c r="Y521"/>
  <c r="X521"/>
  <c r="P521"/>
  <c r="O521"/>
  <c r="N521"/>
  <c r="M521"/>
  <c r="L521"/>
  <c r="K521"/>
  <c r="J521"/>
  <c r="I521"/>
  <c r="H521"/>
  <c r="G521"/>
  <c r="F521"/>
  <c r="E521"/>
  <c r="AK520"/>
  <c r="AK522" s="1"/>
  <c r="AJ520"/>
  <c r="AJ522" s="1"/>
  <c r="R520"/>
  <c r="R522" s="1"/>
  <c r="Q520"/>
  <c r="Q522" s="1"/>
  <c r="AK519"/>
  <c r="AJ519"/>
  <c r="V519"/>
  <c r="R519"/>
  <c r="Q519"/>
  <c r="AK518"/>
  <c r="AJ518"/>
  <c r="V518"/>
  <c r="R518"/>
  <c r="Q518"/>
  <c r="AI517"/>
  <c r="AH517"/>
  <c r="AG517"/>
  <c r="AF517"/>
  <c r="AE517"/>
  <c r="AD517"/>
  <c r="AC517"/>
  <c r="AB517"/>
  <c r="AA517"/>
  <c r="Z517"/>
  <c r="Y517"/>
  <c r="X517"/>
  <c r="P517"/>
  <c r="O517"/>
  <c r="N517"/>
  <c r="M517"/>
  <c r="L517"/>
  <c r="K517"/>
  <c r="J517"/>
  <c r="I517"/>
  <c r="H517"/>
  <c r="G517"/>
  <c r="F517"/>
  <c r="E517"/>
  <c r="AI516"/>
  <c r="AH516"/>
  <c r="AG516"/>
  <c r="AF516"/>
  <c r="AE516"/>
  <c r="AD516"/>
  <c r="AC516"/>
  <c r="AB516"/>
  <c r="AA516"/>
  <c r="Z516"/>
  <c r="Y516"/>
  <c r="X516"/>
  <c r="P516"/>
  <c r="O516"/>
  <c r="N516"/>
  <c r="M516"/>
  <c r="L516"/>
  <c r="K516"/>
  <c r="J516"/>
  <c r="I516"/>
  <c r="H516"/>
  <c r="G516"/>
  <c r="F516"/>
  <c r="E516"/>
  <c r="AK515"/>
  <c r="AK517" s="1"/>
  <c r="AJ515"/>
  <c r="AJ517" s="1"/>
  <c r="R515"/>
  <c r="R517" s="1"/>
  <c r="Q515"/>
  <c r="Q517" s="1"/>
  <c r="AK514"/>
  <c r="AJ514"/>
  <c r="V514"/>
  <c r="R514"/>
  <c r="Q514"/>
  <c r="AK513"/>
  <c r="AJ513"/>
  <c r="V513"/>
  <c r="R513"/>
  <c r="Q513"/>
  <c r="AI512"/>
  <c r="AH512"/>
  <c r="AG512"/>
  <c r="AF512"/>
  <c r="AE512"/>
  <c r="AD512"/>
  <c r="AC512"/>
  <c r="AB512"/>
  <c r="AA512"/>
  <c r="Z512"/>
  <c r="Y512"/>
  <c r="X512"/>
  <c r="P512"/>
  <c r="O512"/>
  <c r="N512"/>
  <c r="M512"/>
  <c r="L512"/>
  <c r="K512"/>
  <c r="J512"/>
  <c r="I512"/>
  <c r="H512"/>
  <c r="G512"/>
  <c r="F512"/>
  <c r="E512"/>
  <c r="AI511"/>
  <c r="AH511"/>
  <c r="AG511"/>
  <c r="AF511"/>
  <c r="AE511"/>
  <c r="AD511"/>
  <c r="AC511"/>
  <c r="AB511"/>
  <c r="AA511"/>
  <c r="Z511"/>
  <c r="Y511"/>
  <c r="X511"/>
  <c r="P511"/>
  <c r="O511"/>
  <c r="N511"/>
  <c r="M511"/>
  <c r="L511"/>
  <c r="K511"/>
  <c r="J511"/>
  <c r="I511"/>
  <c r="H511"/>
  <c r="G511"/>
  <c r="F511"/>
  <c r="E511"/>
  <c r="AK510"/>
  <c r="AK512" s="1"/>
  <c r="AJ510"/>
  <c r="AJ512" s="1"/>
  <c r="R510"/>
  <c r="R512" s="1"/>
  <c r="Q510"/>
  <c r="Q512" s="1"/>
  <c r="AK509"/>
  <c r="AJ509"/>
  <c r="V509"/>
  <c r="R509"/>
  <c r="Q509"/>
  <c r="AK508"/>
  <c r="AJ508"/>
  <c r="V508"/>
  <c r="R508"/>
  <c r="Q508"/>
  <c r="AI507"/>
  <c r="AH507"/>
  <c r="AG507"/>
  <c r="AF507"/>
  <c r="AE507"/>
  <c r="AD507"/>
  <c r="AC507"/>
  <c r="AB507"/>
  <c r="AA507"/>
  <c r="Z507"/>
  <c r="Y507"/>
  <c r="X507"/>
  <c r="P507"/>
  <c r="O507"/>
  <c r="N507"/>
  <c r="M507"/>
  <c r="L507"/>
  <c r="K507"/>
  <c r="J507"/>
  <c r="I507"/>
  <c r="H507"/>
  <c r="G507"/>
  <c r="F507"/>
  <c r="E507"/>
  <c r="AI506"/>
  <c r="AH506"/>
  <c r="AG506"/>
  <c r="AF506"/>
  <c r="AE506"/>
  <c r="AD506"/>
  <c r="AC506"/>
  <c r="AB506"/>
  <c r="AA506"/>
  <c r="Z506"/>
  <c r="Y506"/>
  <c r="X506"/>
  <c r="P506"/>
  <c r="O506"/>
  <c r="N506"/>
  <c r="M506"/>
  <c r="L506"/>
  <c r="K506"/>
  <c r="J506"/>
  <c r="I506"/>
  <c r="H506"/>
  <c r="G506"/>
  <c r="F506"/>
  <c r="E506"/>
  <c r="AK505"/>
  <c r="AK507" s="1"/>
  <c r="AJ505"/>
  <c r="AJ507" s="1"/>
  <c r="R505"/>
  <c r="R507" s="1"/>
  <c r="Q505"/>
  <c r="Q507" s="1"/>
  <c r="AK504"/>
  <c r="AJ504"/>
  <c r="V504"/>
  <c r="R504"/>
  <c r="Q504"/>
  <c r="AK503"/>
  <c r="AJ503"/>
  <c r="V503"/>
  <c r="R503"/>
  <c r="Q503"/>
  <c r="AI502"/>
  <c r="AH502"/>
  <c r="AG502"/>
  <c r="AF502"/>
  <c r="AE502"/>
  <c r="AD502"/>
  <c r="AC502"/>
  <c r="AB502"/>
  <c r="AA502"/>
  <c r="Z502"/>
  <c r="Y502"/>
  <c r="X502"/>
  <c r="P502"/>
  <c r="O502"/>
  <c r="N502"/>
  <c r="M502"/>
  <c r="L502"/>
  <c r="K502"/>
  <c r="J502"/>
  <c r="I502"/>
  <c r="H502"/>
  <c r="G502"/>
  <c r="F502"/>
  <c r="E502"/>
  <c r="AI501"/>
  <c r="AH501"/>
  <c r="AG501"/>
  <c r="AF501"/>
  <c r="AE501"/>
  <c r="AD501"/>
  <c r="AC501"/>
  <c r="AB501"/>
  <c r="AA501"/>
  <c r="Z501"/>
  <c r="Y501"/>
  <c r="X501"/>
  <c r="P501"/>
  <c r="O501"/>
  <c r="N501"/>
  <c r="M501"/>
  <c r="L501"/>
  <c r="K501"/>
  <c r="J501"/>
  <c r="I501"/>
  <c r="H501"/>
  <c r="G501"/>
  <c r="F501"/>
  <c r="E501"/>
  <c r="AK500"/>
  <c r="AK502" s="1"/>
  <c r="AJ500"/>
  <c r="AJ502" s="1"/>
  <c r="R500"/>
  <c r="R502" s="1"/>
  <c r="Q500"/>
  <c r="Q502" s="1"/>
  <c r="AK499"/>
  <c r="AJ499"/>
  <c r="V499"/>
  <c r="R499"/>
  <c r="Q499"/>
  <c r="AK498"/>
  <c r="AJ498"/>
  <c r="V498"/>
  <c r="R498"/>
  <c r="Q498"/>
  <c r="AI497"/>
  <c r="AH497"/>
  <c r="AG497"/>
  <c r="AF497"/>
  <c r="AE497"/>
  <c r="AD497"/>
  <c r="AC497"/>
  <c r="AB497"/>
  <c r="AA497"/>
  <c r="Z497"/>
  <c r="Y497"/>
  <c r="X497"/>
  <c r="P497"/>
  <c r="O497"/>
  <c r="N497"/>
  <c r="M497"/>
  <c r="L497"/>
  <c r="K497"/>
  <c r="J497"/>
  <c r="I497"/>
  <c r="H497"/>
  <c r="G497"/>
  <c r="F497"/>
  <c r="E497"/>
  <c r="AI496"/>
  <c r="AH496"/>
  <c r="AG496"/>
  <c r="AF496"/>
  <c r="AE496"/>
  <c r="AD496"/>
  <c r="AC496"/>
  <c r="AB496"/>
  <c r="AA496"/>
  <c r="Z496"/>
  <c r="Y496"/>
  <c r="X496"/>
  <c r="P496"/>
  <c r="O496"/>
  <c r="N496"/>
  <c r="M496"/>
  <c r="L496"/>
  <c r="K496"/>
  <c r="J496"/>
  <c r="I496"/>
  <c r="H496"/>
  <c r="G496"/>
  <c r="F496"/>
  <c r="E496"/>
  <c r="AK495"/>
  <c r="AK497" s="1"/>
  <c r="AJ495"/>
  <c r="AJ497" s="1"/>
  <c r="R495"/>
  <c r="R497" s="1"/>
  <c r="Q495"/>
  <c r="Q497" s="1"/>
  <c r="AK494"/>
  <c r="AJ494"/>
  <c r="V494"/>
  <c r="R494"/>
  <c r="Q494"/>
  <c r="AK493"/>
  <c r="AJ493"/>
  <c r="V493"/>
  <c r="R493"/>
  <c r="Q493"/>
  <c r="AI492"/>
  <c r="AH492"/>
  <c r="AG492"/>
  <c r="AF492"/>
  <c r="AE492"/>
  <c r="AD492"/>
  <c r="AC492"/>
  <c r="AB492"/>
  <c r="AA492"/>
  <c r="Z492"/>
  <c r="Y492"/>
  <c r="X492"/>
  <c r="P492"/>
  <c r="O492"/>
  <c r="N492"/>
  <c r="M492"/>
  <c r="L492"/>
  <c r="K492"/>
  <c r="J492"/>
  <c r="I492"/>
  <c r="H492"/>
  <c r="G492"/>
  <c r="F492"/>
  <c r="E492"/>
  <c r="AI491"/>
  <c r="AH491"/>
  <c r="AG491"/>
  <c r="AF491"/>
  <c r="AE491"/>
  <c r="AD491"/>
  <c r="AC491"/>
  <c r="AB491"/>
  <c r="AA491"/>
  <c r="Z491"/>
  <c r="Y491"/>
  <c r="X491"/>
  <c r="P491"/>
  <c r="O491"/>
  <c r="N491"/>
  <c r="M491"/>
  <c r="L491"/>
  <c r="K491"/>
  <c r="J491"/>
  <c r="I491"/>
  <c r="H491"/>
  <c r="G491"/>
  <c r="F491"/>
  <c r="E491"/>
  <c r="AK490"/>
  <c r="AK492" s="1"/>
  <c r="AJ490"/>
  <c r="AJ492" s="1"/>
  <c r="R490"/>
  <c r="R492" s="1"/>
  <c r="Q490"/>
  <c r="Q492" s="1"/>
  <c r="AK489"/>
  <c r="AJ489"/>
  <c r="V489"/>
  <c r="R489"/>
  <c r="Q489"/>
  <c r="AK488"/>
  <c r="AJ488"/>
  <c r="V488"/>
  <c r="R488"/>
  <c r="Q488"/>
  <c r="AI487"/>
  <c r="AH487"/>
  <c r="AG487"/>
  <c r="AF487"/>
  <c r="AE487"/>
  <c r="AD487"/>
  <c r="AC487"/>
  <c r="AB487"/>
  <c r="AA487"/>
  <c r="Z487"/>
  <c r="Y487"/>
  <c r="X487"/>
  <c r="P487"/>
  <c r="O487"/>
  <c r="N487"/>
  <c r="M487"/>
  <c r="L487"/>
  <c r="K487"/>
  <c r="J487"/>
  <c r="I487"/>
  <c r="H487"/>
  <c r="G487"/>
  <c r="F487"/>
  <c r="E487"/>
  <c r="AI486"/>
  <c r="AH486"/>
  <c r="AG486"/>
  <c r="AF486"/>
  <c r="AE486"/>
  <c r="AD486"/>
  <c r="AC486"/>
  <c r="AB486"/>
  <c r="AA486"/>
  <c r="Z486"/>
  <c r="Y486"/>
  <c r="X486"/>
  <c r="P486"/>
  <c r="O486"/>
  <c r="N486"/>
  <c r="M486"/>
  <c r="L486"/>
  <c r="K486"/>
  <c r="J486"/>
  <c r="I486"/>
  <c r="H486"/>
  <c r="G486"/>
  <c r="F486"/>
  <c r="E486"/>
  <c r="AK485"/>
  <c r="AK487" s="1"/>
  <c r="AJ485"/>
  <c r="AJ487" s="1"/>
  <c r="R485"/>
  <c r="R487" s="1"/>
  <c r="Q485"/>
  <c r="Q487" s="1"/>
  <c r="AK484"/>
  <c r="AJ484"/>
  <c r="V484"/>
  <c r="R484"/>
  <c r="Q484"/>
  <c r="AK483"/>
  <c r="AJ483"/>
  <c r="V483"/>
  <c r="R483"/>
  <c r="Q483"/>
  <c r="AI482"/>
  <c r="AH482"/>
  <c r="AG482"/>
  <c r="AF482"/>
  <c r="AE482"/>
  <c r="AD482"/>
  <c r="AC482"/>
  <c r="AB482"/>
  <c r="AA482"/>
  <c r="Z482"/>
  <c r="Y482"/>
  <c r="X482"/>
  <c r="P482"/>
  <c r="O482"/>
  <c r="N482"/>
  <c r="M482"/>
  <c r="L482"/>
  <c r="K482"/>
  <c r="J482"/>
  <c r="I482"/>
  <c r="H482"/>
  <c r="G482"/>
  <c r="F482"/>
  <c r="E482"/>
  <c r="AI481"/>
  <c r="AH481"/>
  <c r="AG481"/>
  <c r="AF481"/>
  <c r="AE481"/>
  <c r="AD481"/>
  <c r="AC481"/>
  <c r="AB481"/>
  <c r="AA481"/>
  <c r="Z481"/>
  <c r="Y481"/>
  <c r="X481"/>
  <c r="P481"/>
  <c r="O481"/>
  <c r="N481"/>
  <c r="M481"/>
  <c r="L481"/>
  <c r="K481"/>
  <c r="J481"/>
  <c r="I481"/>
  <c r="H481"/>
  <c r="G481"/>
  <c r="F481"/>
  <c r="E481"/>
  <c r="AK480"/>
  <c r="AK482" s="1"/>
  <c r="AJ480"/>
  <c r="AJ482" s="1"/>
  <c r="R480"/>
  <c r="R482" s="1"/>
  <c r="Q480"/>
  <c r="Q482" s="1"/>
  <c r="AK479"/>
  <c r="AJ479"/>
  <c r="V479"/>
  <c r="R479"/>
  <c r="Q479"/>
  <c r="AK478"/>
  <c r="AJ478"/>
  <c r="V478"/>
  <c r="R478"/>
  <c r="Q478"/>
  <c r="AI477"/>
  <c r="AH477"/>
  <c r="AG477"/>
  <c r="AF477"/>
  <c r="AE477"/>
  <c r="AD477"/>
  <c r="AC477"/>
  <c r="AB477"/>
  <c r="AA477"/>
  <c r="Z477"/>
  <c r="Y477"/>
  <c r="X477"/>
  <c r="P477"/>
  <c r="O477"/>
  <c r="N477"/>
  <c r="M477"/>
  <c r="L477"/>
  <c r="K477"/>
  <c r="J477"/>
  <c r="I477"/>
  <c r="H477"/>
  <c r="G477"/>
  <c r="F477"/>
  <c r="E477"/>
  <c r="AI476"/>
  <c r="AH476"/>
  <c r="AG476"/>
  <c r="AF476"/>
  <c r="AE476"/>
  <c r="AD476"/>
  <c r="AC476"/>
  <c r="AB476"/>
  <c r="AA476"/>
  <c r="Z476"/>
  <c r="Y476"/>
  <c r="X476"/>
  <c r="P476"/>
  <c r="O476"/>
  <c r="N476"/>
  <c r="M476"/>
  <c r="L476"/>
  <c r="K476"/>
  <c r="J476"/>
  <c r="I476"/>
  <c r="H476"/>
  <c r="G476"/>
  <c r="F476"/>
  <c r="E476"/>
  <c r="AK475"/>
  <c r="AK477" s="1"/>
  <c r="AJ475"/>
  <c r="AJ477" s="1"/>
  <c r="R475"/>
  <c r="R477" s="1"/>
  <c r="Q475"/>
  <c r="Q477" s="1"/>
  <c r="AK474"/>
  <c r="AJ474"/>
  <c r="V474"/>
  <c r="R474"/>
  <c r="Q474"/>
  <c r="AK473"/>
  <c r="AJ473"/>
  <c r="V473"/>
  <c r="R473"/>
  <c r="Q473"/>
  <c r="AI472"/>
  <c r="AH472"/>
  <c r="AG472"/>
  <c r="AF472"/>
  <c r="AE472"/>
  <c r="AD472"/>
  <c r="AC472"/>
  <c r="AB472"/>
  <c r="AA472"/>
  <c r="Z472"/>
  <c r="Y472"/>
  <c r="X472"/>
  <c r="P472"/>
  <c r="O472"/>
  <c r="N472"/>
  <c r="M472"/>
  <c r="L472"/>
  <c r="K472"/>
  <c r="J472"/>
  <c r="I472"/>
  <c r="H472"/>
  <c r="G472"/>
  <c r="F472"/>
  <c r="E472"/>
  <c r="AI471"/>
  <c r="AH471"/>
  <c r="AG471"/>
  <c r="AF471"/>
  <c r="AE471"/>
  <c r="AD471"/>
  <c r="AC471"/>
  <c r="AB471"/>
  <c r="AA471"/>
  <c r="Z471"/>
  <c r="Y471"/>
  <c r="X471"/>
  <c r="P471"/>
  <c r="O471"/>
  <c r="N471"/>
  <c r="M471"/>
  <c r="L471"/>
  <c r="K471"/>
  <c r="J471"/>
  <c r="I471"/>
  <c r="H471"/>
  <c r="G471"/>
  <c r="F471"/>
  <c r="E471"/>
  <c r="AK470"/>
  <c r="AK472" s="1"/>
  <c r="AJ470"/>
  <c r="AJ472" s="1"/>
  <c r="R470"/>
  <c r="R472" s="1"/>
  <c r="Q470"/>
  <c r="Q472" s="1"/>
  <c r="AK469"/>
  <c r="AJ469"/>
  <c r="V469"/>
  <c r="R469"/>
  <c r="Q469"/>
  <c r="AK468"/>
  <c r="AJ468"/>
  <c r="V468"/>
  <c r="R468"/>
  <c r="Q468"/>
  <c r="AI467"/>
  <c r="AH467"/>
  <c r="AG467"/>
  <c r="AF467"/>
  <c r="AE467"/>
  <c r="AD467"/>
  <c r="AC467"/>
  <c r="AB467"/>
  <c r="AA467"/>
  <c r="Z467"/>
  <c r="Y467"/>
  <c r="X467"/>
  <c r="P467"/>
  <c r="O467"/>
  <c r="N467"/>
  <c r="M467"/>
  <c r="L467"/>
  <c r="K467"/>
  <c r="J467"/>
  <c r="I467"/>
  <c r="H467"/>
  <c r="G467"/>
  <c r="F467"/>
  <c r="E467"/>
  <c r="AI466"/>
  <c r="AH466"/>
  <c r="AG466"/>
  <c r="AF466"/>
  <c r="AE466"/>
  <c r="AD466"/>
  <c r="AC466"/>
  <c r="AB466"/>
  <c r="AA466"/>
  <c r="Z466"/>
  <c r="Y466"/>
  <c r="X466"/>
  <c r="P466"/>
  <c r="O466"/>
  <c r="N466"/>
  <c r="M466"/>
  <c r="L466"/>
  <c r="K466"/>
  <c r="J466"/>
  <c r="I466"/>
  <c r="H466"/>
  <c r="G466"/>
  <c r="F466"/>
  <c r="E466"/>
  <c r="AK465"/>
  <c r="AK467" s="1"/>
  <c r="AJ465"/>
  <c r="AJ467" s="1"/>
  <c r="R465"/>
  <c r="R467" s="1"/>
  <c r="Q465"/>
  <c r="Q467" s="1"/>
  <c r="AK464"/>
  <c r="AJ464"/>
  <c r="V464"/>
  <c r="R464"/>
  <c r="Q464"/>
  <c r="AK463"/>
  <c r="AJ463"/>
  <c r="V463"/>
  <c r="R463"/>
  <c r="Q463"/>
  <c r="AI462"/>
  <c r="AH462"/>
  <c r="AG462"/>
  <c r="AF462"/>
  <c r="AE462"/>
  <c r="AD462"/>
  <c r="AC462"/>
  <c r="AB462"/>
  <c r="AA462"/>
  <c r="Z462"/>
  <c r="Y462"/>
  <c r="X462"/>
  <c r="P462"/>
  <c r="O462"/>
  <c r="N462"/>
  <c r="M462"/>
  <c r="L462"/>
  <c r="K462"/>
  <c r="J462"/>
  <c r="I462"/>
  <c r="H462"/>
  <c r="G462"/>
  <c r="F462"/>
  <c r="E462"/>
  <c r="AI461"/>
  <c r="AH461"/>
  <c r="AG461"/>
  <c r="AF461"/>
  <c r="AE461"/>
  <c r="AD461"/>
  <c r="AC461"/>
  <c r="AB461"/>
  <c r="AA461"/>
  <c r="Z461"/>
  <c r="Y461"/>
  <c r="X461"/>
  <c r="P461"/>
  <c r="O461"/>
  <c r="N461"/>
  <c r="M461"/>
  <c r="L461"/>
  <c r="K461"/>
  <c r="J461"/>
  <c r="I461"/>
  <c r="H461"/>
  <c r="G461"/>
  <c r="F461"/>
  <c r="E461"/>
  <c r="AK460"/>
  <c r="AK462" s="1"/>
  <c r="AJ460"/>
  <c r="AJ462" s="1"/>
  <c r="R460"/>
  <c r="R462" s="1"/>
  <c r="Q460"/>
  <c r="Q462" s="1"/>
  <c r="AK459"/>
  <c r="AJ459"/>
  <c r="V459"/>
  <c r="R459"/>
  <c r="Q459"/>
  <c r="AK458"/>
  <c r="AJ458"/>
  <c r="V458"/>
  <c r="R458"/>
  <c r="Q458"/>
  <c r="AI457"/>
  <c r="AH457"/>
  <c r="AG457"/>
  <c r="AF457"/>
  <c r="AE457"/>
  <c r="AD457"/>
  <c r="AC457"/>
  <c r="AB457"/>
  <c r="AA457"/>
  <c r="Z457"/>
  <c r="Y457"/>
  <c r="X457"/>
  <c r="P457"/>
  <c r="O457"/>
  <c r="N457"/>
  <c r="M457"/>
  <c r="L457"/>
  <c r="K457"/>
  <c r="J457"/>
  <c r="I457"/>
  <c r="H457"/>
  <c r="G457"/>
  <c r="F457"/>
  <c r="E457"/>
  <c r="AI456"/>
  <c r="AH456"/>
  <c r="AG456"/>
  <c r="AF456"/>
  <c r="AE456"/>
  <c r="AD456"/>
  <c r="AC456"/>
  <c r="AB456"/>
  <c r="AA456"/>
  <c r="Z456"/>
  <c r="Y456"/>
  <c r="X456"/>
  <c r="P456"/>
  <c r="O456"/>
  <c r="N456"/>
  <c r="M456"/>
  <c r="L456"/>
  <c r="K456"/>
  <c r="J456"/>
  <c r="I456"/>
  <c r="H456"/>
  <c r="G456"/>
  <c r="F456"/>
  <c r="E456"/>
  <c r="AK455"/>
  <c r="AK457" s="1"/>
  <c r="AJ455"/>
  <c r="AJ457" s="1"/>
  <c r="R455"/>
  <c r="R457" s="1"/>
  <c r="Q455"/>
  <c r="Q457" s="1"/>
  <c r="AK454"/>
  <c r="AJ454"/>
  <c r="V454"/>
  <c r="R454"/>
  <c r="Q454"/>
  <c r="AK453"/>
  <c r="AJ453"/>
  <c r="V453"/>
  <c r="R453"/>
  <c r="Q453"/>
  <c r="AI450"/>
  <c r="AI452" s="1"/>
  <c r="AH450"/>
  <c r="AH452" s="1"/>
  <c r="AG450"/>
  <c r="AG452" s="1"/>
  <c r="AF450"/>
  <c r="AF452" s="1"/>
  <c r="AE450"/>
  <c r="AE452" s="1"/>
  <c r="AD450"/>
  <c r="AD452" s="1"/>
  <c r="AC450"/>
  <c r="AC452" s="1"/>
  <c r="AB450"/>
  <c r="AB452" s="1"/>
  <c r="AA450"/>
  <c r="AA452" s="1"/>
  <c r="Z450"/>
  <c r="Z452" s="1"/>
  <c r="Y450"/>
  <c r="Y452" s="1"/>
  <c r="X450"/>
  <c r="AK450" s="1"/>
  <c r="P450"/>
  <c r="P452" s="1"/>
  <c r="O450"/>
  <c r="O452" s="1"/>
  <c r="N450"/>
  <c r="N452" s="1"/>
  <c r="M450"/>
  <c r="M452" s="1"/>
  <c r="L450"/>
  <c r="L452" s="1"/>
  <c r="K450"/>
  <c r="K452" s="1"/>
  <c r="J450"/>
  <c r="J452" s="1"/>
  <c r="I450"/>
  <c r="I452" s="1"/>
  <c r="H450"/>
  <c r="H452" s="1"/>
  <c r="G450"/>
  <c r="G452" s="1"/>
  <c r="F450"/>
  <c r="F452" s="1"/>
  <c r="E450"/>
  <c r="E452" s="1"/>
  <c r="AI449"/>
  <c r="AH449"/>
  <c r="AG449"/>
  <c r="AF449"/>
  <c r="AE449"/>
  <c r="AD449"/>
  <c r="AC449"/>
  <c r="AB449"/>
  <c r="AA449"/>
  <c r="Z449"/>
  <c r="Y449"/>
  <c r="X449"/>
  <c r="AK449" s="1"/>
  <c r="P449"/>
  <c r="O449"/>
  <c r="N449"/>
  <c r="M449"/>
  <c r="L449"/>
  <c r="K449"/>
  <c r="J449"/>
  <c r="I449"/>
  <c r="H449"/>
  <c r="G449"/>
  <c r="F449"/>
  <c r="E449"/>
  <c r="Q449" s="1"/>
  <c r="AI448"/>
  <c r="AH448"/>
  <c r="AG448"/>
  <c r="AF448"/>
  <c r="AE448"/>
  <c r="AD448"/>
  <c r="AC448"/>
  <c r="AB448"/>
  <c r="AA448"/>
  <c r="Z448"/>
  <c r="Y448"/>
  <c r="X448"/>
  <c r="AK448" s="1"/>
  <c r="P448"/>
  <c r="O448"/>
  <c r="N448"/>
  <c r="M448"/>
  <c r="L448"/>
  <c r="K448"/>
  <c r="J448"/>
  <c r="I448"/>
  <c r="H448"/>
  <c r="G448"/>
  <c r="F448"/>
  <c r="E448"/>
  <c r="Q448" s="1"/>
  <c r="AI447"/>
  <c r="AH447"/>
  <c r="AG447"/>
  <c r="AF447"/>
  <c r="AE447"/>
  <c r="AD447"/>
  <c r="AC447"/>
  <c r="AB447"/>
  <c r="AA447"/>
  <c r="Z447"/>
  <c r="Y447"/>
  <c r="X447"/>
  <c r="P447"/>
  <c r="O447"/>
  <c r="N447"/>
  <c r="M447"/>
  <c r="L447"/>
  <c r="K447"/>
  <c r="J447"/>
  <c r="I447"/>
  <c r="H447"/>
  <c r="G447"/>
  <c r="F447"/>
  <c r="E447"/>
  <c r="AI446"/>
  <c r="AH446"/>
  <c r="AG446"/>
  <c r="AF446"/>
  <c r="AE446"/>
  <c r="AD446"/>
  <c r="AC446"/>
  <c r="AB446"/>
  <c r="AA446"/>
  <c r="Z446"/>
  <c r="Y446"/>
  <c r="X446"/>
  <c r="P446"/>
  <c r="O446"/>
  <c r="N446"/>
  <c r="M446"/>
  <c r="L446"/>
  <c r="K446"/>
  <c r="J446"/>
  <c r="I446"/>
  <c r="H446"/>
  <c r="G446"/>
  <c r="F446"/>
  <c r="E446"/>
  <c r="AK445"/>
  <c r="AK447" s="1"/>
  <c r="AJ445"/>
  <c r="AJ447" s="1"/>
  <c r="R445"/>
  <c r="R447" s="1"/>
  <c r="Q445"/>
  <c r="Q447" s="1"/>
  <c r="AK444"/>
  <c r="AJ444"/>
  <c r="V444"/>
  <c r="R444"/>
  <c r="Q444"/>
  <c r="AK443"/>
  <c r="AJ443"/>
  <c r="V443"/>
  <c r="R443"/>
  <c r="Q443"/>
  <c r="AI442"/>
  <c r="AH442"/>
  <c r="AG442"/>
  <c r="AF442"/>
  <c r="AE442"/>
  <c r="AD442"/>
  <c r="AC442"/>
  <c r="AB442"/>
  <c r="AA442"/>
  <c r="Z442"/>
  <c r="Y442"/>
  <c r="X442"/>
  <c r="P442"/>
  <c r="O442"/>
  <c r="N442"/>
  <c r="M442"/>
  <c r="L442"/>
  <c r="K442"/>
  <c r="J442"/>
  <c r="I442"/>
  <c r="H442"/>
  <c r="G442"/>
  <c r="F442"/>
  <c r="E442"/>
  <c r="AI441"/>
  <c r="AH441"/>
  <c r="AG441"/>
  <c r="AF441"/>
  <c r="AE441"/>
  <c r="AD441"/>
  <c r="AC441"/>
  <c r="AB441"/>
  <c r="AA441"/>
  <c r="Z441"/>
  <c r="Y441"/>
  <c r="X441"/>
  <c r="P441"/>
  <c r="O441"/>
  <c r="N441"/>
  <c r="M441"/>
  <c r="L441"/>
  <c r="K441"/>
  <c r="J441"/>
  <c r="I441"/>
  <c r="H441"/>
  <c r="G441"/>
  <c r="F441"/>
  <c r="E441"/>
  <c r="AK440"/>
  <c r="AK442" s="1"/>
  <c r="AJ440"/>
  <c r="AJ442" s="1"/>
  <c r="R440"/>
  <c r="R442" s="1"/>
  <c r="Q440"/>
  <c r="Q442" s="1"/>
  <c r="AK439"/>
  <c r="AJ439"/>
  <c r="V439"/>
  <c r="R439"/>
  <c r="Q439"/>
  <c r="AK438"/>
  <c r="AJ438"/>
  <c r="V438"/>
  <c r="R438"/>
  <c r="Q438"/>
  <c r="AI437"/>
  <c r="AH437"/>
  <c r="AG437"/>
  <c r="AF437"/>
  <c r="AE437"/>
  <c r="AD437"/>
  <c r="AC437"/>
  <c r="AB437"/>
  <c r="AA437"/>
  <c r="Z437"/>
  <c r="Y437"/>
  <c r="X437"/>
  <c r="P437"/>
  <c r="O437"/>
  <c r="N437"/>
  <c r="M437"/>
  <c r="L437"/>
  <c r="K437"/>
  <c r="J437"/>
  <c r="I437"/>
  <c r="H437"/>
  <c r="G437"/>
  <c r="F437"/>
  <c r="E437"/>
  <c r="AI436"/>
  <c r="AH436"/>
  <c r="AG436"/>
  <c r="AF436"/>
  <c r="AE436"/>
  <c r="AD436"/>
  <c r="AC436"/>
  <c r="AB436"/>
  <c r="AA436"/>
  <c r="Z436"/>
  <c r="Y436"/>
  <c r="X436"/>
  <c r="P436"/>
  <c r="O436"/>
  <c r="N436"/>
  <c r="M436"/>
  <c r="L436"/>
  <c r="K436"/>
  <c r="J436"/>
  <c r="I436"/>
  <c r="H436"/>
  <c r="G436"/>
  <c r="F436"/>
  <c r="E436"/>
  <c r="AK435"/>
  <c r="AK437" s="1"/>
  <c r="AJ435"/>
  <c r="AJ437" s="1"/>
  <c r="R435"/>
  <c r="R437" s="1"/>
  <c r="Q435"/>
  <c r="Q437" s="1"/>
  <c r="AK434"/>
  <c r="AJ434"/>
  <c r="V434"/>
  <c r="R434"/>
  <c r="Q434"/>
  <c r="AK433"/>
  <c r="AJ433"/>
  <c r="V433"/>
  <c r="R433"/>
  <c r="Q433"/>
  <c r="AI432"/>
  <c r="AH432"/>
  <c r="AG432"/>
  <c r="AF432"/>
  <c r="AE432"/>
  <c r="AD432"/>
  <c r="AC432"/>
  <c r="AB432"/>
  <c r="AA432"/>
  <c r="Z432"/>
  <c r="Y432"/>
  <c r="X432"/>
  <c r="P432"/>
  <c r="O432"/>
  <c r="N432"/>
  <c r="M432"/>
  <c r="L432"/>
  <c r="K432"/>
  <c r="J432"/>
  <c r="I432"/>
  <c r="H432"/>
  <c r="G432"/>
  <c r="F432"/>
  <c r="E432"/>
  <c r="AI431"/>
  <c r="AH431"/>
  <c r="AG431"/>
  <c r="AF431"/>
  <c r="AE431"/>
  <c r="AD431"/>
  <c r="AC431"/>
  <c r="AB431"/>
  <c r="AA431"/>
  <c r="Z431"/>
  <c r="Y431"/>
  <c r="X431"/>
  <c r="P431"/>
  <c r="O431"/>
  <c r="N431"/>
  <c r="M431"/>
  <c r="L431"/>
  <c r="K431"/>
  <c r="J431"/>
  <c r="I431"/>
  <c r="H431"/>
  <c r="G431"/>
  <c r="F431"/>
  <c r="E431"/>
  <c r="AK430"/>
  <c r="AK432" s="1"/>
  <c r="AJ430"/>
  <c r="AJ432" s="1"/>
  <c r="R430"/>
  <c r="R432" s="1"/>
  <c r="Q430"/>
  <c r="Q432" s="1"/>
  <c r="AK429"/>
  <c r="AJ429"/>
  <c r="V429"/>
  <c r="R429"/>
  <c r="Q429"/>
  <c r="AK428"/>
  <c r="AJ428"/>
  <c r="V428"/>
  <c r="R428"/>
  <c r="Q428"/>
  <c r="AI427"/>
  <c r="AH427"/>
  <c r="AG427"/>
  <c r="AF427"/>
  <c r="AE427"/>
  <c r="AD427"/>
  <c r="AC427"/>
  <c r="AB427"/>
  <c r="AA427"/>
  <c r="Z427"/>
  <c r="Y427"/>
  <c r="X427"/>
  <c r="P427"/>
  <c r="O427"/>
  <c r="N427"/>
  <c r="M427"/>
  <c r="L427"/>
  <c r="K427"/>
  <c r="J427"/>
  <c r="I427"/>
  <c r="H427"/>
  <c r="G427"/>
  <c r="F427"/>
  <c r="E427"/>
  <c r="AI426"/>
  <c r="AH426"/>
  <c r="AG426"/>
  <c r="AF426"/>
  <c r="AE426"/>
  <c r="AD426"/>
  <c r="AC426"/>
  <c r="AB426"/>
  <c r="AA426"/>
  <c r="Z426"/>
  <c r="Y426"/>
  <c r="X426"/>
  <c r="P426"/>
  <c r="O426"/>
  <c r="N426"/>
  <c r="M426"/>
  <c r="L426"/>
  <c r="K426"/>
  <c r="J426"/>
  <c r="I426"/>
  <c r="H426"/>
  <c r="G426"/>
  <c r="F426"/>
  <c r="E426"/>
  <c r="AK425"/>
  <c r="AK427" s="1"/>
  <c r="AJ425"/>
  <c r="AJ427" s="1"/>
  <c r="R425"/>
  <c r="R427" s="1"/>
  <c r="Q425"/>
  <c r="Q427" s="1"/>
  <c r="AK424"/>
  <c r="AJ424"/>
  <c r="V424"/>
  <c r="R424"/>
  <c r="Q424"/>
  <c r="AK423"/>
  <c r="AJ423"/>
  <c r="V423"/>
  <c r="R423"/>
  <c r="Q423"/>
  <c r="AI422"/>
  <c r="AH422"/>
  <c r="AG422"/>
  <c r="AF422"/>
  <c r="AE422"/>
  <c r="AD422"/>
  <c r="AC422"/>
  <c r="AB422"/>
  <c r="AA422"/>
  <c r="Z422"/>
  <c r="Y422"/>
  <c r="X422"/>
  <c r="P422"/>
  <c r="O422"/>
  <c r="N422"/>
  <c r="M422"/>
  <c r="L422"/>
  <c r="K422"/>
  <c r="J422"/>
  <c r="I422"/>
  <c r="H422"/>
  <c r="G422"/>
  <c r="F422"/>
  <c r="E422"/>
  <c r="AI421"/>
  <c r="AH421"/>
  <c r="AG421"/>
  <c r="AF421"/>
  <c r="AE421"/>
  <c r="AD421"/>
  <c r="AC421"/>
  <c r="AB421"/>
  <c r="AA421"/>
  <c r="Z421"/>
  <c r="Y421"/>
  <c r="X421"/>
  <c r="P421"/>
  <c r="O421"/>
  <c r="N421"/>
  <c r="M421"/>
  <c r="L421"/>
  <c r="K421"/>
  <c r="J421"/>
  <c r="I421"/>
  <c r="H421"/>
  <c r="G421"/>
  <c r="F421"/>
  <c r="E421"/>
  <c r="AK420"/>
  <c r="AK422" s="1"/>
  <c r="AJ420"/>
  <c r="AJ422" s="1"/>
  <c r="R420"/>
  <c r="R422" s="1"/>
  <c r="Q420"/>
  <c r="Q422" s="1"/>
  <c r="AK419"/>
  <c r="AJ419"/>
  <c r="V419"/>
  <c r="R419"/>
  <c r="Q419"/>
  <c r="AK418"/>
  <c r="AJ418"/>
  <c r="V418"/>
  <c r="R418"/>
  <c r="Q418"/>
  <c r="AI417"/>
  <c r="AH417"/>
  <c r="AG417"/>
  <c r="AF417"/>
  <c r="AE417"/>
  <c r="AD417"/>
  <c r="AC417"/>
  <c r="AB417"/>
  <c r="AA417"/>
  <c r="Z417"/>
  <c r="Y417"/>
  <c r="X417"/>
  <c r="P417"/>
  <c r="O417"/>
  <c r="N417"/>
  <c r="M417"/>
  <c r="L417"/>
  <c r="K417"/>
  <c r="J417"/>
  <c r="I417"/>
  <c r="H417"/>
  <c r="G417"/>
  <c r="F417"/>
  <c r="E417"/>
  <c r="AI416"/>
  <c r="AH416"/>
  <c r="AG416"/>
  <c r="AF416"/>
  <c r="AE416"/>
  <c r="AD416"/>
  <c r="AC416"/>
  <c r="AB416"/>
  <c r="AA416"/>
  <c r="Z416"/>
  <c r="Y416"/>
  <c r="X416"/>
  <c r="P416"/>
  <c r="O416"/>
  <c r="N416"/>
  <c r="M416"/>
  <c r="L416"/>
  <c r="K416"/>
  <c r="J416"/>
  <c r="I416"/>
  <c r="H416"/>
  <c r="G416"/>
  <c r="F416"/>
  <c r="E416"/>
  <c r="AK415"/>
  <c r="AK417" s="1"/>
  <c r="AJ415"/>
  <c r="AJ417" s="1"/>
  <c r="R415"/>
  <c r="R417" s="1"/>
  <c r="Q415"/>
  <c r="Q417" s="1"/>
  <c r="AK414"/>
  <c r="AJ414"/>
  <c r="V414"/>
  <c r="R414"/>
  <c r="Q414"/>
  <c r="AK413"/>
  <c r="AJ413"/>
  <c r="V413"/>
  <c r="R413"/>
  <c r="Q413"/>
  <c r="AI412"/>
  <c r="AH412"/>
  <c r="AG412"/>
  <c r="AF412"/>
  <c r="AE412"/>
  <c r="AD412"/>
  <c r="AC412"/>
  <c r="AB412"/>
  <c r="AA412"/>
  <c r="Z412"/>
  <c r="Y412"/>
  <c r="X412"/>
  <c r="P412"/>
  <c r="O412"/>
  <c r="N412"/>
  <c r="M412"/>
  <c r="L412"/>
  <c r="K412"/>
  <c r="J412"/>
  <c r="I412"/>
  <c r="H412"/>
  <c r="G412"/>
  <c r="F412"/>
  <c r="E412"/>
  <c r="AI411"/>
  <c r="AH411"/>
  <c r="AG411"/>
  <c r="AF411"/>
  <c r="AE411"/>
  <c r="AD411"/>
  <c r="AC411"/>
  <c r="AB411"/>
  <c r="AA411"/>
  <c r="Z411"/>
  <c r="Y411"/>
  <c r="X411"/>
  <c r="P411"/>
  <c r="O411"/>
  <c r="N411"/>
  <c r="M411"/>
  <c r="L411"/>
  <c r="K411"/>
  <c r="J411"/>
  <c r="I411"/>
  <c r="H411"/>
  <c r="G411"/>
  <c r="F411"/>
  <c r="E411"/>
  <c r="AK410"/>
  <c r="AK412" s="1"/>
  <c r="AJ410"/>
  <c r="AJ412" s="1"/>
  <c r="R410"/>
  <c r="R412" s="1"/>
  <c r="Q410"/>
  <c r="Q412" s="1"/>
  <c r="AK409"/>
  <c r="AJ409"/>
  <c r="V409"/>
  <c r="R409"/>
  <c r="Q409"/>
  <c r="AK408"/>
  <c r="AJ408"/>
  <c r="V408"/>
  <c r="R408"/>
  <c r="Q408"/>
  <c r="AI407"/>
  <c r="AH407"/>
  <c r="AG407"/>
  <c r="AF407"/>
  <c r="AE407"/>
  <c r="AD407"/>
  <c r="AC407"/>
  <c r="AB407"/>
  <c r="AA407"/>
  <c r="Z407"/>
  <c r="Y407"/>
  <c r="X407"/>
  <c r="P407"/>
  <c r="O407"/>
  <c r="N407"/>
  <c r="M407"/>
  <c r="L407"/>
  <c r="K407"/>
  <c r="J407"/>
  <c r="I407"/>
  <c r="H407"/>
  <c r="G407"/>
  <c r="F407"/>
  <c r="E407"/>
  <c r="AI406"/>
  <c r="AH406"/>
  <c r="AG406"/>
  <c r="AF406"/>
  <c r="AE406"/>
  <c r="AD406"/>
  <c r="AC406"/>
  <c r="AB406"/>
  <c r="AA406"/>
  <c r="Z406"/>
  <c r="Y406"/>
  <c r="X406"/>
  <c r="P406"/>
  <c r="O406"/>
  <c r="N406"/>
  <c r="M406"/>
  <c r="L406"/>
  <c r="K406"/>
  <c r="J406"/>
  <c r="I406"/>
  <c r="H406"/>
  <c r="G406"/>
  <c r="F406"/>
  <c r="E406"/>
  <c r="AK405"/>
  <c r="AK407" s="1"/>
  <c r="AJ405"/>
  <c r="AJ407" s="1"/>
  <c r="R405"/>
  <c r="R407" s="1"/>
  <c r="Q405"/>
  <c r="Q407" s="1"/>
  <c r="AK404"/>
  <c r="AJ404"/>
  <c r="V404"/>
  <c r="R404"/>
  <c r="Q404"/>
  <c r="AK403"/>
  <c r="AJ403"/>
  <c r="V403"/>
  <c r="R403"/>
  <c r="Q403"/>
  <c r="AI402"/>
  <c r="AH402"/>
  <c r="AG402"/>
  <c r="AF402"/>
  <c r="AE402"/>
  <c r="AD402"/>
  <c r="AC402"/>
  <c r="AB402"/>
  <c r="AA402"/>
  <c r="Z402"/>
  <c r="Y402"/>
  <c r="X402"/>
  <c r="P402"/>
  <c r="O402"/>
  <c r="N402"/>
  <c r="M402"/>
  <c r="L402"/>
  <c r="K402"/>
  <c r="J402"/>
  <c r="I402"/>
  <c r="H402"/>
  <c r="G402"/>
  <c r="F402"/>
  <c r="E402"/>
  <c r="AI401"/>
  <c r="AH401"/>
  <c r="AG401"/>
  <c r="AF401"/>
  <c r="AE401"/>
  <c r="AD401"/>
  <c r="AC401"/>
  <c r="AB401"/>
  <c r="AA401"/>
  <c r="Z401"/>
  <c r="Y401"/>
  <c r="X401"/>
  <c r="P401"/>
  <c r="O401"/>
  <c r="N401"/>
  <c r="M401"/>
  <c r="L401"/>
  <c r="K401"/>
  <c r="J401"/>
  <c r="I401"/>
  <c r="H401"/>
  <c r="G401"/>
  <c r="F401"/>
  <c r="E401"/>
  <c r="AK400"/>
  <c r="AK402" s="1"/>
  <c r="AJ400"/>
  <c r="AJ402" s="1"/>
  <c r="R400"/>
  <c r="R402" s="1"/>
  <c r="Q400"/>
  <c r="Q402" s="1"/>
  <c r="AK399"/>
  <c r="AJ399"/>
  <c r="V399"/>
  <c r="R399"/>
  <c r="Q399"/>
  <c r="AK398"/>
  <c r="AJ398"/>
  <c r="V398"/>
  <c r="R398"/>
  <c r="Q398"/>
  <c r="AI397"/>
  <c r="AH397"/>
  <c r="AG397"/>
  <c r="AF397"/>
  <c r="AE397"/>
  <c r="AD397"/>
  <c r="AC397"/>
  <c r="AB397"/>
  <c r="AA397"/>
  <c r="Z397"/>
  <c r="Y397"/>
  <c r="X397"/>
  <c r="P397"/>
  <c r="O397"/>
  <c r="N397"/>
  <c r="M397"/>
  <c r="L397"/>
  <c r="K397"/>
  <c r="J397"/>
  <c r="I397"/>
  <c r="H397"/>
  <c r="G397"/>
  <c r="F397"/>
  <c r="E397"/>
  <c r="AI396"/>
  <c r="AH396"/>
  <c r="AG396"/>
  <c r="AF396"/>
  <c r="AE396"/>
  <c r="AD396"/>
  <c r="AC396"/>
  <c r="AB396"/>
  <c r="AA396"/>
  <c r="Z396"/>
  <c r="Y396"/>
  <c r="X396"/>
  <c r="P396"/>
  <c r="O396"/>
  <c r="N396"/>
  <c r="M396"/>
  <c r="L396"/>
  <c r="K396"/>
  <c r="J396"/>
  <c r="I396"/>
  <c r="H396"/>
  <c r="G396"/>
  <c r="F396"/>
  <c r="E396"/>
  <c r="AK395"/>
  <c r="AK397" s="1"/>
  <c r="AJ395"/>
  <c r="AJ397" s="1"/>
  <c r="R395"/>
  <c r="R397" s="1"/>
  <c r="Q395"/>
  <c r="Q397" s="1"/>
  <c r="AK394"/>
  <c r="AJ394"/>
  <c r="V394"/>
  <c r="R394"/>
  <c r="Q394"/>
  <c r="AK393"/>
  <c r="AJ393"/>
  <c r="V393"/>
  <c r="R393"/>
  <c r="Q393"/>
  <c r="AI392"/>
  <c r="AH392"/>
  <c r="AG392"/>
  <c r="AF392"/>
  <c r="AE392"/>
  <c r="AD392"/>
  <c r="AC392"/>
  <c r="AB392"/>
  <c r="AA392"/>
  <c r="Z392"/>
  <c r="Y392"/>
  <c r="X392"/>
  <c r="P392"/>
  <c r="O392"/>
  <c r="N392"/>
  <c r="M392"/>
  <c r="L392"/>
  <c r="K392"/>
  <c r="J392"/>
  <c r="I392"/>
  <c r="H392"/>
  <c r="G392"/>
  <c r="F392"/>
  <c r="E392"/>
  <c r="AI391"/>
  <c r="AH391"/>
  <c r="AG391"/>
  <c r="AF391"/>
  <c r="AE391"/>
  <c r="AD391"/>
  <c r="AC391"/>
  <c r="AB391"/>
  <c r="AA391"/>
  <c r="Z391"/>
  <c r="Y391"/>
  <c r="X391"/>
  <c r="P391"/>
  <c r="O391"/>
  <c r="N391"/>
  <c r="M391"/>
  <c r="L391"/>
  <c r="K391"/>
  <c r="J391"/>
  <c r="I391"/>
  <c r="H391"/>
  <c r="G391"/>
  <c r="F391"/>
  <c r="E391"/>
  <c r="AK390"/>
  <c r="AK392" s="1"/>
  <c r="AJ390"/>
  <c r="AJ392" s="1"/>
  <c r="R390"/>
  <c r="R392" s="1"/>
  <c r="Q390"/>
  <c r="Q392" s="1"/>
  <c r="AK389"/>
  <c r="AJ389"/>
  <c r="V389"/>
  <c r="R389"/>
  <c r="Q389"/>
  <c r="AK388"/>
  <c r="AJ388"/>
  <c r="V388"/>
  <c r="R388"/>
  <c r="Q388"/>
  <c r="AI387"/>
  <c r="AH387"/>
  <c r="AG387"/>
  <c r="AF387"/>
  <c r="AE387"/>
  <c r="AD387"/>
  <c r="AC387"/>
  <c r="AB387"/>
  <c r="AA387"/>
  <c r="Z387"/>
  <c r="Y387"/>
  <c r="X387"/>
  <c r="P387"/>
  <c r="O387"/>
  <c r="N387"/>
  <c r="M387"/>
  <c r="L387"/>
  <c r="K387"/>
  <c r="J387"/>
  <c r="I387"/>
  <c r="H387"/>
  <c r="G387"/>
  <c r="F387"/>
  <c r="E387"/>
  <c r="AI386"/>
  <c r="AH386"/>
  <c r="AG386"/>
  <c r="AF386"/>
  <c r="AE386"/>
  <c r="AD386"/>
  <c r="AC386"/>
  <c r="AB386"/>
  <c r="AA386"/>
  <c r="Z386"/>
  <c r="Y386"/>
  <c r="X386"/>
  <c r="P386"/>
  <c r="O386"/>
  <c r="N386"/>
  <c r="M386"/>
  <c r="L386"/>
  <c r="K386"/>
  <c r="J386"/>
  <c r="I386"/>
  <c r="H386"/>
  <c r="G386"/>
  <c r="F386"/>
  <c r="E386"/>
  <c r="AK385"/>
  <c r="AK387" s="1"/>
  <c r="AJ385"/>
  <c r="AJ387" s="1"/>
  <c r="R385"/>
  <c r="R387" s="1"/>
  <c r="Q385"/>
  <c r="Q387" s="1"/>
  <c r="AK384"/>
  <c r="AJ384"/>
  <c r="V384"/>
  <c r="R384"/>
  <c r="Q384"/>
  <c r="AK383"/>
  <c r="AJ383"/>
  <c r="V383"/>
  <c r="R383"/>
  <c r="Q383"/>
  <c r="AI382"/>
  <c r="AH382"/>
  <c r="AG382"/>
  <c r="AF382"/>
  <c r="AE382"/>
  <c r="AD382"/>
  <c r="AC382"/>
  <c r="AB382"/>
  <c r="AA382"/>
  <c r="Z382"/>
  <c r="Y382"/>
  <c r="X382"/>
  <c r="P382"/>
  <c r="O382"/>
  <c r="N382"/>
  <c r="M382"/>
  <c r="L382"/>
  <c r="K382"/>
  <c r="J382"/>
  <c r="I382"/>
  <c r="H382"/>
  <c r="G382"/>
  <c r="F382"/>
  <c r="E382"/>
  <c r="AI381"/>
  <c r="AH381"/>
  <c r="AG381"/>
  <c r="AF381"/>
  <c r="AE381"/>
  <c r="AD381"/>
  <c r="AC381"/>
  <c r="AB381"/>
  <c r="AA381"/>
  <c r="Z381"/>
  <c r="Y381"/>
  <c r="X381"/>
  <c r="P381"/>
  <c r="O381"/>
  <c r="N381"/>
  <c r="M381"/>
  <c r="L381"/>
  <c r="K381"/>
  <c r="J381"/>
  <c r="I381"/>
  <c r="H381"/>
  <c r="G381"/>
  <c r="F381"/>
  <c r="E381"/>
  <c r="AK380"/>
  <c r="AK382" s="1"/>
  <c r="AJ380"/>
  <c r="AJ382" s="1"/>
  <c r="R380"/>
  <c r="R382" s="1"/>
  <c r="Q380"/>
  <c r="Q382" s="1"/>
  <c r="AK379"/>
  <c r="AJ379"/>
  <c r="V379"/>
  <c r="R379"/>
  <c r="Q379"/>
  <c r="AK378"/>
  <c r="AJ378"/>
  <c r="V378"/>
  <c r="R378"/>
  <c r="Q378"/>
  <c r="AI375"/>
  <c r="AI377" s="1"/>
  <c r="AH375"/>
  <c r="AH377" s="1"/>
  <c r="AG375"/>
  <c r="AG377" s="1"/>
  <c r="AF375"/>
  <c r="AF377" s="1"/>
  <c r="AE375"/>
  <c r="AE377" s="1"/>
  <c r="AD375"/>
  <c r="AD377" s="1"/>
  <c r="AC375"/>
  <c r="AC377" s="1"/>
  <c r="AB375"/>
  <c r="AB377" s="1"/>
  <c r="AA375"/>
  <c r="AA377" s="1"/>
  <c r="Z375"/>
  <c r="Z377" s="1"/>
  <c r="Y375"/>
  <c r="Y377" s="1"/>
  <c r="X375"/>
  <c r="AK375" s="1"/>
  <c r="P375"/>
  <c r="P377" s="1"/>
  <c r="O375"/>
  <c r="O377" s="1"/>
  <c r="N375"/>
  <c r="N377" s="1"/>
  <c r="M375"/>
  <c r="M377" s="1"/>
  <c r="L375"/>
  <c r="L377" s="1"/>
  <c r="K375"/>
  <c r="K377" s="1"/>
  <c r="J375"/>
  <c r="J377" s="1"/>
  <c r="I375"/>
  <c r="I377" s="1"/>
  <c r="H375"/>
  <c r="H377" s="1"/>
  <c r="G375"/>
  <c r="G377" s="1"/>
  <c r="F375"/>
  <c r="F377" s="1"/>
  <c r="E375"/>
  <c r="E377" s="1"/>
  <c r="AI374"/>
  <c r="AH374"/>
  <c r="AG374"/>
  <c r="AF374"/>
  <c r="AE374"/>
  <c r="AD374"/>
  <c r="AC374"/>
  <c r="AB374"/>
  <c r="AA374"/>
  <c r="Z374"/>
  <c r="Y374"/>
  <c r="X374"/>
  <c r="AK374" s="1"/>
  <c r="P374"/>
  <c r="O374"/>
  <c r="N374"/>
  <c r="M374"/>
  <c r="L374"/>
  <c r="K374"/>
  <c r="J374"/>
  <c r="I374"/>
  <c r="H374"/>
  <c r="G374"/>
  <c r="F374"/>
  <c r="E374"/>
  <c r="Q374" s="1"/>
  <c r="AI373"/>
  <c r="AH373"/>
  <c r="AG373"/>
  <c r="AF373"/>
  <c r="AE373"/>
  <c r="AD373"/>
  <c r="AC373"/>
  <c r="AB373"/>
  <c r="AA373"/>
  <c r="Z373"/>
  <c r="Y373"/>
  <c r="X373"/>
  <c r="AK373" s="1"/>
  <c r="P373"/>
  <c r="O373"/>
  <c r="N373"/>
  <c r="M373"/>
  <c r="L373"/>
  <c r="K373"/>
  <c r="J373"/>
  <c r="I373"/>
  <c r="H373"/>
  <c r="G373"/>
  <c r="F373"/>
  <c r="E373"/>
  <c r="Q373" s="1"/>
  <c r="AI372"/>
  <c r="AH372"/>
  <c r="AG372"/>
  <c r="AF372"/>
  <c r="AE372"/>
  <c r="AD372"/>
  <c r="AC372"/>
  <c r="AB372"/>
  <c r="AA372"/>
  <c r="Z372"/>
  <c r="Y372"/>
  <c r="X372"/>
  <c r="P372"/>
  <c r="O372"/>
  <c r="N372"/>
  <c r="M372"/>
  <c r="L372"/>
  <c r="K372"/>
  <c r="J372"/>
  <c r="I372"/>
  <c r="H372"/>
  <c r="G372"/>
  <c r="F372"/>
  <c r="E372"/>
  <c r="AI371"/>
  <c r="AH371"/>
  <c r="AG371"/>
  <c r="AF371"/>
  <c r="AE371"/>
  <c r="AD371"/>
  <c r="AC371"/>
  <c r="AB371"/>
  <c r="AA371"/>
  <c r="Z371"/>
  <c r="Y371"/>
  <c r="X371"/>
  <c r="P371"/>
  <c r="O371"/>
  <c r="N371"/>
  <c r="M371"/>
  <c r="L371"/>
  <c r="K371"/>
  <c r="J371"/>
  <c r="I371"/>
  <c r="H371"/>
  <c r="G371"/>
  <c r="F371"/>
  <c r="E371"/>
  <c r="AK370"/>
  <c r="AK372" s="1"/>
  <c r="AJ370"/>
  <c r="AJ372" s="1"/>
  <c r="R370"/>
  <c r="R372" s="1"/>
  <c r="Q370"/>
  <c r="Q372" s="1"/>
  <c r="AK369"/>
  <c r="AJ369"/>
  <c r="V369"/>
  <c r="R369"/>
  <c r="Q369"/>
  <c r="AK368"/>
  <c r="AJ368"/>
  <c r="V368"/>
  <c r="R368"/>
  <c r="Q368"/>
  <c r="AI367"/>
  <c r="AH367"/>
  <c r="AG367"/>
  <c r="AF367"/>
  <c r="AE367"/>
  <c r="AD367"/>
  <c r="AC367"/>
  <c r="AB367"/>
  <c r="AA367"/>
  <c r="Z367"/>
  <c r="Y367"/>
  <c r="X367"/>
  <c r="P367"/>
  <c r="O367"/>
  <c r="N367"/>
  <c r="M367"/>
  <c r="L367"/>
  <c r="K367"/>
  <c r="J367"/>
  <c r="I367"/>
  <c r="H367"/>
  <c r="G367"/>
  <c r="F367"/>
  <c r="E367"/>
  <c r="AI366"/>
  <c r="AH366"/>
  <c r="AG366"/>
  <c r="AF366"/>
  <c r="AE366"/>
  <c r="AD366"/>
  <c r="AC366"/>
  <c r="AB366"/>
  <c r="AA366"/>
  <c r="Z366"/>
  <c r="Y366"/>
  <c r="X366"/>
  <c r="P366"/>
  <c r="O366"/>
  <c r="N366"/>
  <c r="M366"/>
  <c r="L366"/>
  <c r="K366"/>
  <c r="J366"/>
  <c r="I366"/>
  <c r="H366"/>
  <c r="G366"/>
  <c r="F366"/>
  <c r="E366"/>
  <c r="AK365"/>
  <c r="AK367" s="1"/>
  <c r="AJ365"/>
  <c r="AJ367" s="1"/>
  <c r="R365"/>
  <c r="R367" s="1"/>
  <c r="Q365"/>
  <c r="Q367" s="1"/>
  <c r="AK364"/>
  <c r="AJ364"/>
  <c r="V364"/>
  <c r="R364"/>
  <c r="Q364"/>
  <c r="AK363"/>
  <c r="AJ363"/>
  <c r="V363"/>
  <c r="R363"/>
  <c r="Q363"/>
  <c r="AI362"/>
  <c r="AH362"/>
  <c r="AG362"/>
  <c r="AF362"/>
  <c r="AE362"/>
  <c r="AD362"/>
  <c r="AC362"/>
  <c r="AB362"/>
  <c r="AA362"/>
  <c r="Z362"/>
  <c r="Y362"/>
  <c r="X362"/>
  <c r="P362"/>
  <c r="O362"/>
  <c r="N362"/>
  <c r="M362"/>
  <c r="L362"/>
  <c r="K362"/>
  <c r="J362"/>
  <c r="I362"/>
  <c r="H362"/>
  <c r="G362"/>
  <c r="F362"/>
  <c r="E362"/>
  <c r="AI361"/>
  <c r="AH361"/>
  <c r="AG361"/>
  <c r="AF361"/>
  <c r="AE361"/>
  <c r="AD361"/>
  <c r="AC361"/>
  <c r="AB361"/>
  <c r="AA361"/>
  <c r="Z361"/>
  <c r="Y361"/>
  <c r="X361"/>
  <c r="P361"/>
  <c r="O361"/>
  <c r="N361"/>
  <c r="M361"/>
  <c r="L361"/>
  <c r="K361"/>
  <c r="J361"/>
  <c r="I361"/>
  <c r="H361"/>
  <c r="G361"/>
  <c r="F361"/>
  <c r="E361"/>
  <c r="AK360"/>
  <c r="AK362" s="1"/>
  <c r="AJ360"/>
  <c r="AJ362" s="1"/>
  <c r="R360"/>
  <c r="R362" s="1"/>
  <c r="Q360"/>
  <c r="Q362" s="1"/>
  <c r="AK359"/>
  <c r="AJ359"/>
  <c r="V359"/>
  <c r="R359"/>
  <c r="Q359"/>
  <c r="AK358"/>
  <c r="AJ358"/>
  <c r="V358"/>
  <c r="R358"/>
  <c r="Q358"/>
  <c r="AI357"/>
  <c r="AH357"/>
  <c r="AG357"/>
  <c r="AF357"/>
  <c r="AE357"/>
  <c r="AD357"/>
  <c r="AC357"/>
  <c r="AB357"/>
  <c r="AA357"/>
  <c r="Z357"/>
  <c r="Y357"/>
  <c r="X357"/>
  <c r="P357"/>
  <c r="O357"/>
  <c r="N357"/>
  <c r="M357"/>
  <c r="L357"/>
  <c r="K357"/>
  <c r="J357"/>
  <c r="I357"/>
  <c r="H357"/>
  <c r="G357"/>
  <c r="F357"/>
  <c r="E357"/>
  <c r="AI356"/>
  <c r="AH356"/>
  <c r="AG356"/>
  <c r="AF356"/>
  <c r="AE356"/>
  <c r="AD356"/>
  <c r="AC356"/>
  <c r="AB356"/>
  <c r="AA356"/>
  <c r="Z356"/>
  <c r="Y356"/>
  <c r="X356"/>
  <c r="P356"/>
  <c r="O356"/>
  <c r="N356"/>
  <c r="M356"/>
  <c r="L356"/>
  <c r="K356"/>
  <c r="J356"/>
  <c r="I356"/>
  <c r="H356"/>
  <c r="G356"/>
  <c r="F356"/>
  <c r="E356"/>
  <c r="AK355"/>
  <c r="AK357" s="1"/>
  <c r="AJ355"/>
  <c r="AJ357" s="1"/>
  <c r="R355"/>
  <c r="R357" s="1"/>
  <c r="Q355"/>
  <c r="Q357" s="1"/>
  <c r="AK354"/>
  <c r="AJ354"/>
  <c r="V354"/>
  <c r="R354"/>
  <c r="Q354"/>
  <c r="AK353"/>
  <c r="AJ353"/>
  <c r="V353"/>
  <c r="R353"/>
  <c r="Q353"/>
  <c r="AI352"/>
  <c r="AH352"/>
  <c r="AG352"/>
  <c r="AF352"/>
  <c r="AE352"/>
  <c r="AD352"/>
  <c r="AC352"/>
  <c r="AB352"/>
  <c r="AA352"/>
  <c r="Z352"/>
  <c r="Y352"/>
  <c r="X352"/>
  <c r="P352"/>
  <c r="O352"/>
  <c r="N352"/>
  <c r="M352"/>
  <c r="L352"/>
  <c r="K352"/>
  <c r="J352"/>
  <c r="I352"/>
  <c r="H352"/>
  <c r="G352"/>
  <c r="F352"/>
  <c r="E352"/>
  <c r="AI351"/>
  <c r="AH351"/>
  <c r="AG351"/>
  <c r="AF351"/>
  <c r="AE351"/>
  <c r="AD351"/>
  <c r="AC351"/>
  <c r="AB351"/>
  <c r="AA351"/>
  <c r="Z351"/>
  <c r="Y351"/>
  <c r="X351"/>
  <c r="P351"/>
  <c r="O351"/>
  <c r="N351"/>
  <c r="M351"/>
  <c r="L351"/>
  <c r="K351"/>
  <c r="J351"/>
  <c r="I351"/>
  <c r="H351"/>
  <c r="G351"/>
  <c r="F351"/>
  <c r="E351"/>
  <c r="AK350"/>
  <c r="AK352" s="1"/>
  <c r="AJ350"/>
  <c r="AJ352" s="1"/>
  <c r="R350"/>
  <c r="R352" s="1"/>
  <c r="Q350"/>
  <c r="Q352" s="1"/>
  <c r="AK349"/>
  <c r="AJ349"/>
  <c r="V349"/>
  <c r="R349"/>
  <c r="Q349"/>
  <c r="AK348"/>
  <c r="AJ348"/>
  <c r="V348"/>
  <c r="R348"/>
  <c r="Q348"/>
  <c r="AI347"/>
  <c r="AH347"/>
  <c r="AG347"/>
  <c r="AF347"/>
  <c r="AE347"/>
  <c r="AD347"/>
  <c r="AC347"/>
  <c r="AB347"/>
  <c r="AA347"/>
  <c r="Z347"/>
  <c r="Y347"/>
  <c r="X347"/>
  <c r="P347"/>
  <c r="O347"/>
  <c r="N347"/>
  <c r="M347"/>
  <c r="L347"/>
  <c r="K347"/>
  <c r="J347"/>
  <c r="I347"/>
  <c r="H347"/>
  <c r="G347"/>
  <c r="F347"/>
  <c r="E347"/>
  <c r="AI346"/>
  <c r="AH346"/>
  <c r="AG346"/>
  <c r="AF346"/>
  <c r="AE346"/>
  <c r="AD346"/>
  <c r="AC346"/>
  <c r="AB346"/>
  <c r="AA346"/>
  <c r="Z346"/>
  <c r="Y346"/>
  <c r="X346"/>
  <c r="P346"/>
  <c r="O346"/>
  <c r="N346"/>
  <c r="M346"/>
  <c r="L346"/>
  <c r="K346"/>
  <c r="J346"/>
  <c r="I346"/>
  <c r="H346"/>
  <c r="G346"/>
  <c r="F346"/>
  <c r="E346"/>
  <c r="AK345"/>
  <c r="AK347" s="1"/>
  <c r="AJ345"/>
  <c r="AJ347" s="1"/>
  <c r="R345"/>
  <c r="R347" s="1"/>
  <c r="Q345"/>
  <c r="Q347" s="1"/>
  <c r="AK344"/>
  <c r="AJ344"/>
  <c r="V344"/>
  <c r="R344"/>
  <c r="Q344"/>
  <c r="AK343"/>
  <c r="AJ343"/>
  <c r="V343"/>
  <c r="R343"/>
  <c r="Q343"/>
  <c r="AI342"/>
  <c r="AH342"/>
  <c r="AG342"/>
  <c r="AF342"/>
  <c r="AE342"/>
  <c r="AD342"/>
  <c r="AC342"/>
  <c r="AB342"/>
  <c r="AA342"/>
  <c r="Z342"/>
  <c r="Y342"/>
  <c r="X342"/>
  <c r="P342"/>
  <c r="O342"/>
  <c r="N342"/>
  <c r="M342"/>
  <c r="L342"/>
  <c r="K342"/>
  <c r="J342"/>
  <c r="I342"/>
  <c r="H342"/>
  <c r="G342"/>
  <c r="F342"/>
  <c r="E342"/>
  <c r="AI341"/>
  <c r="AH341"/>
  <c r="AG341"/>
  <c r="AF341"/>
  <c r="AE341"/>
  <c r="AD341"/>
  <c r="AC341"/>
  <c r="AB341"/>
  <c r="AA341"/>
  <c r="Z341"/>
  <c r="Y341"/>
  <c r="X341"/>
  <c r="P341"/>
  <c r="O341"/>
  <c r="N341"/>
  <c r="M341"/>
  <c r="L341"/>
  <c r="K341"/>
  <c r="J341"/>
  <c r="I341"/>
  <c r="H341"/>
  <c r="G341"/>
  <c r="F341"/>
  <c r="E341"/>
  <c r="AK340"/>
  <c r="AK342" s="1"/>
  <c r="AJ340"/>
  <c r="AJ342" s="1"/>
  <c r="R340"/>
  <c r="R342" s="1"/>
  <c r="Q340"/>
  <c r="Q342" s="1"/>
  <c r="AK339"/>
  <c r="AJ339"/>
  <c r="V339"/>
  <c r="R339"/>
  <c r="Q339"/>
  <c r="AK338"/>
  <c r="AJ338"/>
  <c r="V338"/>
  <c r="R338"/>
  <c r="Q338"/>
  <c r="AI337"/>
  <c r="AH337"/>
  <c r="AG337"/>
  <c r="AF337"/>
  <c r="AE337"/>
  <c r="AD337"/>
  <c r="AC337"/>
  <c r="AB337"/>
  <c r="AA337"/>
  <c r="Z337"/>
  <c r="Y337"/>
  <c r="X337"/>
  <c r="P337"/>
  <c r="O337"/>
  <c r="N337"/>
  <c r="M337"/>
  <c r="L337"/>
  <c r="K337"/>
  <c r="J337"/>
  <c r="I337"/>
  <c r="H337"/>
  <c r="G337"/>
  <c r="F337"/>
  <c r="E337"/>
  <c r="AI336"/>
  <c r="AH336"/>
  <c r="AG336"/>
  <c r="AF336"/>
  <c r="AE336"/>
  <c r="AD336"/>
  <c r="AC336"/>
  <c r="AB336"/>
  <c r="AA336"/>
  <c r="Z336"/>
  <c r="Y336"/>
  <c r="X336"/>
  <c r="P336"/>
  <c r="O336"/>
  <c r="N336"/>
  <c r="M336"/>
  <c r="L336"/>
  <c r="K336"/>
  <c r="J336"/>
  <c r="I336"/>
  <c r="H336"/>
  <c r="G336"/>
  <c r="F336"/>
  <c r="E336"/>
  <c r="AK335"/>
  <c r="AK337" s="1"/>
  <c r="AJ335"/>
  <c r="AJ337" s="1"/>
  <c r="R335"/>
  <c r="R337" s="1"/>
  <c r="Q335"/>
  <c r="Q337" s="1"/>
  <c r="AK334"/>
  <c r="AJ334"/>
  <c r="V334"/>
  <c r="R334"/>
  <c r="Q334"/>
  <c r="AK333"/>
  <c r="AJ333"/>
  <c r="V333"/>
  <c r="R333"/>
  <c r="Q333"/>
  <c r="AI332"/>
  <c r="AH332"/>
  <c r="AG332"/>
  <c r="AF332"/>
  <c r="AE332"/>
  <c r="AD332"/>
  <c r="AC332"/>
  <c r="AB332"/>
  <c r="AA332"/>
  <c r="Z332"/>
  <c r="Y332"/>
  <c r="X332"/>
  <c r="P332"/>
  <c r="O332"/>
  <c r="N332"/>
  <c r="M332"/>
  <c r="L332"/>
  <c r="K332"/>
  <c r="J332"/>
  <c r="I332"/>
  <c r="H332"/>
  <c r="G332"/>
  <c r="F332"/>
  <c r="E332"/>
  <c r="AI331"/>
  <c r="AH331"/>
  <c r="AG331"/>
  <c r="AF331"/>
  <c r="AE331"/>
  <c r="AD331"/>
  <c r="AC331"/>
  <c r="AB331"/>
  <c r="AA331"/>
  <c r="Z331"/>
  <c r="Y331"/>
  <c r="X331"/>
  <c r="P331"/>
  <c r="O331"/>
  <c r="N331"/>
  <c r="M331"/>
  <c r="L331"/>
  <c r="K331"/>
  <c r="J331"/>
  <c r="I331"/>
  <c r="H331"/>
  <c r="G331"/>
  <c r="F331"/>
  <c r="E331"/>
  <c r="AK330"/>
  <c r="AK332" s="1"/>
  <c r="AJ330"/>
  <c r="AJ332" s="1"/>
  <c r="R330"/>
  <c r="R332" s="1"/>
  <c r="Q330"/>
  <c r="Q332" s="1"/>
  <c r="AK329"/>
  <c r="AJ329"/>
  <c r="V329"/>
  <c r="R329"/>
  <c r="Q329"/>
  <c r="AK328"/>
  <c r="AJ328"/>
  <c r="V328"/>
  <c r="R328"/>
  <c r="Q328"/>
  <c r="AI327"/>
  <c r="AH327"/>
  <c r="AG327"/>
  <c r="AF327"/>
  <c r="AE327"/>
  <c r="AD327"/>
  <c r="AC327"/>
  <c r="AB327"/>
  <c r="AA327"/>
  <c r="Z327"/>
  <c r="Y327"/>
  <c r="X327"/>
  <c r="P327"/>
  <c r="O327"/>
  <c r="N327"/>
  <c r="M327"/>
  <c r="L327"/>
  <c r="K327"/>
  <c r="J327"/>
  <c r="I327"/>
  <c r="H327"/>
  <c r="G327"/>
  <c r="F327"/>
  <c r="E327"/>
  <c r="AI326"/>
  <c r="AH326"/>
  <c r="AG326"/>
  <c r="AF326"/>
  <c r="AE326"/>
  <c r="AD326"/>
  <c r="AC326"/>
  <c r="AB326"/>
  <c r="AA326"/>
  <c r="Z326"/>
  <c r="Y326"/>
  <c r="X326"/>
  <c r="P326"/>
  <c r="O326"/>
  <c r="N326"/>
  <c r="M326"/>
  <c r="L326"/>
  <c r="K326"/>
  <c r="J326"/>
  <c r="I326"/>
  <c r="H326"/>
  <c r="G326"/>
  <c r="F326"/>
  <c r="E326"/>
  <c r="AK325"/>
  <c r="AK327" s="1"/>
  <c r="AJ325"/>
  <c r="AJ327" s="1"/>
  <c r="R325"/>
  <c r="R327" s="1"/>
  <c r="Q325"/>
  <c r="Q327" s="1"/>
  <c r="AK324"/>
  <c r="AJ324"/>
  <c r="V324"/>
  <c r="R324"/>
  <c r="Q324"/>
  <c r="AK323"/>
  <c r="AJ323"/>
  <c r="V323"/>
  <c r="R323"/>
  <c r="Q323"/>
  <c r="AI322"/>
  <c r="AH322"/>
  <c r="AG322"/>
  <c r="AF322"/>
  <c r="AE322"/>
  <c r="AD322"/>
  <c r="AC322"/>
  <c r="AB322"/>
  <c r="AA322"/>
  <c r="Z322"/>
  <c r="Y322"/>
  <c r="X322"/>
  <c r="P322"/>
  <c r="O322"/>
  <c r="N322"/>
  <c r="M322"/>
  <c r="L322"/>
  <c r="K322"/>
  <c r="J322"/>
  <c r="I322"/>
  <c r="H322"/>
  <c r="G322"/>
  <c r="F322"/>
  <c r="E322"/>
  <c r="AI321"/>
  <c r="AH321"/>
  <c r="AG321"/>
  <c r="AF321"/>
  <c r="AE321"/>
  <c r="AD321"/>
  <c r="AC321"/>
  <c r="AB321"/>
  <c r="AA321"/>
  <c r="Z321"/>
  <c r="Y321"/>
  <c r="X321"/>
  <c r="P321"/>
  <c r="O321"/>
  <c r="N321"/>
  <c r="M321"/>
  <c r="L321"/>
  <c r="K321"/>
  <c r="J321"/>
  <c r="I321"/>
  <c r="H321"/>
  <c r="G321"/>
  <c r="F321"/>
  <c r="E321"/>
  <c r="AK320"/>
  <c r="AK322" s="1"/>
  <c r="AJ320"/>
  <c r="AJ322" s="1"/>
  <c r="R320"/>
  <c r="R322" s="1"/>
  <c r="Q320"/>
  <c r="Q322" s="1"/>
  <c r="AK319"/>
  <c r="AJ319"/>
  <c r="V319"/>
  <c r="R319"/>
  <c r="Q319"/>
  <c r="AK318"/>
  <c r="AJ318"/>
  <c r="V318"/>
  <c r="R318"/>
  <c r="Q318"/>
  <c r="AI317"/>
  <c r="AH317"/>
  <c r="AG317"/>
  <c r="AF317"/>
  <c r="AE317"/>
  <c r="AD317"/>
  <c r="AC317"/>
  <c r="AB317"/>
  <c r="AA317"/>
  <c r="Z317"/>
  <c r="Y317"/>
  <c r="X317"/>
  <c r="P317"/>
  <c r="O317"/>
  <c r="N317"/>
  <c r="M317"/>
  <c r="L317"/>
  <c r="K317"/>
  <c r="J317"/>
  <c r="I317"/>
  <c r="H317"/>
  <c r="G317"/>
  <c r="F317"/>
  <c r="E317"/>
  <c r="AI316"/>
  <c r="AH316"/>
  <c r="AG316"/>
  <c r="AF316"/>
  <c r="AE316"/>
  <c r="AD316"/>
  <c r="AC316"/>
  <c r="AB316"/>
  <c r="AA316"/>
  <c r="Z316"/>
  <c r="Y316"/>
  <c r="X316"/>
  <c r="P316"/>
  <c r="O316"/>
  <c r="N316"/>
  <c r="M316"/>
  <c r="L316"/>
  <c r="K316"/>
  <c r="J316"/>
  <c r="I316"/>
  <c r="H316"/>
  <c r="G316"/>
  <c r="F316"/>
  <c r="E316"/>
  <c r="AK315"/>
  <c r="AK317" s="1"/>
  <c r="AJ315"/>
  <c r="AJ317" s="1"/>
  <c r="R315"/>
  <c r="R317" s="1"/>
  <c r="Q315"/>
  <c r="Q317" s="1"/>
  <c r="AK314"/>
  <c r="AJ314"/>
  <c r="V314"/>
  <c r="R314"/>
  <c r="Q314"/>
  <c r="AK313"/>
  <c r="AJ313"/>
  <c r="V313"/>
  <c r="R313"/>
  <c r="Q313"/>
  <c r="AI312"/>
  <c r="AH312"/>
  <c r="AG312"/>
  <c r="AF312"/>
  <c r="AE312"/>
  <c r="AD312"/>
  <c r="AC312"/>
  <c r="AB312"/>
  <c r="AA312"/>
  <c r="Z312"/>
  <c r="Y312"/>
  <c r="X312"/>
  <c r="P312"/>
  <c r="O312"/>
  <c r="N312"/>
  <c r="M312"/>
  <c r="L312"/>
  <c r="K312"/>
  <c r="J312"/>
  <c r="I312"/>
  <c r="H312"/>
  <c r="G312"/>
  <c r="F312"/>
  <c r="E312"/>
  <c r="AI311"/>
  <c r="AH311"/>
  <c r="AG311"/>
  <c r="AF311"/>
  <c r="AE311"/>
  <c r="AD311"/>
  <c r="AC311"/>
  <c r="AB311"/>
  <c r="AA311"/>
  <c r="Z311"/>
  <c r="Y311"/>
  <c r="X311"/>
  <c r="P311"/>
  <c r="O311"/>
  <c r="N311"/>
  <c r="M311"/>
  <c r="L311"/>
  <c r="K311"/>
  <c r="J311"/>
  <c r="I311"/>
  <c r="H311"/>
  <c r="G311"/>
  <c r="F311"/>
  <c r="E311"/>
  <c r="AK310"/>
  <c r="AK312" s="1"/>
  <c r="AJ310"/>
  <c r="AJ312" s="1"/>
  <c r="R310"/>
  <c r="R312" s="1"/>
  <c r="Q310"/>
  <c r="Q312" s="1"/>
  <c r="AK309"/>
  <c r="AJ309"/>
  <c r="V309"/>
  <c r="R309"/>
  <c r="Q309"/>
  <c r="AK308"/>
  <c r="AJ308"/>
  <c r="V308"/>
  <c r="R308"/>
  <c r="Q308"/>
  <c r="AI307"/>
  <c r="AH307"/>
  <c r="AG307"/>
  <c r="AF307"/>
  <c r="AE307"/>
  <c r="AD307"/>
  <c r="AC307"/>
  <c r="AB307"/>
  <c r="AA307"/>
  <c r="Z307"/>
  <c r="Y307"/>
  <c r="X307"/>
  <c r="P307"/>
  <c r="O307"/>
  <c r="N307"/>
  <c r="M307"/>
  <c r="L307"/>
  <c r="K307"/>
  <c r="J307"/>
  <c r="I307"/>
  <c r="H307"/>
  <c r="G307"/>
  <c r="F307"/>
  <c r="E307"/>
  <c r="AI306"/>
  <c r="AH306"/>
  <c r="AG306"/>
  <c r="AF306"/>
  <c r="AE306"/>
  <c r="AD306"/>
  <c r="AC306"/>
  <c r="AB306"/>
  <c r="AA306"/>
  <c r="Z306"/>
  <c r="Y306"/>
  <c r="X306"/>
  <c r="P306"/>
  <c r="O306"/>
  <c r="N306"/>
  <c r="M306"/>
  <c r="L306"/>
  <c r="K306"/>
  <c r="J306"/>
  <c r="I306"/>
  <c r="H306"/>
  <c r="G306"/>
  <c r="F306"/>
  <c r="E306"/>
  <c r="AK305"/>
  <c r="AK307" s="1"/>
  <c r="AJ305"/>
  <c r="AJ307" s="1"/>
  <c r="R305"/>
  <c r="R307" s="1"/>
  <c r="Q305"/>
  <c r="Q307" s="1"/>
  <c r="AK304"/>
  <c r="AJ304"/>
  <c r="V304"/>
  <c r="R304"/>
  <c r="Q304"/>
  <c r="AK303"/>
  <c r="AJ303"/>
  <c r="V303"/>
  <c r="R303"/>
  <c r="Q303"/>
  <c r="AI300"/>
  <c r="AH300"/>
  <c r="AG300"/>
  <c r="AF300"/>
  <c r="AE300"/>
  <c r="AD300"/>
  <c r="AC300"/>
  <c r="AB300"/>
  <c r="AA300"/>
  <c r="Z300"/>
  <c r="Y300"/>
  <c r="X300"/>
  <c r="AK300" s="1"/>
  <c r="P300"/>
  <c r="O300"/>
  <c r="N300"/>
  <c r="M300"/>
  <c r="M302" s="1"/>
  <c r="L300"/>
  <c r="K300"/>
  <c r="J300"/>
  <c r="I300"/>
  <c r="I302" s="1"/>
  <c r="H300"/>
  <c r="G300"/>
  <c r="F300"/>
  <c r="E300"/>
  <c r="E302" s="1"/>
  <c r="AI299"/>
  <c r="AH299"/>
  <c r="AG299"/>
  <c r="AF299"/>
  <c r="AE299"/>
  <c r="AD299"/>
  <c r="AC299"/>
  <c r="AB299"/>
  <c r="AA299"/>
  <c r="Z299"/>
  <c r="Y299"/>
  <c r="X299"/>
  <c r="P299"/>
  <c r="O299"/>
  <c r="N299"/>
  <c r="M299"/>
  <c r="L299"/>
  <c r="K299"/>
  <c r="J299"/>
  <c r="I299"/>
  <c r="H299"/>
  <c r="G299"/>
  <c r="F299"/>
  <c r="R299" s="1"/>
  <c r="E299"/>
  <c r="Q299" s="1"/>
  <c r="AI298"/>
  <c r="AH298"/>
  <c r="AG298"/>
  <c r="AF298"/>
  <c r="AE298"/>
  <c r="AD298"/>
  <c r="AC298"/>
  <c r="AB298"/>
  <c r="AA298"/>
  <c r="Z298"/>
  <c r="Y298"/>
  <c r="X298"/>
  <c r="AK298" s="1"/>
  <c r="P298"/>
  <c r="O298"/>
  <c r="N298"/>
  <c r="M298"/>
  <c r="L298"/>
  <c r="K298"/>
  <c r="J298"/>
  <c r="I298"/>
  <c r="H298"/>
  <c r="G298"/>
  <c r="F298"/>
  <c r="R298" s="1"/>
  <c r="E298"/>
  <c r="Q298" s="1"/>
  <c r="AI297"/>
  <c r="AH297"/>
  <c r="AG297"/>
  <c r="AF297"/>
  <c r="AE297"/>
  <c r="AD297"/>
  <c r="AC297"/>
  <c r="AB297"/>
  <c r="AA297"/>
  <c r="Z297"/>
  <c r="Y297"/>
  <c r="X297"/>
  <c r="P297"/>
  <c r="O297"/>
  <c r="N297"/>
  <c r="M297"/>
  <c r="L297"/>
  <c r="K297"/>
  <c r="J297"/>
  <c r="I297"/>
  <c r="H297"/>
  <c r="G297"/>
  <c r="F297"/>
  <c r="E297"/>
  <c r="AI296"/>
  <c r="AH296"/>
  <c r="AG296"/>
  <c r="AF296"/>
  <c r="AE296"/>
  <c r="AD296"/>
  <c r="AC296"/>
  <c r="AB296"/>
  <c r="AA296"/>
  <c r="Z296"/>
  <c r="Y296"/>
  <c r="X296"/>
  <c r="P296"/>
  <c r="O296"/>
  <c r="N296"/>
  <c r="M296"/>
  <c r="L296"/>
  <c r="K296"/>
  <c r="J296"/>
  <c r="I296"/>
  <c r="H296"/>
  <c r="G296"/>
  <c r="F296"/>
  <c r="E296"/>
  <c r="AK295"/>
  <c r="AK297" s="1"/>
  <c r="AJ295"/>
  <c r="AJ297" s="1"/>
  <c r="R295"/>
  <c r="R297" s="1"/>
  <c r="Q295"/>
  <c r="Q297" s="1"/>
  <c r="AK294"/>
  <c r="AJ294"/>
  <c r="V294"/>
  <c r="R294"/>
  <c r="Q294"/>
  <c r="AK293"/>
  <c r="AJ293"/>
  <c r="V293"/>
  <c r="R293"/>
  <c r="Q293"/>
  <c r="AI292"/>
  <c r="AH292"/>
  <c r="AG292"/>
  <c r="AF292"/>
  <c r="AE292"/>
  <c r="AD292"/>
  <c r="AC292"/>
  <c r="AB292"/>
  <c r="AA292"/>
  <c r="Z292"/>
  <c r="Y292"/>
  <c r="X292"/>
  <c r="P292"/>
  <c r="O292"/>
  <c r="N292"/>
  <c r="M292"/>
  <c r="L292"/>
  <c r="K292"/>
  <c r="J292"/>
  <c r="I292"/>
  <c r="H292"/>
  <c r="G292"/>
  <c r="F292"/>
  <c r="E292"/>
  <c r="AI291"/>
  <c r="AH291"/>
  <c r="AG291"/>
  <c r="AF291"/>
  <c r="AE291"/>
  <c r="AD291"/>
  <c r="AC291"/>
  <c r="AB291"/>
  <c r="AA291"/>
  <c r="Z291"/>
  <c r="Y291"/>
  <c r="X291"/>
  <c r="P291"/>
  <c r="O291"/>
  <c r="N291"/>
  <c r="M291"/>
  <c r="L291"/>
  <c r="K291"/>
  <c r="J291"/>
  <c r="I291"/>
  <c r="H291"/>
  <c r="G291"/>
  <c r="F291"/>
  <c r="E291"/>
  <c r="AK290"/>
  <c r="AK292" s="1"/>
  <c r="AJ290"/>
  <c r="AJ292" s="1"/>
  <c r="R290"/>
  <c r="R292" s="1"/>
  <c r="Q290"/>
  <c r="Q291" s="1"/>
  <c r="AK289"/>
  <c r="AJ289"/>
  <c r="V289"/>
  <c r="R289"/>
  <c r="Q289"/>
  <c r="AK288"/>
  <c r="AJ288"/>
  <c r="V288"/>
  <c r="R288"/>
  <c r="Q288"/>
  <c r="AI287"/>
  <c r="AH287"/>
  <c r="AG287"/>
  <c r="AF287"/>
  <c r="AE287"/>
  <c r="AD287"/>
  <c r="AC287"/>
  <c r="AB287"/>
  <c r="AA287"/>
  <c r="Z287"/>
  <c r="Y287"/>
  <c r="X287"/>
  <c r="P287"/>
  <c r="O287"/>
  <c r="N287"/>
  <c r="M287"/>
  <c r="L287"/>
  <c r="K287"/>
  <c r="J287"/>
  <c r="I287"/>
  <c r="H287"/>
  <c r="G287"/>
  <c r="F287"/>
  <c r="E287"/>
  <c r="AI286"/>
  <c r="AH286"/>
  <c r="AG286"/>
  <c r="AF286"/>
  <c r="AE286"/>
  <c r="AD286"/>
  <c r="AC286"/>
  <c r="AB286"/>
  <c r="AA286"/>
  <c r="Z286"/>
  <c r="Y286"/>
  <c r="X286"/>
  <c r="P286"/>
  <c r="O286"/>
  <c r="N286"/>
  <c r="M286"/>
  <c r="L286"/>
  <c r="K286"/>
  <c r="J286"/>
  <c r="I286"/>
  <c r="H286"/>
  <c r="G286"/>
  <c r="F286"/>
  <c r="E286"/>
  <c r="AK285"/>
  <c r="AK287" s="1"/>
  <c r="AJ285"/>
  <c r="AJ286" s="1"/>
  <c r="R285"/>
  <c r="R287" s="1"/>
  <c r="Q285"/>
  <c r="Q287" s="1"/>
  <c r="AK284"/>
  <c r="AJ284"/>
  <c r="V284"/>
  <c r="R284"/>
  <c r="Q284"/>
  <c r="AK283"/>
  <c r="AJ283"/>
  <c r="V283"/>
  <c r="R283"/>
  <c r="Q283"/>
  <c r="AI282"/>
  <c r="AH282"/>
  <c r="AG282"/>
  <c r="AF282"/>
  <c r="AE282"/>
  <c r="AD282"/>
  <c r="AC282"/>
  <c r="AB282"/>
  <c r="AA282"/>
  <c r="Z282"/>
  <c r="Y282"/>
  <c r="X282"/>
  <c r="P282"/>
  <c r="O282"/>
  <c r="N282"/>
  <c r="M282"/>
  <c r="L282"/>
  <c r="K282"/>
  <c r="J282"/>
  <c r="I282"/>
  <c r="H282"/>
  <c r="G282"/>
  <c r="F282"/>
  <c r="E282"/>
  <c r="AI281"/>
  <c r="AH281"/>
  <c r="AG281"/>
  <c r="AF281"/>
  <c r="AE281"/>
  <c r="AD281"/>
  <c r="AC281"/>
  <c r="AB281"/>
  <c r="AA281"/>
  <c r="Z281"/>
  <c r="Y281"/>
  <c r="X281"/>
  <c r="P281"/>
  <c r="O281"/>
  <c r="N281"/>
  <c r="M281"/>
  <c r="L281"/>
  <c r="K281"/>
  <c r="J281"/>
  <c r="I281"/>
  <c r="H281"/>
  <c r="G281"/>
  <c r="F281"/>
  <c r="E281"/>
  <c r="AK280"/>
  <c r="AK282" s="1"/>
  <c r="AJ280"/>
  <c r="AJ282" s="1"/>
  <c r="R280"/>
  <c r="R282" s="1"/>
  <c r="Q280"/>
  <c r="Q281" s="1"/>
  <c r="AK279"/>
  <c r="AJ279"/>
  <c r="V279"/>
  <c r="R279"/>
  <c r="Q279"/>
  <c r="AK278"/>
  <c r="AJ278"/>
  <c r="V278"/>
  <c r="R278"/>
  <c r="Q278"/>
  <c r="AI277"/>
  <c r="AH277"/>
  <c r="AG277"/>
  <c r="AF277"/>
  <c r="AE277"/>
  <c r="AD277"/>
  <c r="AC277"/>
  <c r="AB277"/>
  <c r="AA277"/>
  <c r="Z277"/>
  <c r="Y277"/>
  <c r="X277"/>
  <c r="P277"/>
  <c r="O277"/>
  <c r="N277"/>
  <c r="M277"/>
  <c r="L277"/>
  <c r="K277"/>
  <c r="J277"/>
  <c r="I277"/>
  <c r="H277"/>
  <c r="G277"/>
  <c r="F277"/>
  <c r="E277"/>
  <c r="AI276"/>
  <c r="AH276"/>
  <c r="AG276"/>
  <c r="AF276"/>
  <c r="AE276"/>
  <c r="AD276"/>
  <c r="AC276"/>
  <c r="AB276"/>
  <c r="AA276"/>
  <c r="Z276"/>
  <c r="Y276"/>
  <c r="X276"/>
  <c r="P276"/>
  <c r="O276"/>
  <c r="N276"/>
  <c r="M276"/>
  <c r="L276"/>
  <c r="K276"/>
  <c r="J276"/>
  <c r="I276"/>
  <c r="H276"/>
  <c r="G276"/>
  <c r="F276"/>
  <c r="E276"/>
  <c r="AK275"/>
  <c r="AK277" s="1"/>
  <c r="AJ275"/>
  <c r="AJ276" s="1"/>
  <c r="R275"/>
  <c r="R277" s="1"/>
  <c r="Q275"/>
  <c r="Q277" s="1"/>
  <c r="AK274"/>
  <c r="AJ274"/>
  <c r="V274"/>
  <c r="R274"/>
  <c r="Q274"/>
  <c r="AK273"/>
  <c r="AJ273"/>
  <c r="V273"/>
  <c r="R273"/>
  <c r="Q273"/>
  <c r="AI272"/>
  <c r="AH272"/>
  <c r="AG272"/>
  <c r="AF272"/>
  <c r="AE272"/>
  <c r="AD272"/>
  <c r="AC272"/>
  <c r="AB272"/>
  <c r="AA272"/>
  <c r="Z272"/>
  <c r="Y272"/>
  <c r="X272"/>
  <c r="P272"/>
  <c r="O272"/>
  <c r="N272"/>
  <c r="M272"/>
  <c r="L272"/>
  <c r="K272"/>
  <c r="J272"/>
  <c r="I272"/>
  <c r="H272"/>
  <c r="G272"/>
  <c r="F272"/>
  <c r="E272"/>
  <c r="AI271"/>
  <c r="AH271"/>
  <c r="AG271"/>
  <c r="AF271"/>
  <c r="AE271"/>
  <c r="AD271"/>
  <c r="AC271"/>
  <c r="AB271"/>
  <c r="AA271"/>
  <c r="Z271"/>
  <c r="Y271"/>
  <c r="X271"/>
  <c r="P271"/>
  <c r="O271"/>
  <c r="N271"/>
  <c r="M271"/>
  <c r="L271"/>
  <c r="K271"/>
  <c r="J271"/>
  <c r="I271"/>
  <c r="H271"/>
  <c r="G271"/>
  <c r="F271"/>
  <c r="E271"/>
  <c r="AK270"/>
  <c r="AK272" s="1"/>
  <c r="AJ270"/>
  <c r="AJ272" s="1"/>
  <c r="R270"/>
  <c r="R272" s="1"/>
  <c r="Q270"/>
  <c r="Q272" s="1"/>
  <c r="AK269"/>
  <c r="AJ269"/>
  <c r="V269"/>
  <c r="R269"/>
  <c r="Q269"/>
  <c r="AK268"/>
  <c r="AJ268"/>
  <c r="V268"/>
  <c r="R268"/>
  <c r="Q268"/>
  <c r="AI267"/>
  <c r="AH267"/>
  <c r="AG267"/>
  <c r="AF267"/>
  <c r="AE267"/>
  <c r="AD267"/>
  <c r="AC267"/>
  <c r="AB267"/>
  <c r="AA267"/>
  <c r="Z267"/>
  <c r="Y267"/>
  <c r="X267"/>
  <c r="P267"/>
  <c r="O267"/>
  <c r="N267"/>
  <c r="M267"/>
  <c r="L267"/>
  <c r="K267"/>
  <c r="J267"/>
  <c r="I267"/>
  <c r="H267"/>
  <c r="G267"/>
  <c r="F267"/>
  <c r="E267"/>
  <c r="AI266"/>
  <c r="AH266"/>
  <c r="AG266"/>
  <c r="AF266"/>
  <c r="AE266"/>
  <c r="AD266"/>
  <c r="AC266"/>
  <c r="AB266"/>
  <c r="AA266"/>
  <c r="Z266"/>
  <c r="Y266"/>
  <c r="X266"/>
  <c r="P266"/>
  <c r="O266"/>
  <c r="N266"/>
  <c r="M266"/>
  <c r="L266"/>
  <c r="K266"/>
  <c r="J266"/>
  <c r="I266"/>
  <c r="H266"/>
  <c r="G266"/>
  <c r="F266"/>
  <c r="E266"/>
  <c r="AK265"/>
  <c r="AK267" s="1"/>
  <c r="AJ265"/>
  <c r="AJ267" s="1"/>
  <c r="R265"/>
  <c r="R267" s="1"/>
  <c r="Q265"/>
  <c r="Q267" s="1"/>
  <c r="AK264"/>
  <c r="AJ264"/>
  <c r="V264"/>
  <c r="R264"/>
  <c r="Q264"/>
  <c r="AK263"/>
  <c r="AJ263"/>
  <c r="V263"/>
  <c r="R263"/>
  <c r="Q263"/>
  <c r="AI262"/>
  <c r="AH262"/>
  <c r="AG262"/>
  <c r="AF262"/>
  <c r="AE262"/>
  <c r="AD262"/>
  <c r="AC262"/>
  <c r="AB262"/>
  <c r="AA262"/>
  <c r="Z262"/>
  <c r="Y262"/>
  <c r="X262"/>
  <c r="P262"/>
  <c r="O262"/>
  <c r="N262"/>
  <c r="M262"/>
  <c r="L262"/>
  <c r="K262"/>
  <c r="J262"/>
  <c r="I262"/>
  <c r="H262"/>
  <c r="G262"/>
  <c r="F262"/>
  <c r="E262"/>
  <c r="AI261"/>
  <c r="AH261"/>
  <c r="AG261"/>
  <c r="AF261"/>
  <c r="AE261"/>
  <c r="AD261"/>
  <c r="AC261"/>
  <c r="AB261"/>
  <c r="AA261"/>
  <c r="Z261"/>
  <c r="Y261"/>
  <c r="X261"/>
  <c r="P261"/>
  <c r="O261"/>
  <c r="N261"/>
  <c r="M261"/>
  <c r="L261"/>
  <c r="K261"/>
  <c r="J261"/>
  <c r="I261"/>
  <c r="H261"/>
  <c r="G261"/>
  <c r="F261"/>
  <c r="E261"/>
  <c r="AK260"/>
  <c r="AK262" s="1"/>
  <c r="AJ260"/>
  <c r="AJ262" s="1"/>
  <c r="R260"/>
  <c r="R262" s="1"/>
  <c r="Q260"/>
  <c r="Q261" s="1"/>
  <c r="AK259"/>
  <c r="AJ259"/>
  <c r="V259"/>
  <c r="R259"/>
  <c r="Q259"/>
  <c r="AK258"/>
  <c r="AJ258"/>
  <c r="V258"/>
  <c r="R258"/>
  <c r="Q258"/>
  <c r="AI257"/>
  <c r="AH257"/>
  <c r="AG257"/>
  <c r="AF257"/>
  <c r="AE257"/>
  <c r="AD257"/>
  <c r="AC257"/>
  <c r="AB257"/>
  <c r="AA257"/>
  <c r="Z257"/>
  <c r="Y257"/>
  <c r="X257"/>
  <c r="P257"/>
  <c r="O257"/>
  <c r="N257"/>
  <c r="M257"/>
  <c r="L257"/>
  <c r="K257"/>
  <c r="J257"/>
  <c r="I257"/>
  <c r="H257"/>
  <c r="G257"/>
  <c r="F257"/>
  <c r="E257"/>
  <c r="AI256"/>
  <c r="AH256"/>
  <c r="AG256"/>
  <c r="AF256"/>
  <c r="AE256"/>
  <c r="AD256"/>
  <c r="AC256"/>
  <c r="AB256"/>
  <c r="AA256"/>
  <c r="Z256"/>
  <c r="Y256"/>
  <c r="X256"/>
  <c r="P256"/>
  <c r="O256"/>
  <c r="N256"/>
  <c r="M256"/>
  <c r="L256"/>
  <c r="K256"/>
  <c r="J256"/>
  <c r="I256"/>
  <c r="H256"/>
  <c r="G256"/>
  <c r="F256"/>
  <c r="E256"/>
  <c r="AK255"/>
  <c r="AK257" s="1"/>
  <c r="AJ255"/>
  <c r="AJ257" s="1"/>
  <c r="R255"/>
  <c r="R257" s="1"/>
  <c r="Q255"/>
  <c r="Q257" s="1"/>
  <c r="AK254"/>
  <c r="AJ254"/>
  <c r="V254"/>
  <c r="R254"/>
  <c r="Q254"/>
  <c r="AK253"/>
  <c r="AJ253"/>
  <c r="V253"/>
  <c r="R253"/>
  <c r="Q253"/>
  <c r="AI252"/>
  <c r="AH252"/>
  <c r="AG252"/>
  <c r="AF252"/>
  <c r="AE252"/>
  <c r="AD252"/>
  <c r="AC252"/>
  <c r="AB252"/>
  <c r="AA252"/>
  <c r="Z252"/>
  <c r="Y252"/>
  <c r="X252"/>
  <c r="P252"/>
  <c r="O252"/>
  <c r="N252"/>
  <c r="M252"/>
  <c r="L252"/>
  <c r="K252"/>
  <c r="J252"/>
  <c r="I252"/>
  <c r="H252"/>
  <c r="G252"/>
  <c r="F252"/>
  <c r="E252"/>
  <c r="AI251"/>
  <c r="AH251"/>
  <c r="AG251"/>
  <c r="AF251"/>
  <c r="AE251"/>
  <c r="AD251"/>
  <c r="AC251"/>
  <c r="AB251"/>
  <c r="AA251"/>
  <c r="Z251"/>
  <c r="Y251"/>
  <c r="X251"/>
  <c r="P251"/>
  <c r="O251"/>
  <c r="N251"/>
  <c r="M251"/>
  <c r="L251"/>
  <c r="K251"/>
  <c r="J251"/>
  <c r="I251"/>
  <c r="H251"/>
  <c r="G251"/>
  <c r="F251"/>
  <c r="E251"/>
  <c r="AK250"/>
  <c r="AK252" s="1"/>
  <c r="AJ250"/>
  <c r="AJ252" s="1"/>
  <c r="R250"/>
  <c r="R252" s="1"/>
  <c r="Q250"/>
  <c r="Q251" s="1"/>
  <c r="AK249"/>
  <c r="AJ249"/>
  <c r="V249"/>
  <c r="R249"/>
  <c r="Q249"/>
  <c r="AK248"/>
  <c r="AJ248"/>
  <c r="V248"/>
  <c r="R248"/>
  <c r="Q248"/>
  <c r="AI247"/>
  <c r="AH247"/>
  <c r="AG247"/>
  <c r="AF247"/>
  <c r="AE247"/>
  <c r="AD247"/>
  <c r="AC247"/>
  <c r="AB247"/>
  <c r="AA247"/>
  <c r="Z247"/>
  <c r="Y247"/>
  <c r="X247"/>
  <c r="P247"/>
  <c r="O247"/>
  <c r="N247"/>
  <c r="M247"/>
  <c r="L247"/>
  <c r="K247"/>
  <c r="J247"/>
  <c r="I247"/>
  <c r="H247"/>
  <c r="G247"/>
  <c r="F247"/>
  <c r="E247"/>
  <c r="AI246"/>
  <c r="AH246"/>
  <c r="AG246"/>
  <c r="AF246"/>
  <c r="AE246"/>
  <c r="AD246"/>
  <c r="AC246"/>
  <c r="AB246"/>
  <c r="AA246"/>
  <c r="Z246"/>
  <c r="Y246"/>
  <c r="X246"/>
  <c r="P246"/>
  <c r="O246"/>
  <c r="N246"/>
  <c r="M246"/>
  <c r="L246"/>
  <c r="K246"/>
  <c r="J246"/>
  <c r="I246"/>
  <c r="H246"/>
  <c r="G246"/>
  <c r="F246"/>
  <c r="E246"/>
  <c r="AK245"/>
  <c r="AK247" s="1"/>
  <c r="AJ245"/>
  <c r="AJ247" s="1"/>
  <c r="R245"/>
  <c r="R247" s="1"/>
  <c r="Q245"/>
  <c r="Q247" s="1"/>
  <c r="AK244"/>
  <c r="AJ244"/>
  <c r="V244"/>
  <c r="R244"/>
  <c r="Q244"/>
  <c r="AK243"/>
  <c r="AJ243"/>
  <c r="V243"/>
  <c r="R243"/>
  <c r="Q243"/>
  <c r="AI242"/>
  <c r="AH242"/>
  <c r="AG242"/>
  <c r="AF242"/>
  <c r="AE242"/>
  <c r="AD242"/>
  <c r="AC242"/>
  <c r="AB242"/>
  <c r="AA242"/>
  <c r="Z242"/>
  <c r="Y242"/>
  <c r="X242"/>
  <c r="P242"/>
  <c r="O242"/>
  <c r="N242"/>
  <c r="M242"/>
  <c r="L242"/>
  <c r="K242"/>
  <c r="J242"/>
  <c r="I242"/>
  <c r="H242"/>
  <c r="G242"/>
  <c r="F242"/>
  <c r="E242"/>
  <c r="AI241"/>
  <c r="AH241"/>
  <c r="AG241"/>
  <c r="AF241"/>
  <c r="AE241"/>
  <c r="AD241"/>
  <c r="AC241"/>
  <c r="AB241"/>
  <c r="AA241"/>
  <c r="Z241"/>
  <c r="Y241"/>
  <c r="X241"/>
  <c r="P241"/>
  <c r="O241"/>
  <c r="N241"/>
  <c r="M241"/>
  <c r="L241"/>
  <c r="K241"/>
  <c r="J241"/>
  <c r="I241"/>
  <c r="H241"/>
  <c r="G241"/>
  <c r="F241"/>
  <c r="E241"/>
  <c r="AK240"/>
  <c r="AK242" s="1"/>
  <c r="AJ240"/>
  <c r="AJ242" s="1"/>
  <c r="R240"/>
  <c r="R242" s="1"/>
  <c r="Q240"/>
  <c r="Q241" s="1"/>
  <c r="AK239"/>
  <c r="AJ239"/>
  <c r="V239"/>
  <c r="R239"/>
  <c r="Q239"/>
  <c r="AK238"/>
  <c r="AJ238"/>
  <c r="V238"/>
  <c r="R238"/>
  <c r="Q238"/>
  <c r="AI237"/>
  <c r="AH237"/>
  <c r="AG237"/>
  <c r="AF237"/>
  <c r="AE237"/>
  <c r="AD237"/>
  <c r="AC237"/>
  <c r="AB237"/>
  <c r="AA237"/>
  <c r="Z237"/>
  <c r="Y237"/>
  <c r="X237"/>
  <c r="P237"/>
  <c r="O237"/>
  <c r="N237"/>
  <c r="M237"/>
  <c r="L237"/>
  <c r="K237"/>
  <c r="J237"/>
  <c r="I237"/>
  <c r="H237"/>
  <c r="G237"/>
  <c r="F237"/>
  <c r="E237"/>
  <c r="AI236"/>
  <c r="AH236"/>
  <c r="AG236"/>
  <c r="AF236"/>
  <c r="AE236"/>
  <c r="AD236"/>
  <c r="AC236"/>
  <c r="AB236"/>
  <c r="AA236"/>
  <c r="Z236"/>
  <c r="Y236"/>
  <c r="X236"/>
  <c r="P236"/>
  <c r="O236"/>
  <c r="N236"/>
  <c r="M236"/>
  <c r="L236"/>
  <c r="K236"/>
  <c r="J236"/>
  <c r="I236"/>
  <c r="H236"/>
  <c r="G236"/>
  <c r="F236"/>
  <c r="E236"/>
  <c r="AK235"/>
  <c r="AK237" s="1"/>
  <c r="AJ235"/>
  <c r="AJ237" s="1"/>
  <c r="R235"/>
  <c r="R237" s="1"/>
  <c r="Q235"/>
  <c r="Q237" s="1"/>
  <c r="AK234"/>
  <c r="AJ234"/>
  <c r="V234"/>
  <c r="R234"/>
  <c r="Q234"/>
  <c r="AK233"/>
  <c r="AJ233"/>
  <c r="V233"/>
  <c r="R233"/>
  <c r="Q233"/>
  <c r="AI232"/>
  <c r="AH232"/>
  <c r="AG232"/>
  <c r="AF232"/>
  <c r="AE232"/>
  <c r="AD232"/>
  <c r="AC232"/>
  <c r="AB232"/>
  <c r="AA232"/>
  <c r="Z232"/>
  <c r="Y232"/>
  <c r="X232"/>
  <c r="P232"/>
  <c r="O232"/>
  <c r="N232"/>
  <c r="M232"/>
  <c r="L232"/>
  <c r="K232"/>
  <c r="J232"/>
  <c r="I232"/>
  <c r="H232"/>
  <c r="G232"/>
  <c r="F232"/>
  <c r="E232"/>
  <c r="AI231"/>
  <c r="AH231"/>
  <c r="AG231"/>
  <c r="AF231"/>
  <c r="AE231"/>
  <c r="AD231"/>
  <c r="AC231"/>
  <c r="AB231"/>
  <c r="AA231"/>
  <c r="Z231"/>
  <c r="Y231"/>
  <c r="X231"/>
  <c r="P231"/>
  <c r="O231"/>
  <c r="N231"/>
  <c r="M231"/>
  <c r="L231"/>
  <c r="K231"/>
  <c r="J231"/>
  <c r="I231"/>
  <c r="H231"/>
  <c r="G231"/>
  <c r="F231"/>
  <c r="E231"/>
  <c r="AK230"/>
  <c r="AK232" s="1"/>
  <c r="AJ230"/>
  <c r="AJ232" s="1"/>
  <c r="R230"/>
  <c r="R232" s="1"/>
  <c r="Q230"/>
  <c r="Q232" s="1"/>
  <c r="AK229"/>
  <c r="AJ229"/>
  <c r="V229"/>
  <c r="R229"/>
  <c r="Q229"/>
  <c r="AK228"/>
  <c r="AJ228"/>
  <c r="V228"/>
  <c r="R228"/>
  <c r="Q228"/>
  <c r="AI225"/>
  <c r="AI227" s="1"/>
  <c r="AH225"/>
  <c r="AH227" s="1"/>
  <c r="AG225"/>
  <c r="AG227" s="1"/>
  <c r="AF225"/>
  <c r="AF227" s="1"/>
  <c r="AE225"/>
  <c r="AE227" s="1"/>
  <c r="AD225"/>
  <c r="AD227" s="1"/>
  <c r="AC225"/>
  <c r="AC227" s="1"/>
  <c r="AB225"/>
  <c r="AB227" s="1"/>
  <c r="AA225"/>
  <c r="AA227" s="1"/>
  <c r="Z225"/>
  <c r="Z227" s="1"/>
  <c r="Y225"/>
  <c r="Y227" s="1"/>
  <c r="X225"/>
  <c r="AJ225" s="1"/>
  <c r="P225"/>
  <c r="P227" s="1"/>
  <c r="O225"/>
  <c r="O227" s="1"/>
  <c r="N225"/>
  <c r="N227" s="1"/>
  <c r="M225"/>
  <c r="M227" s="1"/>
  <c r="L225"/>
  <c r="L227" s="1"/>
  <c r="K225"/>
  <c r="K227" s="1"/>
  <c r="J225"/>
  <c r="J227" s="1"/>
  <c r="I225"/>
  <c r="I227" s="1"/>
  <c r="H225"/>
  <c r="H227" s="1"/>
  <c r="G225"/>
  <c r="G227" s="1"/>
  <c r="F225"/>
  <c r="F227" s="1"/>
  <c r="E225"/>
  <c r="E227" s="1"/>
  <c r="AI224"/>
  <c r="AH224"/>
  <c r="AG224"/>
  <c r="AF224"/>
  <c r="AE224"/>
  <c r="AD224"/>
  <c r="AC224"/>
  <c r="AB224"/>
  <c r="AA224"/>
  <c r="Z224"/>
  <c r="Y224"/>
  <c r="X224"/>
  <c r="AK224" s="1"/>
  <c r="P224"/>
  <c r="O224"/>
  <c r="N224"/>
  <c r="M224"/>
  <c r="L224"/>
  <c r="K224"/>
  <c r="J224"/>
  <c r="I224"/>
  <c r="H224"/>
  <c r="G224"/>
  <c r="F224"/>
  <c r="R224" s="1"/>
  <c r="E224"/>
  <c r="Q224" s="1"/>
  <c r="AI223"/>
  <c r="AH223"/>
  <c r="AG223"/>
  <c r="AF223"/>
  <c r="AE223"/>
  <c r="AD223"/>
  <c r="AC223"/>
  <c r="AB223"/>
  <c r="AA223"/>
  <c r="Z223"/>
  <c r="Y223"/>
  <c r="X223"/>
  <c r="AK223" s="1"/>
  <c r="P223"/>
  <c r="O223"/>
  <c r="N223"/>
  <c r="M223"/>
  <c r="L223"/>
  <c r="K223"/>
  <c r="J223"/>
  <c r="I223"/>
  <c r="H223"/>
  <c r="G223"/>
  <c r="F223"/>
  <c r="R223" s="1"/>
  <c r="E223"/>
  <c r="Q223" s="1"/>
  <c r="AI222"/>
  <c r="AH222"/>
  <c r="AG222"/>
  <c r="AF222"/>
  <c r="AE222"/>
  <c r="AD222"/>
  <c r="AC222"/>
  <c r="AB222"/>
  <c r="AA222"/>
  <c r="Z222"/>
  <c r="Y222"/>
  <c r="X222"/>
  <c r="P222"/>
  <c r="O222"/>
  <c r="N222"/>
  <c r="M222"/>
  <c r="L222"/>
  <c r="K222"/>
  <c r="J222"/>
  <c r="I222"/>
  <c r="H222"/>
  <c r="G222"/>
  <c r="F222"/>
  <c r="E222"/>
  <c r="AI221"/>
  <c r="AH221"/>
  <c r="AG221"/>
  <c r="AF221"/>
  <c r="AE221"/>
  <c r="AD221"/>
  <c r="AC221"/>
  <c r="AB221"/>
  <c r="AA221"/>
  <c r="Z221"/>
  <c r="Y221"/>
  <c r="X221"/>
  <c r="P221"/>
  <c r="O221"/>
  <c r="N221"/>
  <c r="M221"/>
  <c r="L221"/>
  <c r="K221"/>
  <c r="J221"/>
  <c r="I221"/>
  <c r="H221"/>
  <c r="G221"/>
  <c r="F221"/>
  <c r="E221"/>
  <c r="AK220"/>
  <c r="AK222" s="1"/>
  <c r="AJ220"/>
  <c r="AJ222" s="1"/>
  <c r="R220"/>
  <c r="R222" s="1"/>
  <c r="Q220"/>
  <c r="Q222" s="1"/>
  <c r="AK219"/>
  <c r="AJ219"/>
  <c r="V219"/>
  <c r="R219"/>
  <c r="Q219"/>
  <c r="AK218"/>
  <c r="AJ218"/>
  <c r="V218"/>
  <c r="R218"/>
  <c r="Q218"/>
  <c r="AI217"/>
  <c r="AH217"/>
  <c r="AG217"/>
  <c r="AF217"/>
  <c r="AE217"/>
  <c r="AD217"/>
  <c r="AC217"/>
  <c r="AB217"/>
  <c r="AA217"/>
  <c r="Z217"/>
  <c r="Y217"/>
  <c r="X217"/>
  <c r="P217"/>
  <c r="O217"/>
  <c r="N217"/>
  <c r="M217"/>
  <c r="L217"/>
  <c r="K217"/>
  <c r="J217"/>
  <c r="I217"/>
  <c r="H217"/>
  <c r="G217"/>
  <c r="F217"/>
  <c r="E217"/>
  <c r="AI216"/>
  <c r="AH216"/>
  <c r="AG216"/>
  <c r="AF216"/>
  <c r="AE216"/>
  <c r="AD216"/>
  <c r="AC216"/>
  <c r="AB216"/>
  <c r="AA216"/>
  <c r="Z216"/>
  <c r="Y216"/>
  <c r="X216"/>
  <c r="P216"/>
  <c r="O216"/>
  <c r="N216"/>
  <c r="M216"/>
  <c r="L216"/>
  <c r="K216"/>
  <c r="J216"/>
  <c r="I216"/>
  <c r="H216"/>
  <c r="G216"/>
  <c r="F216"/>
  <c r="E216"/>
  <c r="AK215"/>
  <c r="AK217" s="1"/>
  <c r="AJ215"/>
  <c r="AJ217" s="1"/>
  <c r="R215"/>
  <c r="R217" s="1"/>
  <c r="Q215"/>
  <c r="Q216" s="1"/>
  <c r="AK214"/>
  <c r="AJ214"/>
  <c r="V214"/>
  <c r="R214"/>
  <c r="Q214"/>
  <c r="AK213"/>
  <c r="AJ213"/>
  <c r="V213"/>
  <c r="R213"/>
  <c r="Q213"/>
  <c r="AI212"/>
  <c r="AH212"/>
  <c r="AG212"/>
  <c r="AF212"/>
  <c r="AE212"/>
  <c r="AD212"/>
  <c r="AC212"/>
  <c r="AB212"/>
  <c r="AA212"/>
  <c r="Z212"/>
  <c r="Y212"/>
  <c r="X212"/>
  <c r="P212"/>
  <c r="O212"/>
  <c r="N212"/>
  <c r="M212"/>
  <c r="L212"/>
  <c r="K212"/>
  <c r="J212"/>
  <c r="I212"/>
  <c r="H212"/>
  <c r="G212"/>
  <c r="F212"/>
  <c r="E212"/>
  <c r="AI211"/>
  <c r="AH211"/>
  <c r="AG211"/>
  <c r="AF211"/>
  <c r="AE211"/>
  <c r="AD211"/>
  <c r="AC211"/>
  <c r="AB211"/>
  <c r="AA211"/>
  <c r="Z211"/>
  <c r="Y211"/>
  <c r="X211"/>
  <c r="P211"/>
  <c r="O211"/>
  <c r="N211"/>
  <c r="M211"/>
  <c r="L211"/>
  <c r="K211"/>
  <c r="J211"/>
  <c r="I211"/>
  <c r="H211"/>
  <c r="G211"/>
  <c r="F211"/>
  <c r="E211"/>
  <c r="AK210"/>
  <c r="AK212" s="1"/>
  <c r="AJ210"/>
  <c r="AJ212" s="1"/>
  <c r="R210"/>
  <c r="R212" s="1"/>
  <c r="Q210"/>
  <c r="Q212" s="1"/>
  <c r="AK209"/>
  <c r="AJ209"/>
  <c r="V209"/>
  <c r="R209"/>
  <c r="Q209"/>
  <c r="AK208"/>
  <c r="AJ208"/>
  <c r="V208"/>
  <c r="R208"/>
  <c r="Q208"/>
  <c r="AI207"/>
  <c r="AH207"/>
  <c r="AG207"/>
  <c r="AF207"/>
  <c r="AE207"/>
  <c r="AD207"/>
  <c r="AC207"/>
  <c r="AB207"/>
  <c r="AA207"/>
  <c r="Z207"/>
  <c r="Y207"/>
  <c r="X207"/>
  <c r="P207"/>
  <c r="O207"/>
  <c r="N207"/>
  <c r="M207"/>
  <c r="L207"/>
  <c r="K207"/>
  <c r="J207"/>
  <c r="I207"/>
  <c r="H207"/>
  <c r="G207"/>
  <c r="F207"/>
  <c r="E207"/>
  <c r="AI206"/>
  <c r="AH206"/>
  <c r="AG206"/>
  <c r="AF206"/>
  <c r="AE206"/>
  <c r="AD206"/>
  <c r="AC206"/>
  <c r="AB206"/>
  <c r="AA206"/>
  <c r="Z206"/>
  <c r="Y206"/>
  <c r="X206"/>
  <c r="P206"/>
  <c r="O206"/>
  <c r="N206"/>
  <c r="M206"/>
  <c r="L206"/>
  <c r="K206"/>
  <c r="J206"/>
  <c r="I206"/>
  <c r="H206"/>
  <c r="G206"/>
  <c r="F206"/>
  <c r="E206"/>
  <c r="AK205"/>
  <c r="AK207" s="1"/>
  <c r="AJ205"/>
  <c r="AJ207" s="1"/>
  <c r="R205"/>
  <c r="R207" s="1"/>
  <c r="Q205"/>
  <c r="Q207" s="1"/>
  <c r="AK204"/>
  <c r="AJ204"/>
  <c r="V204"/>
  <c r="R204"/>
  <c r="Q204"/>
  <c r="AK203"/>
  <c r="AJ203"/>
  <c r="V203"/>
  <c r="R203"/>
  <c r="Q203"/>
  <c r="AI202"/>
  <c r="AH202"/>
  <c r="AG202"/>
  <c r="AF202"/>
  <c r="AE202"/>
  <c r="AD202"/>
  <c r="AC202"/>
  <c r="AB202"/>
  <c r="AA202"/>
  <c r="Z202"/>
  <c r="Y202"/>
  <c r="X202"/>
  <c r="P202"/>
  <c r="O202"/>
  <c r="N202"/>
  <c r="M202"/>
  <c r="L202"/>
  <c r="K202"/>
  <c r="J202"/>
  <c r="I202"/>
  <c r="H202"/>
  <c r="G202"/>
  <c r="F202"/>
  <c r="E202"/>
  <c r="AI201"/>
  <c r="AH201"/>
  <c r="AG201"/>
  <c r="AF201"/>
  <c r="AE201"/>
  <c r="AD201"/>
  <c r="AC201"/>
  <c r="AB201"/>
  <c r="AA201"/>
  <c r="Z201"/>
  <c r="Y201"/>
  <c r="X201"/>
  <c r="P201"/>
  <c r="O201"/>
  <c r="N201"/>
  <c r="M201"/>
  <c r="L201"/>
  <c r="K201"/>
  <c r="J201"/>
  <c r="I201"/>
  <c r="H201"/>
  <c r="G201"/>
  <c r="F201"/>
  <c r="E201"/>
  <c r="AK200"/>
  <c r="AK202" s="1"/>
  <c r="AJ200"/>
  <c r="AJ202" s="1"/>
  <c r="R200"/>
  <c r="R202" s="1"/>
  <c r="Q200"/>
  <c r="Q202" s="1"/>
  <c r="AK199"/>
  <c r="AJ199"/>
  <c r="V199"/>
  <c r="R199"/>
  <c r="Q199"/>
  <c r="AK198"/>
  <c r="AJ198"/>
  <c r="V198"/>
  <c r="R198"/>
  <c r="Q198"/>
  <c r="AI197"/>
  <c r="AH197"/>
  <c r="AG197"/>
  <c r="AF197"/>
  <c r="AE197"/>
  <c r="AD197"/>
  <c r="AC197"/>
  <c r="AB197"/>
  <c r="AA197"/>
  <c r="Z197"/>
  <c r="Y197"/>
  <c r="X197"/>
  <c r="P197"/>
  <c r="O197"/>
  <c r="N197"/>
  <c r="M197"/>
  <c r="L197"/>
  <c r="K197"/>
  <c r="J197"/>
  <c r="I197"/>
  <c r="H197"/>
  <c r="G197"/>
  <c r="F197"/>
  <c r="E197"/>
  <c r="AI196"/>
  <c r="AH196"/>
  <c r="AG196"/>
  <c r="AF196"/>
  <c r="AE196"/>
  <c r="AD196"/>
  <c r="AC196"/>
  <c r="AB196"/>
  <c r="AA196"/>
  <c r="Z196"/>
  <c r="Y196"/>
  <c r="X196"/>
  <c r="P196"/>
  <c r="O196"/>
  <c r="N196"/>
  <c r="M196"/>
  <c r="L196"/>
  <c r="K196"/>
  <c r="J196"/>
  <c r="I196"/>
  <c r="H196"/>
  <c r="G196"/>
  <c r="F196"/>
  <c r="E196"/>
  <c r="AK195"/>
  <c r="AK197" s="1"/>
  <c r="AJ195"/>
  <c r="AJ197" s="1"/>
  <c r="R195"/>
  <c r="R197" s="1"/>
  <c r="Q195"/>
  <c r="Q197" s="1"/>
  <c r="AK194"/>
  <c r="AJ194"/>
  <c r="V194"/>
  <c r="R194"/>
  <c r="Q194"/>
  <c r="AK193"/>
  <c r="AJ193"/>
  <c r="V193"/>
  <c r="R193"/>
  <c r="Q193"/>
  <c r="AI192"/>
  <c r="AH192"/>
  <c r="AG192"/>
  <c r="AF192"/>
  <c r="AE192"/>
  <c r="AD192"/>
  <c r="AC192"/>
  <c r="AB192"/>
  <c r="AA192"/>
  <c r="Z192"/>
  <c r="Y192"/>
  <c r="X192"/>
  <c r="P192"/>
  <c r="O192"/>
  <c r="N192"/>
  <c r="M192"/>
  <c r="L192"/>
  <c r="K192"/>
  <c r="J192"/>
  <c r="I192"/>
  <c r="H192"/>
  <c r="G192"/>
  <c r="F192"/>
  <c r="E192"/>
  <c r="AI191"/>
  <c r="AH191"/>
  <c r="AG191"/>
  <c r="AF191"/>
  <c r="AE191"/>
  <c r="AD191"/>
  <c r="AC191"/>
  <c r="AB191"/>
  <c r="AA191"/>
  <c r="Z191"/>
  <c r="Y191"/>
  <c r="X191"/>
  <c r="P191"/>
  <c r="O191"/>
  <c r="N191"/>
  <c r="M191"/>
  <c r="L191"/>
  <c r="K191"/>
  <c r="J191"/>
  <c r="I191"/>
  <c r="H191"/>
  <c r="G191"/>
  <c r="F191"/>
  <c r="E191"/>
  <c r="AK190"/>
  <c r="AK192" s="1"/>
  <c r="AJ190"/>
  <c r="AJ192" s="1"/>
  <c r="R190"/>
  <c r="R192" s="1"/>
  <c r="Q190"/>
  <c r="Q192" s="1"/>
  <c r="AK189"/>
  <c r="AJ189"/>
  <c r="V189"/>
  <c r="R189"/>
  <c r="Q189"/>
  <c r="AK188"/>
  <c r="AJ188"/>
  <c r="V188"/>
  <c r="R188"/>
  <c r="Q188"/>
  <c r="AI187"/>
  <c r="AH187"/>
  <c r="AG187"/>
  <c r="AF187"/>
  <c r="AE187"/>
  <c r="AD187"/>
  <c r="AC187"/>
  <c r="AB187"/>
  <c r="AA187"/>
  <c r="Z187"/>
  <c r="Y187"/>
  <c r="X187"/>
  <c r="P187"/>
  <c r="O187"/>
  <c r="N187"/>
  <c r="M187"/>
  <c r="L187"/>
  <c r="K187"/>
  <c r="J187"/>
  <c r="I187"/>
  <c r="H187"/>
  <c r="G187"/>
  <c r="F187"/>
  <c r="E187"/>
  <c r="AI186"/>
  <c r="AH186"/>
  <c r="AG186"/>
  <c r="AF186"/>
  <c r="AE186"/>
  <c r="AD186"/>
  <c r="AC186"/>
  <c r="AB186"/>
  <c r="AA186"/>
  <c r="Z186"/>
  <c r="Y186"/>
  <c r="X186"/>
  <c r="P186"/>
  <c r="O186"/>
  <c r="N186"/>
  <c r="M186"/>
  <c r="L186"/>
  <c r="K186"/>
  <c r="J186"/>
  <c r="I186"/>
  <c r="H186"/>
  <c r="G186"/>
  <c r="F186"/>
  <c r="E186"/>
  <c r="AK185"/>
  <c r="AK187" s="1"/>
  <c r="AJ185"/>
  <c r="AJ187" s="1"/>
  <c r="R185"/>
  <c r="R187" s="1"/>
  <c r="Q185"/>
  <c r="Q187" s="1"/>
  <c r="AK184"/>
  <c r="AJ184"/>
  <c r="V184"/>
  <c r="R184"/>
  <c r="Q184"/>
  <c r="AK183"/>
  <c r="AJ183"/>
  <c r="V183"/>
  <c r="R183"/>
  <c r="Q183"/>
  <c r="AI182"/>
  <c r="AH182"/>
  <c r="AG182"/>
  <c r="AF182"/>
  <c r="AE182"/>
  <c r="AD182"/>
  <c r="AC182"/>
  <c r="AB182"/>
  <c r="AA182"/>
  <c r="Z182"/>
  <c r="Y182"/>
  <c r="X182"/>
  <c r="P182"/>
  <c r="O182"/>
  <c r="N182"/>
  <c r="M182"/>
  <c r="L182"/>
  <c r="K182"/>
  <c r="J182"/>
  <c r="I182"/>
  <c r="H182"/>
  <c r="G182"/>
  <c r="F182"/>
  <c r="E182"/>
  <c r="AI181"/>
  <c r="AH181"/>
  <c r="AG181"/>
  <c r="AF181"/>
  <c r="AE181"/>
  <c r="AD181"/>
  <c r="AC181"/>
  <c r="AB181"/>
  <c r="AA181"/>
  <c r="Z181"/>
  <c r="Y181"/>
  <c r="X181"/>
  <c r="P181"/>
  <c r="O181"/>
  <c r="N181"/>
  <c r="M181"/>
  <c r="L181"/>
  <c r="K181"/>
  <c r="J181"/>
  <c r="I181"/>
  <c r="H181"/>
  <c r="G181"/>
  <c r="F181"/>
  <c r="E181"/>
  <c r="AK180"/>
  <c r="AK182" s="1"/>
  <c r="AJ180"/>
  <c r="AJ182" s="1"/>
  <c r="R180"/>
  <c r="R182" s="1"/>
  <c r="Q180"/>
  <c r="Q182" s="1"/>
  <c r="AK179"/>
  <c r="AJ179"/>
  <c r="V179"/>
  <c r="R179"/>
  <c r="Q179"/>
  <c r="AK178"/>
  <c r="AJ178"/>
  <c r="V178"/>
  <c r="R178"/>
  <c r="Q178"/>
  <c r="AI177"/>
  <c r="AH177"/>
  <c r="AG177"/>
  <c r="AF177"/>
  <c r="AE177"/>
  <c r="AD177"/>
  <c r="AC177"/>
  <c r="AB177"/>
  <c r="AA177"/>
  <c r="Z177"/>
  <c r="Y177"/>
  <c r="X177"/>
  <c r="P177"/>
  <c r="O177"/>
  <c r="N177"/>
  <c r="M177"/>
  <c r="L177"/>
  <c r="K177"/>
  <c r="J177"/>
  <c r="I177"/>
  <c r="H177"/>
  <c r="G177"/>
  <c r="F177"/>
  <c r="E177"/>
  <c r="AI176"/>
  <c r="AH176"/>
  <c r="AG176"/>
  <c r="AF176"/>
  <c r="AE176"/>
  <c r="AD176"/>
  <c r="AC176"/>
  <c r="AB176"/>
  <c r="AA176"/>
  <c r="Z176"/>
  <c r="Y176"/>
  <c r="X176"/>
  <c r="P176"/>
  <c r="O176"/>
  <c r="N176"/>
  <c r="M176"/>
  <c r="L176"/>
  <c r="K176"/>
  <c r="J176"/>
  <c r="I176"/>
  <c r="H176"/>
  <c r="G176"/>
  <c r="F176"/>
  <c r="E176"/>
  <c r="AK175"/>
  <c r="AK177" s="1"/>
  <c r="AJ175"/>
  <c r="AJ177" s="1"/>
  <c r="R175"/>
  <c r="R177" s="1"/>
  <c r="Q175"/>
  <c r="Q177" s="1"/>
  <c r="AK174"/>
  <c r="AJ174"/>
  <c r="V174"/>
  <c r="R174"/>
  <c r="Q174"/>
  <c r="AK173"/>
  <c r="AJ173"/>
  <c r="V173"/>
  <c r="R173"/>
  <c r="Q173"/>
  <c r="AI172"/>
  <c r="AH172"/>
  <c r="AG172"/>
  <c r="AF172"/>
  <c r="AE172"/>
  <c r="AD172"/>
  <c r="AC172"/>
  <c r="AB172"/>
  <c r="AA172"/>
  <c r="Z172"/>
  <c r="Y172"/>
  <c r="X172"/>
  <c r="P172"/>
  <c r="O172"/>
  <c r="N172"/>
  <c r="M172"/>
  <c r="L172"/>
  <c r="K172"/>
  <c r="J172"/>
  <c r="I172"/>
  <c r="H172"/>
  <c r="G172"/>
  <c r="F172"/>
  <c r="E172"/>
  <c r="AI171"/>
  <c r="AH171"/>
  <c r="AG171"/>
  <c r="AF171"/>
  <c r="AE171"/>
  <c r="AD171"/>
  <c r="AC171"/>
  <c r="AB171"/>
  <c r="AA171"/>
  <c r="Z171"/>
  <c r="Y171"/>
  <c r="X171"/>
  <c r="P171"/>
  <c r="O171"/>
  <c r="N171"/>
  <c r="M171"/>
  <c r="L171"/>
  <c r="K171"/>
  <c r="J171"/>
  <c r="I171"/>
  <c r="H171"/>
  <c r="G171"/>
  <c r="F171"/>
  <c r="E171"/>
  <c r="AK170"/>
  <c r="AK172" s="1"/>
  <c r="AJ170"/>
  <c r="AJ172" s="1"/>
  <c r="R170"/>
  <c r="R172" s="1"/>
  <c r="Q170"/>
  <c r="Q172" s="1"/>
  <c r="AK169"/>
  <c r="AJ169"/>
  <c r="V169"/>
  <c r="R169"/>
  <c r="Q169"/>
  <c r="AK168"/>
  <c r="AJ168"/>
  <c r="V168"/>
  <c r="R168"/>
  <c r="Q168"/>
  <c r="AI167"/>
  <c r="AH167"/>
  <c r="AG167"/>
  <c r="AF167"/>
  <c r="AE167"/>
  <c r="AD167"/>
  <c r="AC167"/>
  <c r="AB167"/>
  <c r="AA167"/>
  <c r="Z167"/>
  <c r="Y167"/>
  <c r="X167"/>
  <c r="P167"/>
  <c r="O167"/>
  <c r="N167"/>
  <c r="M167"/>
  <c r="L167"/>
  <c r="K167"/>
  <c r="J167"/>
  <c r="I167"/>
  <c r="H167"/>
  <c r="G167"/>
  <c r="F167"/>
  <c r="E167"/>
  <c r="AI166"/>
  <c r="AH166"/>
  <c r="AG166"/>
  <c r="AF166"/>
  <c r="AE166"/>
  <c r="AD166"/>
  <c r="AC166"/>
  <c r="AB166"/>
  <c r="AA166"/>
  <c r="Z166"/>
  <c r="Y166"/>
  <c r="X166"/>
  <c r="P166"/>
  <c r="O166"/>
  <c r="N166"/>
  <c r="M166"/>
  <c r="L166"/>
  <c r="K166"/>
  <c r="J166"/>
  <c r="I166"/>
  <c r="H166"/>
  <c r="G166"/>
  <c r="F166"/>
  <c r="E166"/>
  <c r="AK165"/>
  <c r="AK167" s="1"/>
  <c r="AJ165"/>
  <c r="AJ167" s="1"/>
  <c r="R165"/>
  <c r="R167" s="1"/>
  <c r="Q165"/>
  <c r="Q167" s="1"/>
  <c r="AK164"/>
  <c r="AJ164"/>
  <c r="V164"/>
  <c r="R164"/>
  <c r="Q164"/>
  <c r="AK163"/>
  <c r="AJ163"/>
  <c r="V163"/>
  <c r="R163"/>
  <c r="Q163"/>
  <c r="AI162"/>
  <c r="AH162"/>
  <c r="AG162"/>
  <c r="AF162"/>
  <c r="AE162"/>
  <c r="AD162"/>
  <c r="AC162"/>
  <c r="AB162"/>
  <c r="AA162"/>
  <c r="Z162"/>
  <c r="Y162"/>
  <c r="X162"/>
  <c r="P162"/>
  <c r="O162"/>
  <c r="N162"/>
  <c r="M162"/>
  <c r="L162"/>
  <c r="K162"/>
  <c r="J162"/>
  <c r="I162"/>
  <c r="H162"/>
  <c r="G162"/>
  <c r="F162"/>
  <c r="E162"/>
  <c r="AI161"/>
  <c r="AH161"/>
  <c r="AG161"/>
  <c r="AF161"/>
  <c r="AE161"/>
  <c r="AD161"/>
  <c r="AC161"/>
  <c r="AB161"/>
  <c r="AA161"/>
  <c r="Z161"/>
  <c r="Y161"/>
  <c r="X161"/>
  <c r="P161"/>
  <c r="O161"/>
  <c r="N161"/>
  <c r="M161"/>
  <c r="L161"/>
  <c r="K161"/>
  <c r="J161"/>
  <c r="I161"/>
  <c r="H161"/>
  <c r="G161"/>
  <c r="F161"/>
  <c r="E161"/>
  <c r="AK160"/>
  <c r="AK162" s="1"/>
  <c r="AJ160"/>
  <c r="AJ162" s="1"/>
  <c r="R160"/>
  <c r="R162" s="1"/>
  <c r="Q160"/>
  <c r="Q162" s="1"/>
  <c r="AK159"/>
  <c r="AJ159"/>
  <c r="V159"/>
  <c r="R159"/>
  <c r="Q159"/>
  <c r="AK158"/>
  <c r="AJ158"/>
  <c r="V158"/>
  <c r="R158"/>
  <c r="Q158"/>
  <c r="AI157"/>
  <c r="AH157"/>
  <c r="AG157"/>
  <c r="AF157"/>
  <c r="AE157"/>
  <c r="AD157"/>
  <c r="AC157"/>
  <c r="AB157"/>
  <c r="AA157"/>
  <c r="Z157"/>
  <c r="Y157"/>
  <c r="X157"/>
  <c r="P157"/>
  <c r="O157"/>
  <c r="N157"/>
  <c r="M157"/>
  <c r="L157"/>
  <c r="K157"/>
  <c r="J157"/>
  <c r="I157"/>
  <c r="H157"/>
  <c r="G157"/>
  <c r="F157"/>
  <c r="E157"/>
  <c r="AI156"/>
  <c r="AH156"/>
  <c r="AG156"/>
  <c r="AF156"/>
  <c r="AE156"/>
  <c r="AD156"/>
  <c r="AC156"/>
  <c r="AB156"/>
  <c r="AA156"/>
  <c r="Z156"/>
  <c r="Y156"/>
  <c r="X156"/>
  <c r="P156"/>
  <c r="O156"/>
  <c r="N156"/>
  <c r="M156"/>
  <c r="L156"/>
  <c r="K156"/>
  <c r="J156"/>
  <c r="I156"/>
  <c r="H156"/>
  <c r="G156"/>
  <c r="F156"/>
  <c r="E156"/>
  <c r="AK155"/>
  <c r="AK157" s="1"/>
  <c r="AJ155"/>
  <c r="AJ157" s="1"/>
  <c r="R155"/>
  <c r="R157" s="1"/>
  <c r="Q155"/>
  <c r="Q156" s="1"/>
  <c r="AK154"/>
  <c r="AJ154"/>
  <c r="V154"/>
  <c r="R154"/>
  <c r="Q154"/>
  <c r="AK153"/>
  <c r="AJ153"/>
  <c r="V153"/>
  <c r="R153"/>
  <c r="Q153"/>
  <c r="AI150"/>
  <c r="AI152" s="1"/>
  <c r="AH150"/>
  <c r="AH152" s="1"/>
  <c r="AG150"/>
  <c r="AG152" s="1"/>
  <c r="AF150"/>
  <c r="AF152" s="1"/>
  <c r="AE150"/>
  <c r="AE152" s="1"/>
  <c r="AD150"/>
  <c r="AD152" s="1"/>
  <c r="AC150"/>
  <c r="AC152" s="1"/>
  <c r="AB150"/>
  <c r="AB151" s="1"/>
  <c r="AA150"/>
  <c r="AA152" s="1"/>
  <c r="Z150"/>
  <c r="Z152" s="1"/>
  <c r="Y150"/>
  <c r="Y152" s="1"/>
  <c r="X150"/>
  <c r="X152" s="1"/>
  <c r="P150"/>
  <c r="P152" s="1"/>
  <c r="O150"/>
  <c r="O152" s="1"/>
  <c r="N150"/>
  <c r="N152" s="1"/>
  <c r="M150"/>
  <c r="M152" s="1"/>
  <c r="L150"/>
  <c r="L152" s="1"/>
  <c r="K150"/>
  <c r="K152" s="1"/>
  <c r="J150"/>
  <c r="J152" s="1"/>
  <c r="I150"/>
  <c r="I152" s="1"/>
  <c r="H150"/>
  <c r="H152" s="1"/>
  <c r="G150"/>
  <c r="G152" s="1"/>
  <c r="F150"/>
  <c r="F152" s="1"/>
  <c r="E150"/>
  <c r="E152" s="1"/>
  <c r="AI149"/>
  <c r="AH149"/>
  <c r="AG149"/>
  <c r="AF149"/>
  <c r="AE149"/>
  <c r="AD149"/>
  <c r="AC149"/>
  <c r="AB149"/>
  <c r="AA149"/>
  <c r="Z149"/>
  <c r="Y149"/>
  <c r="X149"/>
  <c r="AJ149" s="1"/>
  <c r="P149"/>
  <c r="O149"/>
  <c r="N149"/>
  <c r="M149"/>
  <c r="L149"/>
  <c r="K149"/>
  <c r="J149"/>
  <c r="I149"/>
  <c r="H149"/>
  <c r="G149"/>
  <c r="F149"/>
  <c r="R149" s="1"/>
  <c r="E149"/>
  <c r="Q149" s="1"/>
  <c r="AI148"/>
  <c r="AH148"/>
  <c r="AG148"/>
  <c r="AF148"/>
  <c r="AE148"/>
  <c r="AD148"/>
  <c r="AC148"/>
  <c r="AB148"/>
  <c r="AA148"/>
  <c r="Z148"/>
  <c r="Y148"/>
  <c r="X148"/>
  <c r="AK148" s="1"/>
  <c r="P148"/>
  <c r="O148"/>
  <c r="N148"/>
  <c r="M148"/>
  <c r="L148"/>
  <c r="K148"/>
  <c r="J148"/>
  <c r="I148"/>
  <c r="H148"/>
  <c r="G148"/>
  <c r="F148"/>
  <c r="R148" s="1"/>
  <c r="E148"/>
  <c r="Q148" s="1"/>
  <c r="AI147"/>
  <c r="AH147"/>
  <c r="AG147"/>
  <c r="AF147"/>
  <c r="AE147"/>
  <c r="AD147"/>
  <c r="AC147"/>
  <c r="AB147"/>
  <c r="AA147"/>
  <c r="Z147"/>
  <c r="Y147"/>
  <c r="X147"/>
  <c r="P147"/>
  <c r="O147"/>
  <c r="N147"/>
  <c r="M147"/>
  <c r="L147"/>
  <c r="K147"/>
  <c r="J147"/>
  <c r="I147"/>
  <c r="H147"/>
  <c r="G147"/>
  <c r="F147"/>
  <c r="E147"/>
  <c r="AI146"/>
  <c r="AH146"/>
  <c r="AG146"/>
  <c r="AF146"/>
  <c r="AE146"/>
  <c r="AD146"/>
  <c r="AC146"/>
  <c r="AB146"/>
  <c r="AA146"/>
  <c r="Z146"/>
  <c r="Y146"/>
  <c r="X146"/>
  <c r="P146"/>
  <c r="O146"/>
  <c r="N146"/>
  <c r="M146"/>
  <c r="L146"/>
  <c r="K146"/>
  <c r="J146"/>
  <c r="I146"/>
  <c r="H146"/>
  <c r="G146"/>
  <c r="F146"/>
  <c r="E146"/>
  <c r="AK145"/>
  <c r="AK147" s="1"/>
  <c r="AJ145"/>
  <c r="AJ146" s="1"/>
  <c r="R145"/>
  <c r="R147" s="1"/>
  <c r="Q145"/>
  <c r="Q147" s="1"/>
  <c r="AK144"/>
  <c r="AJ144"/>
  <c r="V144"/>
  <c r="R144"/>
  <c r="Q144"/>
  <c r="AK143"/>
  <c r="AJ143"/>
  <c r="V143"/>
  <c r="R143"/>
  <c r="Q143"/>
  <c r="AI142"/>
  <c r="AH142"/>
  <c r="AG142"/>
  <c r="AF142"/>
  <c r="AE142"/>
  <c r="AD142"/>
  <c r="AC142"/>
  <c r="AB142"/>
  <c r="AA142"/>
  <c r="Z142"/>
  <c r="Y142"/>
  <c r="X142"/>
  <c r="P142"/>
  <c r="O142"/>
  <c r="N142"/>
  <c r="M142"/>
  <c r="L142"/>
  <c r="K142"/>
  <c r="J142"/>
  <c r="I142"/>
  <c r="H142"/>
  <c r="G142"/>
  <c r="F142"/>
  <c r="E142"/>
  <c r="AI141"/>
  <c r="AH141"/>
  <c r="AG141"/>
  <c r="AF141"/>
  <c r="AE141"/>
  <c r="AD141"/>
  <c r="AC141"/>
  <c r="AB141"/>
  <c r="AA141"/>
  <c r="Z141"/>
  <c r="Y141"/>
  <c r="X141"/>
  <c r="P141"/>
  <c r="O141"/>
  <c r="N141"/>
  <c r="M141"/>
  <c r="L141"/>
  <c r="K141"/>
  <c r="J141"/>
  <c r="I141"/>
  <c r="H141"/>
  <c r="G141"/>
  <c r="F141"/>
  <c r="E141"/>
  <c r="AK140"/>
  <c r="AK142" s="1"/>
  <c r="AJ140"/>
  <c r="AJ142" s="1"/>
  <c r="R140"/>
  <c r="R142" s="1"/>
  <c r="Q140"/>
  <c r="Q142" s="1"/>
  <c r="AK139"/>
  <c r="AJ139"/>
  <c r="V139"/>
  <c r="R139"/>
  <c r="Q139"/>
  <c r="AK138"/>
  <c r="AJ138"/>
  <c r="V138"/>
  <c r="R138"/>
  <c r="Q138"/>
  <c r="AI137"/>
  <c r="AH137"/>
  <c r="AG137"/>
  <c r="AF137"/>
  <c r="AE137"/>
  <c r="AD137"/>
  <c r="AC137"/>
  <c r="AB137"/>
  <c r="AA137"/>
  <c r="Z137"/>
  <c r="Y137"/>
  <c r="X137"/>
  <c r="P137"/>
  <c r="O137"/>
  <c r="N137"/>
  <c r="M137"/>
  <c r="L137"/>
  <c r="K137"/>
  <c r="J137"/>
  <c r="I137"/>
  <c r="H137"/>
  <c r="G137"/>
  <c r="F137"/>
  <c r="E137"/>
  <c r="AI136"/>
  <c r="AH136"/>
  <c r="AG136"/>
  <c r="AF136"/>
  <c r="AE136"/>
  <c r="AD136"/>
  <c r="AC136"/>
  <c r="AB136"/>
  <c r="AA136"/>
  <c r="Z136"/>
  <c r="Y136"/>
  <c r="X136"/>
  <c r="P136"/>
  <c r="O136"/>
  <c r="N136"/>
  <c r="M136"/>
  <c r="L136"/>
  <c r="K136"/>
  <c r="J136"/>
  <c r="I136"/>
  <c r="H136"/>
  <c r="G136"/>
  <c r="F136"/>
  <c r="E136"/>
  <c r="AK135"/>
  <c r="AK137" s="1"/>
  <c r="AJ135"/>
  <c r="AJ136" s="1"/>
  <c r="R135"/>
  <c r="R137" s="1"/>
  <c r="Q135"/>
  <c r="Q137" s="1"/>
  <c r="AK134"/>
  <c r="AJ134"/>
  <c r="V134"/>
  <c r="R134"/>
  <c r="Q134"/>
  <c r="AK133"/>
  <c r="AJ133"/>
  <c r="V133"/>
  <c r="R133"/>
  <c r="Q133"/>
  <c r="AI132"/>
  <c r="AH132"/>
  <c r="AG132"/>
  <c r="AF132"/>
  <c r="AE132"/>
  <c r="AD132"/>
  <c r="AC132"/>
  <c r="AB132"/>
  <c r="AA132"/>
  <c r="Z132"/>
  <c r="Y132"/>
  <c r="X132"/>
  <c r="P132"/>
  <c r="O132"/>
  <c r="N132"/>
  <c r="M132"/>
  <c r="L132"/>
  <c r="K132"/>
  <c r="J132"/>
  <c r="I132"/>
  <c r="H132"/>
  <c r="G132"/>
  <c r="F132"/>
  <c r="E132"/>
  <c r="AI131"/>
  <c r="AH131"/>
  <c r="AG131"/>
  <c r="AF131"/>
  <c r="AE131"/>
  <c r="AD131"/>
  <c r="AC131"/>
  <c r="AB131"/>
  <c r="AA131"/>
  <c r="Z131"/>
  <c r="Y131"/>
  <c r="X131"/>
  <c r="P131"/>
  <c r="O131"/>
  <c r="N131"/>
  <c r="M131"/>
  <c r="L131"/>
  <c r="K131"/>
  <c r="J131"/>
  <c r="I131"/>
  <c r="H131"/>
  <c r="G131"/>
  <c r="F131"/>
  <c r="E131"/>
  <c r="AK130"/>
  <c r="AK132" s="1"/>
  <c r="AJ130"/>
  <c r="AJ132" s="1"/>
  <c r="R130"/>
  <c r="R132" s="1"/>
  <c r="Q130"/>
  <c r="Q131" s="1"/>
  <c r="AK129"/>
  <c r="AJ129"/>
  <c r="V129"/>
  <c r="R129"/>
  <c r="Q129"/>
  <c r="AK128"/>
  <c r="AJ128"/>
  <c r="V128"/>
  <c r="R128"/>
  <c r="Q128"/>
  <c r="AI127"/>
  <c r="AH127"/>
  <c r="AG127"/>
  <c r="AF127"/>
  <c r="AE127"/>
  <c r="AD127"/>
  <c r="AC127"/>
  <c r="AB127"/>
  <c r="AA127"/>
  <c r="Z127"/>
  <c r="Y127"/>
  <c r="X127"/>
  <c r="P127"/>
  <c r="O127"/>
  <c r="N127"/>
  <c r="M127"/>
  <c r="L127"/>
  <c r="K127"/>
  <c r="J127"/>
  <c r="I127"/>
  <c r="H127"/>
  <c r="G127"/>
  <c r="F127"/>
  <c r="E127"/>
  <c r="AI126"/>
  <c r="AH126"/>
  <c r="AG126"/>
  <c r="AF126"/>
  <c r="AE126"/>
  <c r="AD126"/>
  <c r="AC126"/>
  <c r="AB126"/>
  <c r="AA126"/>
  <c r="Z126"/>
  <c r="Y126"/>
  <c r="X126"/>
  <c r="P126"/>
  <c r="O126"/>
  <c r="N126"/>
  <c r="M126"/>
  <c r="L126"/>
  <c r="K126"/>
  <c r="J126"/>
  <c r="I126"/>
  <c r="H126"/>
  <c r="G126"/>
  <c r="F126"/>
  <c r="E126"/>
  <c r="AK125"/>
  <c r="AK127" s="1"/>
  <c r="AJ125"/>
  <c r="AJ126" s="1"/>
  <c r="R125"/>
  <c r="R127" s="1"/>
  <c r="Q125"/>
  <c r="Q127" s="1"/>
  <c r="AK124"/>
  <c r="AJ124"/>
  <c r="V124"/>
  <c r="R124"/>
  <c r="Q124"/>
  <c r="AK123"/>
  <c r="AJ123"/>
  <c r="V123"/>
  <c r="R123"/>
  <c r="Q123"/>
  <c r="AI122"/>
  <c r="AH122"/>
  <c r="AG122"/>
  <c r="AF122"/>
  <c r="AE122"/>
  <c r="AD122"/>
  <c r="AC122"/>
  <c r="AB122"/>
  <c r="AA122"/>
  <c r="Z122"/>
  <c r="Y122"/>
  <c r="X122"/>
  <c r="P122"/>
  <c r="O122"/>
  <c r="N122"/>
  <c r="M122"/>
  <c r="L122"/>
  <c r="K122"/>
  <c r="J122"/>
  <c r="I122"/>
  <c r="H122"/>
  <c r="G122"/>
  <c r="F122"/>
  <c r="E122"/>
  <c r="AI121"/>
  <c r="AH121"/>
  <c r="AG121"/>
  <c r="AF121"/>
  <c r="AE121"/>
  <c r="AD121"/>
  <c r="AC121"/>
  <c r="AB121"/>
  <c r="AA121"/>
  <c r="Z121"/>
  <c r="Y121"/>
  <c r="X121"/>
  <c r="P121"/>
  <c r="O121"/>
  <c r="N121"/>
  <c r="M121"/>
  <c r="L121"/>
  <c r="K121"/>
  <c r="J121"/>
  <c r="I121"/>
  <c r="H121"/>
  <c r="G121"/>
  <c r="F121"/>
  <c r="E121"/>
  <c r="AK120"/>
  <c r="AK122" s="1"/>
  <c r="AJ120"/>
  <c r="AJ122" s="1"/>
  <c r="R120"/>
  <c r="R122" s="1"/>
  <c r="Q120"/>
  <c r="Q122" s="1"/>
  <c r="AK119"/>
  <c r="AJ119"/>
  <c r="V119"/>
  <c r="R119"/>
  <c r="Q119"/>
  <c r="AK118"/>
  <c r="AJ118"/>
  <c r="V118"/>
  <c r="R118"/>
  <c r="Q118"/>
  <c r="AI117"/>
  <c r="AH117"/>
  <c r="AG117"/>
  <c r="AF117"/>
  <c r="AE117"/>
  <c r="AD117"/>
  <c r="AC117"/>
  <c r="AB117"/>
  <c r="AA117"/>
  <c r="Z117"/>
  <c r="Y117"/>
  <c r="X117"/>
  <c r="P117"/>
  <c r="O117"/>
  <c r="N117"/>
  <c r="M117"/>
  <c r="L117"/>
  <c r="K117"/>
  <c r="J117"/>
  <c r="I117"/>
  <c r="H117"/>
  <c r="G117"/>
  <c r="F117"/>
  <c r="E117"/>
  <c r="AI116"/>
  <c r="AH116"/>
  <c r="AG116"/>
  <c r="AF116"/>
  <c r="AE116"/>
  <c r="AD116"/>
  <c r="AC116"/>
  <c r="AB116"/>
  <c r="AA116"/>
  <c r="Z116"/>
  <c r="Y116"/>
  <c r="X116"/>
  <c r="P116"/>
  <c r="O116"/>
  <c r="N116"/>
  <c r="M116"/>
  <c r="L116"/>
  <c r="K116"/>
  <c r="J116"/>
  <c r="I116"/>
  <c r="H116"/>
  <c r="G116"/>
  <c r="F116"/>
  <c r="E116"/>
  <c r="AK115"/>
  <c r="AK117" s="1"/>
  <c r="AJ115"/>
  <c r="AJ116" s="1"/>
  <c r="R115"/>
  <c r="R117" s="1"/>
  <c r="Q115"/>
  <c r="Q117" s="1"/>
  <c r="AK114"/>
  <c r="AJ114"/>
  <c r="V114"/>
  <c r="R114"/>
  <c r="Q114"/>
  <c r="AK113"/>
  <c r="AJ113"/>
  <c r="V113"/>
  <c r="R113"/>
  <c r="Q113"/>
  <c r="AI112"/>
  <c r="AH112"/>
  <c r="AG112"/>
  <c r="AF112"/>
  <c r="AE112"/>
  <c r="AD112"/>
  <c r="AC112"/>
  <c r="AB112"/>
  <c r="AA112"/>
  <c r="Z112"/>
  <c r="Y112"/>
  <c r="X112"/>
  <c r="P112"/>
  <c r="O112"/>
  <c r="N112"/>
  <c r="M112"/>
  <c r="L112"/>
  <c r="K112"/>
  <c r="J112"/>
  <c r="I112"/>
  <c r="H112"/>
  <c r="G112"/>
  <c r="F112"/>
  <c r="E112"/>
  <c r="AI111"/>
  <c r="AH111"/>
  <c r="AG111"/>
  <c r="AF111"/>
  <c r="AE111"/>
  <c r="AD111"/>
  <c r="AC111"/>
  <c r="AB111"/>
  <c r="AA111"/>
  <c r="Z111"/>
  <c r="Y111"/>
  <c r="X111"/>
  <c r="P111"/>
  <c r="O111"/>
  <c r="N111"/>
  <c r="M111"/>
  <c r="L111"/>
  <c r="K111"/>
  <c r="J111"/>
  <c r="I111"/>
  <c r="H111"/>
  <c r="G111"/>
  <c r="F111"/>
  <c r="E111"/>
  <c r="AK110"/>
  <c r="AK112" s="1"/>
  <c r="AJ110"/>
  <c r="AJ112" s="1"/>
  <c r="R110"/>
  <c r="R112" s="1"/>
  <c r="Q110"/>
  <c r="Q112" s="1"/>
  <c r="AK109"/>
  <c r="AJ109"/>
  <c r="V109"/>
  <c r="R109"/>
  <c r="Q109"/>
  <c r="AK108"/>
  <c r="AJ108"/>
  <c r="V108"/>
  <c r="R108"/>
  <c r="Q108"/>
  <c r="AI107"/>
  <c r="AH107"/>
  <c r="AG107"/>
  <c r="AF107"/>
  <c r="AE107"/>
  <c r="AD107"/>
  <c r="AC107"/>
  <c r="AB107"/>
  <c r="AA107"/>
  <c r="Z107"/>
  <c r="Y107"/>
  <c r="X107"/>
  <c r="P107"/>
  <c r="O107"/>
  <c r="N107"/>
  <c r="M107"/>
  <c r="L107"/>
  <c r="K107"/>
  <c r="J107"/>
  <c r="I107"/>
  <c r="H107"/>
  <c r="G107"/>
  <c r="F107"/>
  <c r="E107"/>
  <c r="AI106"/>
  <c r="AH106"/>
  <c r="AG106"/>
  <c r="AF106"/>
  <c r="AE106"/>
  <c r="AD106"/>
  <c r="AC106"/>
  <c r="AB106"/>
  <c r="AA106"/>
  <c r="Z106"/>
  <c r="Y106"/>
  <c r="X106"/>
  <c r="P106"/>
  <c r="O106"/>
  <c r="N106"/>
  <c r="M106"/>
  <c r="L106"/>
  <c r="K106"/>
  <c r="J106"/>
  <c r="I106"/>
  <c r="H106"/>
  <c r="G106"/>
  <c r="F106"/>
  <c r="E106"/>
  <c r="AK105"/>
  <c r="AK107" s="1"/>
  <c r="AJ105"/>
  <c r="AJ106" s="1"/>
  <c r="R105"/>
  <c r="R107" s="1"/>
  <c r="Q105"/>
  <c r="Q107" s="1"/>
  <c r="AK104"/>
  <c r="AJ104"/>
  <c r="V104"/>
  <c r="R104"/>
  <c r="Q104"/>
  <c r="AK103"/>
  <c r="AJ103"/>
  <c r="V103"/>
  <c r="R103"/>
  <c r="Q103"/>
  <c r="AI102"/>
  <c r="AH102"/>
  <c r="AG102"/>
  <c r="AF102"/>
  <c r="AE102"/>
  <c r="AD102"/>
  <c r="AC102"/>
  <c r="AB102"/>
  <c r="AA102"/>
  <c r="Z102"/>
  <c r="Y102"/>
  <c r="X102"/>
  <c r="P102"/>
  <c r="O102"/>
  <c r="N102"/>
  <c r="M102"/>
  <c r="L102"/>
  <c r="K102"/>
  <c r="J102"/>
  <c r="I102"/>
  <c r="H102"/>
  <c r="G102"/>
  <c r="F102"/>
  <c r="E102"/>
  <c r="AI101"/>
  <c r="AH101"/>
  <c r="AG101"/>
  <c r="AF101"/>
  <c r="AE101"/>
  <c r="AD101"/>
  <c r="AC101"/>
  <c r="AB101"/>
  <c r="AA101"/>
  <c r="Z101"/>
  <c r="Y101"/>
  <c r="X101"/>
  <c r="P101"/>
  <c r="O101"/>
  <c r="N101"/>
  <c r="M101"/>
  <c r="L101"/>
  <c r="K101"/>
  <c r="J101"/>
  <c r="I101"/>
  <c r="H101"/>
  <c r="G101"/>
  <c r="F101"/>
  <c r="E101"/>
  <c r="AK100"/>
  <c r="AK102" s="1"/>
  <c r="AJ100"/>
  <c r="AJ102" s="1"/>
  <c r="R100"/>
  <c r="R102" s="1"/>
  <c r="Q100"/>
  <c r="Q101" s="1"/>
  <c r="AK99"/>
  <c r="AJ99"/>
  <c r="V99"/>
  <c r="R99"/>
  <c r="Q99"/>
  <c r="AK98"/>
  <c r="AJ98"/>
  <c r="V98"/>
  <c r="R98"/>
  <c r="Q98"/>
  <c r="AI97"/>
  <c r="AH97"/>
  <c r="AG97"/>
  <c r="AF97"/>
  <c r="AE97"/>
  <c r="AD97"/>
  <c r="AC97"/>
  <c r="AB97"/>
  <c r="AA97"/>
  <c r="Z97"/>
  <c r="Y97"/>
  <c r="X97"/>
  <c r="P97"/>
  <c r="O97"/>
  <c r="N97"/>
  <c r="M97"/>
  <c r="L97"/>
  <c r="K97"/>
  <c r="J97"/>
  <c r="I97"/>
  <c r="H97"/>
  <c r="G97"/>
  <c r="F97"/>
  <c r="E97"/>
  <c r="AI96"/>
  <c r="AH96"/>
  <c r="AG96"/>
  <c r="AF96"/>
  <c r="AE96"/>
  <c r="AD96"/>
  <c r="AC96"/>
  <c r="AB96"/>
  <c r="AA96"/>
  <c r="Z96"/>
  <c r="Y96"/>
  <c r="X96"/>
  <c r="P96"/>
  <c r="O96"/>
  <c r="N96"/>
  <c r="M96"/>
  <c r="L96"/>
  <c r="K96"/>
  <c r="J96"/>
  <c r="I96"/>
  <c r="H96"/>
  <c r="G96"/>
  <c r="F96"/>
  <c r="E96"/>
  <c r="AK95"/>
  <c r="AK97" s="1"/>
  <c r="AJ95"/>
  <c r="AJ96" s="1"/>
  <c r="R95"/>
  <c r="R97" s="1"/>
  <c r="Q95"/>
  <c r="Q97" s="1"/>
  <c r="AK94"/>
  <c r="AJ94"/>
  <c r="V94"/>
  <c r="R94"/>
  <c r="Q94"/>
  <c r="AK93"/>
  <c r="AJ93"/>
  <c r="V93"/>
  <c r="R93"/>
  <c r="Q93"/>
  <c r="AI92"/>
  <c r="AH92"/>
  <c r="AG92"/>
  <c r="AF92"/>
  <c r="AE92"/>
  <c r="AD92"/>
  <c r="AC92"/>
  <c r="AB92"/>
  <c r="AA92"/>
  <c r="Z92"/>
  <c r="Y92"/>
  <c r="X92"/>
  <c r="P92"/>
  <c r="O92"/>
  <c r="N92"/>
  <c r="M92"/>
  <c r="L92"/>
  <c r="K92"/>
  <c r="J92"/>
  <c r="I92"/>
  <c r="H92"/>
  <c r="G92"/>
  <c r="F92"/>
  <c r="E92"/>
  <c r="AI91"/>
  <c r="AH91"/>
  <c r="AG91"/>
  <c r="AF91"/>
  <c r="AE91"/>
  <c r="AD91"/>
  <c r="AC91"/>
  <c r="AB91"/>
  <c r="AA91"/>
  <c r="Z91"/>
  <c r="Y91"/>
  <c r="X91"/>
  <c r="P91"/>
  <c r="O91"/>
  <c r="N91"/>
  <c r="M91"/>
  <c r="L91"/>
  <c r="K91"/>
  <c r="J91"/>
  <c r="I91"/>
  <c r="H91"/>
  <c r="G91"/>
  <c r="F91"/>
  <c r="E91"/>
  <c r="AK90"/>
  <c r="AK92" s="1"/>
  <c r="AJ90"/>
  <c r="AJ92" s="1"/>
  <c r="R90"/>
  <c r="R92" s="1"/>
  <c r="Q90"/>
  <c r="Q92" s="1"/>
  <c r="AK89"/>
  <c r="AJ89"/>
  <c r="V89"/>
  <c r="R89"/>
  <c r="Q89"/>
  <c r="AK88"/>
  <c r="AJ88"/>
  <c r="V88"/>
  <c r="R88"/>
  <c r="Q88"/>
  <c r="AI87"/>
  <c r="AH87"/>
  <c r="AG87"/>
  <c r="AF87"/>
  <c r="AE87"/>
  <c r="AD87"/>
  <c r="AC87"/>
  <c r="AB87"/>
  <c r="AA87"/>
  <c r="Z87"/>
  <c r="Y87"/>
  <c r="X87"/>
  <c r="P87"/>
  <c r="O87"/>
  <c r="N87"/>
  <c r="M87"/>
  <c r="L87"/>
  <c r="K87"/>
  <c r="J87"/>
  <c r="I87"/>
  <c r="H87"/>
  <c r="G87"/>
  <c r="F87"/>
  <c r="E87"/>
  <c r="AI86"/>
  <c r="AH86"/>
  <c r="AG86"/>
  <c r="AF86"/>
  <c r="AE86"/>
  <c r="AD86"/>
  <c r="AC86"/>
  <c r="AB86"/>
  <c r="AA86"/>
  <c r="Z86"/>
  <c r="Y86"/>
  <c r="X86"/>
  <c r="P86"/>
  <c r="O86"/>
  <c r="N86"/>
  <c r="M86"/>
  <c r="L86"/>
  <c r="K86"/>
  <c r="J86"/>
  <c r="I86"/>
  <c r="H86"/>
  <c r="G86"/>
  <c r="F86"/>
  <c r="E86"/>
  <c r="AK85"/>
  <c r="AK87" s="1"/>
  <c r="AJ85"/>
  <c r="AJ87" s="1"/>
  <c r="R85"/>
  <c r="R87" s="1"/>
  <c r="Q85"/>
  <c r="Q87" s="1"/>
  <c r="AK84"/>
  <c r="AJ84"/>
  <c r="V84"/>
  <c r="R84"/>
  <c r="Q84"/>
  <c r="AK83"/>
  <c r="AJ83"/>
  <c r="V83"/>
  <c r="R83"/>
  <c r="Q83"/>
  <c r="AI82"/>
  <c r="AH82"/>
  <c r="AG82"/>
  <c r="AF82"/>
  <c r="AE82"/>
  <c r="AD82"/>
  <c r="AC82"/>
  <c r="AB82"/>
  <c r="AA82"/>
  <c r="Z82"/>
  <c r="Y82"/>
  <c r="X82"/>
  <c r="P82"/>
  <c r="O82"/>
  <c r="N82"/>
  <c r="M82"/>
  <c r="L82"/>
  <c r="K82"/>
  <c r="J82"/>
  <c r="I82"/>
  <c r="H82"/>
  <c r="G82"/>
  <c r="F82"/>
  <c r="E82"/>
  <c r="AI81"/>
  <c r="AH81"/>
  <c r="AG81"/>
  <c r="AF81"/>
  <c r="AE81"/>
  <c r="AD81"/>
  <c r="AC81"/>
  <c r="AB81"/>
  <c r="AA81"/>
  <c r="Z81"/>
  <c r="Y81"/>
  <c r="X81"/>
  <c r="P81"/>
  <c r="O81"/>
  <c r="N81"/>
  <c r="M81"/>
  <c r="L81"/>
  <c r="K81"/>
  <c r="J81"/>
  <c r="I81"/>
  <c r="H81"/>
  <c r="G81"/>
  <c r="F81"/>
  <c r="E81"/>
  <c r="AK80"/>
  <c r="AK82" s="1"/>
  <c r="AJ80"/>
  <c r="AJ82" s="1"/>
  <c r="R80"/>
  <c r="R82" s="1"/>
  <c r="Q80"/>
  <c r="Q82" s="1"/>
  <c r="AK79"/>
  <c r="AJ79"/>
  <c r="V79"/>
  <c r="R79"/>
  <c r="Q79"/>
  <c r="AK78"/>
  <c r="AJ78"/>
  <c r="V78"/>
  <c r="R78"/>
  <c r="Q78"/>
  <c r="O74"/>
  <c r="K74"/>
  <c r="G74"/>
  <c r="AF73"/>
  <c r="AB73"/>
  <c r="X73"/>
  <c r="AI70"/>
  <c r="AF70"/>
  <c r="AE70"/>
  <c r="AB70"/>
  <c r="AB72" s="1"/>
  <c r="AA70"/>
  <c r="X70"/>
  <c r="X71" s="1"/>
  <c r="P70"/>
  <c r="P75" s="1"/>
  <c r="O70"/>
  <c r="AH70" s="1"/>
  <c r="N70"/>
  <c r="N75" s="1"/>
  <c r="M70"/>
  <c r="M75" s="1"/>
  <c r="L70"/>
  <c r="L75" s="1"/>
  <c r="K70"/>
  <c r="AD70" s="1"/>
  <c r="J70"/>
  <c r="J75" s="1"/>
  <c r="I70"/>
  <c r="I75" s="1"/>
  <c r="H70"/>
  <c r="H75" s="1"/>
  <c r="G70"/>
  <c r="Z70" s="1"/>
  <c r="F70"/>
  <c r="F75" s="1"/>
  <c r="E70"/>
  <c r="E75" s="1"/>
  <c r="AK69"/>
  <c r="AJ69"/>
  <c r="V69"/>
  <c r="P69"/>
  <c r="P74" s="1"/>
  <c r="O69"/>
  <c r="N69"/>
  <c r="M69"/>
  <c r="M74" s="1"/>
  <c r="L69"/>
  <c r="L74" s="1"/>
  <c r="K69"/>
  <c r="J69"/>
  <c r="I69"/>
  <c r="I74" s="1"/>
  <c r="H69"/>
  <c r="H74" s="1"/>
  <c r="G69"/>
  <c r="F69"/>
  <c r="E69"/>
  <c r="E74" s="1"/>
  <c r="AI68"/>
  <c r="AH68"/>
  <c r="AH73" s="1"/>
  <c r="AG68"/>
  <c r="AG73" s="1"/>
  <c r="AF68"/>
  <c r="AE68"/>
  <c r="AD68"/>
  <c r="AD73" s="1"/>
  <c r="AC68"/>
  <c r="AC73" s="1"/>
  <c r="AB68"/>
  <c r="AA68"/>
  <c r="Z68"/>
  <c r="Z73" s="1"/>
  <c r="Y68"/>
  <c r="Y73" s="1"/>
  <c r="X68"/>
  <c r="AJ68" s="1"/>
  <c r="V68"/>
  <c r="P68"/>
  <c r="O68"/>
  <c r="M68"/>
  <c r="M73" s="1"/>
  <c r="L68"/>
  <c r="K68"/>
  <c r="I68"/>
  <c r="I73" s="1"/>
  <c r="H68"/>
  <c r="G68"/>
  <c r="E68"/>
  <c r="E73" s="1"/>
  <c r="AI67"/>
  <c r="AH67"/>
  <c r="AG67"/>
  <c r="AF67"/>
  <c r="AE67"/>
  <c r="AD67"/>
  <c r="AC67"/>
  <c r="AB67"/>
  <c r="AA67"/>
  <c r="Z67"/>
  <c r="Y67"/>
  <c r="X67"/>
  <c r="P67"/>
  <c r="O67"/>
  <c r="N67"/>
  <c r="M67"/>
  <c r="L67"/>
  <c r="K67"/>
  <c r="J67"/>
  <c r="I67"/>
  <c r="H67"/>
  <c r="G67"/>
  <c r="F67"/>
  <c r="E67"/>
  <c r="AI66"/>
  <c r="AH66"/>
  <c r="AG66"/>
  <c r="AF66"/>
  <c r="AE66"/>
  <c r="AD66"/>
  <c r="AC66"/>
  <c r="AB66"/>
  <c r="AA66"/>
  <c r="Z66"/>
  <c r="Y66"/>
  <c r="X66"/>
  <c r="P66"/>
  <c r="O66"/>
  <c r="N66"/>
  <c r="M66"/>
  <c r="L66"/>
  <c r="K66"/>
  <c r="J66"/>
  <c r="I66"/>
  <c r="H66"/>
  <c r="G66"/>
  <c r="F66"/>
  <c r="E66"/>
  <c r="AK65"/>
  <c r="AK67" s="1"/>
  <c r="AJ65"/>
  <c r="AJ67" s="1"/>
  <c r="R65"/>
  <c r="R67" s="1"/>
  <c r="Q65"/>
  <c r="Q66" s="1"/>
  <c r="AK64"/>
  <c r="AJ64"/>
  <c r="V64"/>
  <c r="R64"/>
  <c r="Q64"/>
  <c r="AK63"/>
  <c r="AJ63"/>
  <c r="V63"/>
  <c r="R63"/>
  <c r="Q63"/>
  <c r="AI62"/>
  <c r="AH62"/>
  <c r="AG62"/>
  <c r="AF62"/>
  <c r="AE62"/>
  <c r="AD62"/>
  <c r="AC62"/>
  <c r="AB62"/>
  <c r="AA62"/>
  <c r="Z62"/>
  <c r="Y62"/>
  <c r="X62"/>
  <c r="P62"/>
  <c r="O62"/>
  <c r="N62"/>
  <c r="M62"/>
  <c r="L62"/>
  <c r="K62"/>
  <c r="J62"/>
  <c r="I62"/>
  <c r="H62"/>
  <c r="G62"/>
  <c r="F62"/>
  <c r="E62"/>
  <c r="AI61"/>
  <c r="AH61"/>
  <c r="AG61"/>
  <c r="AF61"/>
  <c r="AE61"/>
  <c r="AD61"/>
  <c r="AC61"/>
  <c r="AB61"/>
  <c r="AA61"/>
  <c r="Z61"/>
  <c r="Y61"/>
  <c r="X61"/>
  <c r="P61"/>
  <c r="O61"/>
  <c r="N61"/>
  <c r="M61"/>
  <c r="L61"/>
  <c r="K61"/>
  <c r="J61"/>
  <c r="I61"/>
  <c r="H61"/>
  <c r="G61"/>
  <c r="F61"/>
  <c r="E61"/>
  <c r="AK60"/>
  <c r="AK62" s="1"/>
  <c r="AJ60"/>
  <c r="AJ61" s="1"/>
  <c r="R60"/>
  <c r="R62" s="1"/>
  <c r="Q60"/>
  <c r="Q62" s="1"/>
  <c r="AK59"/>
  <c r="AJ59"/>
  <c r="V59"/>
  <c r="R59"/>
  <c r="Q59"/>
  <c r="AK58"/>
  <c r="AJ58"/>
  <c r="V58"/>
  <c r="R58"/>
  <c r="Q58"/>
  <c r="AI57"/>
  <c r="AH57"/>
  <c r="AG57"/>
  <c r="AF57"/>
  <c r="AE57"/>
  <c r="AD57"/>
  <c r="AC57"/>
  <c r="AB57"/>
  <c r="AA57"/>
  <c r="Z57"/>
  <c r="Y57"/>
  <c r="X57"/>
  <c r="P57"/>
  <c r="O57"/>
  <c r="N57"/>
  <c r="M57"/>
  <c r="L57"/>
  <c r="K57"/>
  <c r="J57"/>
  <c r="I57"/>
  <c r="H57"/>
  <c r="G57"/>
  <c r="F57"/>
  <c r="E57"/>
  <c r="AI56"/>
  <c r="AH56"/>
  <c r="AG56"/>
  <c r="AF56"/>
  <c r="AE56"/>
  <c r="AD56"/>
  <c r="AC56"/>
  <c r="AB56"/>
  <c r="AA56"/>
  <c r="Z56"/>
  <c r="Y56"/>
  <c r="X56"/>
  <c r="P56"/>
  <c r="O56"/>
  <c r="N56"/>
  <c r="M56"/>
  <c r="L56"/>
  <c r="K56"/>
  <c r="J56"/>
  <c r="I56"/>
  <c r="H56"/>
  <c r="G56"/>
  <c r="F56"/>
  <c r="E56"/>
  <c r="AK55"/>
  <c r="AK57" s="1"/>
  <c r="AJ55"/>
  <c r="AJ57" s="1"/>
  <c r="R55"/>
  <c r="R57" s="1"/>
  <c r="Q55"/>
  <c r="Q57" s="1"/>
  <c r="AK54"/>
  <c r="AJ54"/>
  <c r="V54"/>
  <c r="R54"/>
  <c r="Q54"/>
  <c r="AK53"/>
  <c r="AJ53"/>
  <c r="V53"/>
  <c r="R53"/>
  <c r="Q53"/>
  <c r="AI52"/>
  <c r="AH52"/>
  <c r="AG52"/>
  <c r="AF52"/>
  <c r="AE52"/>
  <c r="AD52"/>
  <c r="AC52"/>
  <c r="AB52"/>
  <c r="AA52"/>
  <c r="Z52"/>
  <c r="Y52"/>
  <c r="X52"/>
  <c r="P52"/>
  <c r="O52"/>
  <c r="N52"/>
  <c r="M52"/>
  <c r="L52"/>
  <c r="K52"/>
  <c r="J52"/>
  <c r="I52"/>
  <c r="H52"/>
  <c r="G52"/>
  <c r="F52"/>
  <c r="E52"/>
  <c r="AI51"/>
  <c r="AH51"/>
  <c r="AG51"/>
  <c r="AF51"/>
  <c r="AE51"/>
  <c r="AD51"/>
  <c r="AC51"/>
  <c r="AB51"/>
  <c r="AA51"/>
  <c r="Z51"/>
  <c r="Y51"/>
  <c r="X51"/>
  <c r="P51"/>
  <c r="O51"/>
  <c r="N51"/>
  <c r="M51"/>
  <c r="L51"/>
  <c r="K51"/>
  <c r="J51"/>
  <c r="I51"/>
  <c r="H51"/>
  <c r="G51"/>
  <c r="F51"/>
  <c r="E51"/>
  <c r="AK50"/>
  <c r="AK52" s="1"/>
  <c r="AJ50"/>
  <c r="AJ51" s="1"/>
  <c r="R50"/>
  <c r="R52" s="1"/>
  <c r="Q50"/>
  <c r="Q52" s="1"/>
  <c r="AK49"/>
  <c r="AJ49"/>
  <c r="V49"/>
  <c r="R49"/>
  <c r="Q49"/>
  <c r="AK48"/>
  <c r="AJ48"/>
  <c r="V48"/>
  <c r="R48"/>
  <c r="Q48"/>
  <c r="AH45"/>
  <c r="AH47" s="1"/>
  <c r="AG45"/>
  <c r="AG47" s="1"/>
  <c r="AD45"/>
  <c r="AD46" s="1"/>
  <c r="AC45"/>
  <c r="AC47" s="1"/>
  <c r="Z45"/>
  <c r="Z47" s="1"/>
  <c r="Y45"/>
  <c r="Y47" s="1"/>
  <c r="P45"/>
  <c r="O45"/>
  <c r="O47" s="1"/>
  <c r="N45"/>
  <c r="N47" s="1"/>
  <c r="M45"/>
  <c r="AF45" s="1"/>
  <c r="L45"/>
  <c r="K45"/>
  <c r="K47" s="1"/>
  <c r="J45"/>
  <c r="J47" s="1"/>
  <c r="I45"/>
  <c r="AB45" s="1"/>
  <c r="H45"/>
  <c r="G45"/>
  <c r="G47" s="1"/>
  <c r="F45"/>
  <c r="F47" s="1"/>
  <c r="E45"/>
  <c r="X45" s="1"/>
  <c r="AK44"/>
  <c r="AJ44"/>
  <c r="V44"/>
  <c r="P44"/>
  <c r="O44"/>
  <c r="N44"/>
  <c r="N74" s="1"/>
  <c r="M44"/>
  <c r="L44"/>
  <c r="K44"/>
  <c r="J44"/>
  <c r="J74" s="1"/>
  <c r="I44"/>
  <c r="H44"/>
  <c r="G44"/>
  <c r="F44"/>
  <c r="F74" s="1"/>
  <c r="E44"/>
  <c r="Q44" s="1"/>
  <c r="AI43"/>
  <c r="AI73" s="1"/>
  <c r="AH43"/>
  <c r="AG43"/>
  <c r="AF43"/>
  <c r="AE43"/>
  <c r="AE73" s="1"/>
  <c r="AD43"/>
  <c r="AC43"/>
  <c r="AB43"/>
  <c r="AA43"/>
  <c r="AA73" s="1"/>
  <c r="Z43"/>
  <c r="Y43"/>
  <c r="X43"/>
  <c r="AK43" s="1"/>
  <c r="V43"/>
  <c r="O43"/>
  <c r="O73" s="1"/>
  <c r="N43"/>
  <c r="M43"/>
  <c r="K43"/>
  <c r="K73" s="1"/>
  <c r="J43"/>
  <c r="I43"/>
  <c r="G43"/>
  <c r="G73" s="1"/>
  <c r="F43"/>
  <c r="E43"/>
  <c r="AI42"/>
  <c r="AH42"/>
  <c r="AG42"/>
  <c r="AF42"/>
  <c r="AE42"/>
  <c r="AD42"/>
  <c r="AC42"/>
  <c r="AB42"/>
  <c r="AA42"/>
  <c r="Z42"/>
  <c r="Y42"/>
  <c r="X42"/>
  <c r="P42"/>
  <c r="O42"/>
  <c r="N42"/>
  <c r="M42"/>
  <c r="L42"/>
  <c r="K42"/>
  <c r="J42"/>
  <c r="I42"/>
  <c r="H42"/>
  <c r="G42"/>
  <c r="F42"/>
  <c r="E42"/>
  <c r="AI41"/>
  <c r="AH41"/>
  <c r="AG41"/>
  <c r="AF41"/>
  <c r="AE41"/>
  <c r="AD41"/>
  <c r="AC41"/>
  <c r="AB41"/>
  <c r="AA41"/>
  <c r="Z41"/>
  <c r="Y41"/>
  <c r="X41"/>
  <c r="P41"/>
  <c r="O41"/>
  <c r="N41"/>
  <c r="M41"/>
  <c r="L41"/>
  <c r="K41"/>
  <c r="J41"/>
  <c r="I41"/>
  <c r="H41"/>
  <c r="G41"/>
  <c r="F41"/>
  <c r="E41"/>
  <c r="AK40"/>
  <c r="AK42" s="1"/>
  <c r="AJ40"/>
  <c r="AJ41" s="1"/>
  <c r="R40"/>
  <c r="R42" s="1"/>
  <c r="Q40"/>
  <c r="Q42" s="1"/>
  <c r="AK39"/>
  <c r="AJ39"/>
  <c r="V39"/>
  <c r="R39"/>
  <c r="Q39"/>
  <c r="AK38"/>
  <c r="AJ38"/>
  <c r="V38"/>
  <c r="R38"/>
  <c r="Q38"/>
  <c r="AH35"/>
  <c r="AH37" s="1"/>
  <c r="AG35"/>
  <c r="AG37" s="1"/>
  <c r="AD35"/>
  <c r="AD37" s="1"/>
  <c r="AC35"/>
  <c r="AC37" s="1"/>
  <c r="Z35"/>
  <c r="Z37" s="1"/>
  <c r="Y35"/>
  <c r="P35"/>
  <c r="O35"/>
  <c r="O37" s="1"/>
  <c r="N35"/>
  <c r="N37" s="1"/>
  <c r="M35"/>
  <c r="AF35" s="1"/>
  <c r="L35"/>
  <c r="K35"/>
  <c r="K37" s="1"/>
  <c r="J35"/>
  <c r="J37" s="1"/>
  <c r="I35"/>
  <c r="AB35" s="1"/>
  <c r="H35"/>
  <c r="G35"/>
  <c r="G37" s="1"/>
  <c r="F35"/>
  <c r="E35"/>
  <c r="E37" s="1"/>
  <c r="AK34"/>
  <c r="AJ34"/>
  <c r="V34"/>
  <c r="P34"/>
  <c r="O34"/>
  <c r="N34"/>
  <c r="M34"/>
  <c r="L34"/>
  <c r="K34"/>
  <c r="J34"/>
  <c r="I34"/>
  <c r="H34"/>
  <c r="G34"/>
  <c r="F34"/>
  <c r="F1372" s="1"/>
  <c r="E34"/>
  <c r="E1372" s="1"/>
  <c r="AI33"/>
  <c r="P33" s="1"/>
  <c r="AH33"/>
  <c r="AG33"/>
  <c r="AF33"/>
  <c r="AE33"/>
  <c r="L33" s="1"/>
  <c r="AD33"/>
  <c r="AC33"/>
  <c r="AB33"/>
  <c r="AA33"/>
  <c r="H33" s="1"/>
  <c r="Z33"/>
  <c r="Y33"/>
  <c r="X33"/>
  <c r="V33"/>
  <c r="O33"/>
  <c r="N33"/>
  <c r="M33"/>
  <c r="K33"/>
  <c r="J33"/>
  <c r="I33"/>
  <c r="G33"/>
  <c r="F33"/>
  <c r="E33"/>
  <c r="AI30"/>
  <c r="AI32" s="1"/>
  <c r="AF30"/>
  <c r="AF31" s="1"/>
  <c r="AE30"/>
  <c r="AE32" s="1"/>
  <c r="AB30"/>
  <c r="AB32" s="1"/>
  <c r="AA30"/>
  <c r="AA32" s="1"/>
  <c r="X30"/>
  <c r="X31" s="1"/>
  <c r="P30"/>
  <c r="P32" s="1"/>
  <c r="O30"/>
  <c r="AH30" s="1"/>
  <c r="N30"/>
  <c r="N32" s="1"/>
  <c r="M30"/>
  <c r="M32" s="1"/>
  <c r="L30"/>
  <c r="L32" s="1"/>
  <c r="K30"/>
  <c r="AD30" s="1"/>
  <c r="J30"/>
  <c r="J32" s="1"/>
  <c r="I30"/>
  <c r="I32" s="1"/>
  <c r="H30"/>
  <c r="H32" s="1"/>
  <c r="G30"/>
  <c r="Z30" s="1"/>
  <c r="F30"/>
  <c r="E30"/>
  <c r="E32" s="1"/>
  <c r="AK29"/>
  <c r="AJ29"/>
  <c r="V29"/>
  <c r="P29"/>
  <c r="O29"/>
  <c r="N29"/>
  <c r="M29"/>
  <c r="L29"/>
  <c r="K29"/>
  <c r="J29"/>
  <c r="I29"/>
  <c r="H29"/>
  <c r="G29"/>
  <c r="F29"/>
  <c r="E29"/>
  <c r="R29" s="1"/>
  <c r="AI28"/>
  <c r="AH28"/>
  <c r="AG28"/>
  <c r="N28" s="1"/>
  <c r="AF28"/>
  <c r="AE28"/>
  <c r="AD28"/>
  <c r="AC28"/>
  <c r="J28" s="1"/>
  <c r="AB28"/>
  <c r="AA28"/>
  <c r="Z28"/>
  <c r="Y28"/>
  <c r="AK28" s="1"/>
  <c r="X28"/>
  <c r="AJ28" s="1"/>
  <c r="V28"/>
  <c r="P28"/>
  <c r="O28"/>
  <c r="M28"/>
  <c r="L28"/>
  <c r="K28"/>
  <c r="I28"/>
  <c r="H28"/>
  <c r="G28"/>
  <c r="E28"/>
  <c r="AH25"/>
  <c r="AH27" s="1"/>
  <c r="AG25"/>
  <c r="AG27" s="1"/>
  <c r="AD25"/>
  <c r="AD27" s="1"/>
  <c r="AC25"/>
  <c r="AC27" s="1"/>
  <c r="Z25"/>
  <c r="Z27" s="1"/>
  <c r="Y25"/>
  <c r="Y27" s="1"/>
  <c r="P25"/>
  <c r="P27" s="1"/>
  <c r="O25"/>
  <c r="O27" s="1"/>
  <c r="N25"/>
  <c r="N27" s="1"/>
  <c r="M25"/>
  <c r="AF25" s="1"/>
  <c r="L25"/>
  <c r="L27" s="1"/>
  <c r="K25"/>
  <c r="K27" s="1"/>
  <c r="J25"/>
  <c r="J27" s="1"/>
  <c r="I25"/>
  <c r="AB25" s="1"/>
  <c r="H25"/>
  <c r="H27" s="1"/>
  <c r="G25"/>
  <c r="G27" s="1"/>
  <c r="F25"/>
  <c r="F27" s="1"/>
  <c r="E25"/>
  <c r="X25" s="1"/>
  <c r="AI24"/>
  <c r="AI74" s="1"/>
  <c r="AH24"/>
  <c r="AH74" s="1"/>
  <c r="AG24"/>
  <c r="AG74" s="1"/>
  <c r="AF24"/>
  <c r="AE24"/>
  <c r="AE74" s="1"/>
  <c r="AD24"/>
  <c r="AD74" s="1"/>
  <c r="AC24"/>
  <c r="AC74" s="1"/>
  <c r="AB24"/>
  <c r="AA24"/>
  <c r="AA74" s="1"/>
  <c r="Z24"/>
  <c r="Z74" s="1"/>
  <c r="Y24"/>
  <c r="Y1372" s="1"/>
  <c r="X24"/>
  <c r="X1372" s="1"/>
  <c r="V24"/>
  <c r="R24"/>
  <c r="Q24"/>
  <c r="AK23"/>
  <c r="AJ23"/>
  <c r="V23"/>
  <c r="R23"/>
  <c r="Q23"/>
  <c r="AI22"/>
  <c r="AH22"/>
  <c r="AG22"/>
  <c r="AF22"/>
  <c r="AE22"/>
  <c r="AD22"/>
  <c r="AC22"/>
  <c r="AB22"/>
  <c r="AA22"/>
  <c r="Z22"/>
  <c r="Y22"/>
  <c r="X22"/>
  <c r="P22"/>
  <c r="O22"/>
  <c r="N22"/>
  <c r="M22"/>
  <c r="L22"/>
  <c r="K22"/>
  <c r="J22"/>
  <c r="I22"/>
  <c r="H22"/>
  <c r="G22"/>
  <c r="F22"/>
  <c r="E22"/>
  <c r="AI21"/>
  <c r="AH21"/>
  <c r="AG21"/>
  <c r="AF21"/>
  <c r="AE21"/>
  <c r="AD21"/>
  <c r="AC21"/>
  <c r="AB21"/>
  <c r="AA21"/>
  <c r="Z21"/>
  <c r="Y21"/>
  <c r="X21"/>
  <c r="P21"/>
  <c r="O21"/>
  <c r="N21"/>
  <c r="M21"/>
  <c r="L21"/>
  <c r="K21"/>
  <c r="J21"/>
  <c r="I21"/>
  <c r="H21"/>
  <c r="G21"/>
  <c r="F21"/>
  <c r="E21"/>
  <c r="AK20"/>
  <c r="AK22" s="1"/>
  <c r="AJ20"/>
  <c r="AJ22" s="1"/>
  <c r="R20"/>
  <c r="R22" s="1"/>
  <c r="Q20"/>
  <c r="Q22" s="1"/>
  <c r="AK19"/>
  <c r="AJ19"/>
  <c r="V19"/>
  <c r="R19"/>
  <c r="Q19"/>
  <c r="AK18"/>
  <c r="AJ18"/>
  <c r="V18"/>
  <c r="R18"/>
  <c r="Q18"/>
  <c r="AH15"/>
  <c r="AH16" s="1"/>
  <c r="AG15"/>
  <c r="AG17" s="1"/>
  <c r="AD15"/>
  <c r="AD17" s="1"/>
  <c r="AC15"/>
  <c r="AC16" s="1"/>
  <c r="Z15"/>
  <c r="Z16" s="1"/>
  <c r="Y15"/>
  <c r="Y17" s="1"/>
  <c r="P15"/>
  <c r="O15"/>
  <c r="O17" s="1"/>
  <c r="N15"/>
  <c r="N17" s="1"/>
  <c r="M15"/>
  <c r="AF15" s="1"/>
  <c r="L15"/>
  <c r="L16" s="1"/>
  <c r="K15"/>
  <c r="K17" s="1"/>
  <c r="J15"/>
  <c r="J17" s="1"/>
  <c r="I15"/>
  <c r="AB15" s="1"/>
  <c r="H15"/>
  <c r="G15"/>
  <c r="G17" s="1"/>
  <c r="F15"/>
  <c r="F17" s="1"/>
  <c r="E15"/>
  <c r="X15" s="1"/>
  <c r="AK14"/>
  <c r="AJ14"/>
  <c r="V14"/>
  <c r="P14"/>
  <c r="O14"/>
  <c r="N14"/>
  <c r="M14"/>
  <c r="L14"/>
  <c r="K14"/>
  <c r="J14"/>
  <c r="I14"/>
  <c r="H14"/>
  <c r="G14"/>
  <c r="F14"/>
  <c r="R14" s="1"/>
  <c r="E14"/>
  <c r="Q14" s="1"/>
  <c r="AI13"/>
  <c r="P13" s="1"/>
  <c r="AH13"/>
  <c r="AG13"/>
  <c r="AF13"/>
  <c r="AE13"/>
  <c r="L13" s="1"/>
  <c r="AD13"/>
  <c r="AC13"/>
  <c r="AB13"/>
  <c r="AA13"/>
  <c r="H13" s="1"/>
  <c r="Z13"/>
  <c r="Y13"/>
  <c r="X13"/>
  <c r="AK13" s="1"/>
  <c r="V13"/>
  <c r="O13"/>
  <c r="N13"/>
  <c r="M13"/>
  <c r="K13"/>
  <c r="J13"/>
  <c r="I13"/>
  <c r="G13"/>
  <c r="F13"/>
  <c r="R13" s="1"/>
  <c r="E13"/>
  <c r="AI10"/>
  <c r="AI12" s="1"/>
  <c r="AF10"/>
  <c r="AF11" s="1"/>
  <c r="AE10"/>
  <c r="AE12" s="1"/>
  <c r="AB10"/>
  <c r="AB12" s="1"/>
  <c r="AA10"/>
  <c r="AA12" s="1"/>
  <c r="X10"/>
  <c r="X11" s="1"/>
  <c r="P10"/>
  <c r="P12" s="1"/>
  <c r="O10"/>
  <c r="AH10" s="1"/>
  <c r="N10"/>
  <c r="N11" s="1"/>
  <c r="M10"/>
  <c r="M12" s="1"/>
  <c r="L10"/>
  <c r="L12" s="1"/>
  <c r="K10"/>
  <c r="AD10" s="1"/>
  <c r="J10"/>
  <c r="AC10" s="1"/>
  <c r="I10"/>
  <c r="I12" s="1"/>
  <c r="H10"/>
  <c r="H12" s="1"/>
  <c r="G10"/>
  <c r="Z10" s="1"/>
  <c r="F10"/>
  <c r="F12" s="1"/>
  <c r="E10"/>
  <c r="E12" s="1"/>
  <c r="AI9"/>
  <c r="AH9"/>
  <c r="AG9"/>
  <c r="AF9"/>
  <c r="AF74" s="1"/>
  <c r="AE9"/>
  <c r="AD9"/>
  <c r="AC9"/>
  <c r="AB9"/>
  <c r="AB74" s="1"/>
  <c r="AA9"/>
  <c r="Z9"/>
  <c r="Y9"/>
  <c r="X9"/>
  <c r="X74" s="1"/>
  <c r="V9"/>
  <c r="R9"/>
  <c r="Q9"/>
  <c r="AI8"/>
  <c r="AH8"/>
  <c r="AG8"/>
  <c r="AF8"/>
  <c r="AE8"/>
  <c r="AD8"/>
  <c r="AC8"/>
  <c r="AB8"/>
  <c r="AA8"/>
  <c r="Z8"/>
  <c r="Y8"/>
  <c r="AK8" s="1"/>
  <c r="X8"/>
  <c r="AJ8" s="1"/>
  <c r="V8"/>
  <c r="R8"/>
  <c r="Q8"/>
  <c r="AH5"/>
  <c r="AH7" s="1"/>
  <c r="AG5"/>
  <c r="AG7" s="1"/>
  <c r="AD5"/>
  <c r="AD7" s="1"/>
  <c r="AC5"/>
  <c r="AC6" s="1"/>
  <c r="Z5"/>
  <c r="Z6" s="1"/>
  <c r="Y5"/>
  <c r="Y7" s="1"/>
  <c r="P5"/>
  <c r="P6" s="1"/>
  <c r="O5"/>
  <c r="O7" s="1"/>
  <c r="N5"/>
  <c r="N7" s="1"/>
  <c r="M5"/>
  <c r="AF5" s="1"/>
  <c r="L5"/>
  <c r="K5"/>
  <c r="K7" s="1"/>
  <c r="J5"/>
  <c r="J7" s="1"/>
  <c r="I5"/>
  <c r="AB5" s="1"/>
  <c r="H5"/>
  <c r="AA5" s="1"/>
  <c r="G5"/>
  <c r="G7" s="1"/>
  <c r="F5"/>
  <c r="F7" s="1"/>
  <c r="E5"/>
  <c r="X5" s="1"/>
  <c r="AK4"/>
  <c r="AJ4"/>
  <c r="V4"/>
  <c r="P4"/>
  <c r="O4"/>
  <c r="N4"/>
  <c r="M4"/>
  <c r="L4"/>
  <c r="K4"/>
  <c r="J4"/>
  <c r="I4"/>
  <c r="H4"/>
  <c r="G4"/>
  <c r="F4"/>
  <c r="R4" s="1"/>
  <c r="E4"/>
  <c r="Q4" s="1"/>
  <c r="AI3"/>
  <c r="P3" s="1"/>
  <c r="AH3"/>
  <c r="AG3"/>
  <c r="AF3"/>
  <c r="AE3"/>
  <c r="L3" s="1"/>
  <c r="AD3"/>
  <c r="AC3"/>
  <c r="AB3"/>
  <c r="AA3"/>
  <c r="H3" s="1"/>
  <c r="Z3"/>
  <c r="Y3"/>
  <c r="X3"/>
  <c r="AK3" s="1"/>
  <c r="V3"/>
  <c r="O3"/>
  <c r="N3"/>
  <c r="M3"/>
  <c r="K3"/>
  <c r="J3"/>
  <c r="I3"/>
  <c r="G3"/>
  <c r="F3"/>
  <c r="R3" s="1"/>
  <c r="E3"/>
  <c r="AC12" l="1"/>
  <c r="AC11"/>
  <c r="AB37"/>
  <c r="AB36"/>
  <c r="E77"/>
  <c r="E76"/>
  <c r="I77"/>
  <c r="I76"/>
  <c r="Z12"/>
  <c r="Z11"/>
  <c r="AD12"/>
  <c r="AD11"/>
  <c r="AH12"/>
  <c r="AH11"/>
  <c r="X47"/>
  <c r="X46"/>
  <c r="AB47"/>
  <c r="AB46"/>
  <c r="AF47"/>
  <c r="AF46"/>
  <c r="Q74"/>
  <c r="R74"/>
  <c r="F76"/>
  <c r="J76"/>
  <c r="N76"/>
  <c r="Q3"/>
  <c r="Q13"/>
  <c r="H17"/>
  <c r="P17"/>
  <c r="M77"/>
  <c r="M76"/>
  <c r="X7"/>
  <c r="X6"/>
  <c r="AJ5"/>
  <c r="AB7"/>
  <c r="AB6"/>
  <c r="AF7"/>
  <c r="AF6"/>
  <c r="Z32"/>
  <c r="Z31"/>
  <c r="AD32"/>
  <c r="AD31"/>
  <c r="AH32"/>
  <c r="AH31"/>
  <c r="H76"/>
  <c r="L76"/>
  <c r="P76"/>
  <c r="H37"/>
  <c r="L37"/>
  <c r="P37"/>
  <c r="AF37"/>
  <c r="AF36"/>
  <c r="AA7"/>
  <c r="AA6"/>
  <c r="X17"/>
  <c r="X16"/>
  <c r="AB17"/>
  <c r="AB16"/>
  <c r="AF17"/>
  <c r="AF16"/>
  <c r="X27"/>
  <c r="X26"/>
  <c r="AB27"/>
  <c r="AB26"/>
  <c r="AF27"/>
  <c r="AF26"/>
  <c r="Z75"/>
  <c r="Z72"/>
  <c r="Z71"/>
  <c r="AD75"/>
  <c r="AD680" s="1"/>
  <c r="AD72"/>
  <c r="AD71"/>
  <c r="AH75"/>
  <c r="AH72"/>
  <c r="AH71"/>
  <c r="AF75"/>
  <c r="L7"/>
  <c r="AJ73"/>
  <c r="AK302"/>
  <c r="AK301"/>
  <c r="AK377"/>
  <c r="AK376"/>
  <c r="Q5"/>
  <c r="AH6"/>
  <c r="I7"/>
  <c r="Z7"/>
  <c r="AJ9"/>
  <c r="K11"/>
  <c r="AB11"/>
  <c r="G12"/>
  <c r="X12"/>
  <c r="E16"/>
  <c r="E17"/>
  <c r="AH17"/>
  <c r="AJ21"/>
  <c r="E26"/>
  <c r="AD26"/>
  <c r="I27"/>
  <c r="O31"/>
  <c r="AB31"/>
  <c r="G32"/>
  <c r="X32"/>
  <c r="AF32"/>
  <c r="R34"/>
  <c r="E36"/>
  <c r="AD36"/>
  <c r="I37"/>
  <c r="AJ42"/>
  <c r="R44"/>
  <c r="M46"/>
  <c r="Z46"/>
  <c r="E47"/>
  <c r="AD47"/>
  <c r="AJ52"/>
  <c r="Q67"/>
  <c r="AK68"/>
  <c r="G71"/>
  <c r="O71"/>
  <c r="AF71"/>
  <c r="G72"/>
  <c r="X72"/>
  <c r="AF72"/>
  <c r="K75"/>
  <c r="AB75"/>
  <c r="Q81"/>
  <c r="AJ86"/>
  <c r="Q91"/>
  <c r="Q102"/>
  <c r="AJ107"/>
  <c r="AJ127"/>
  <c r="Q132"/>
  <c r="AJ137"/>
  <c r="Q141"/>
  <c r="AJ147"/>
  <c r="AJ148"/>
  <c r="G151"/>
  <c r="O151"/>
  <c r="AF151"/>
  <c r="AB152"/>
  <c r="Q157"/>
  <c r="AJ161"/>
  <c r="Q166"/>
  <c r="AJ181"/>
  <c r="Q186"/>
  <c r="AJ191"/>
  <c r="AJ211"/>
  <c r="Q217"/>
  <c r="AJ223"/>
  <c r="AJ227" s="1"/>
  <c r="AJ224"/>
  <c r="AJ226" s="1"/>
  <c r="K226"/>
  <c r="AB226"/>
  <c r="AJ236"/>
  <c r="AJ246"/>
  <c r="Q252"/>
  <c r="AJ256"/>
  <c r="Q262"/>
  <c r="Q271"/>
  <c r="AJ277"/>
  <c r="Q282"/>
  <c r="AJ287"/>
  <c r="Q292"/>
  <c r="AJ298"/>
  <c r="AF680"/>
  <c r="H6"/>
  <c r="L6"/>
  <c r="AG6"/>
  <c r="H7"/>
  <c r="AC7"/>
  <c r="R10"/>
  <c r="J11"/>
  <c r="AA11"/>
  <c r="AI11"/>
  <c r="J12"/>
  <c r="H16"/>
  <c r="Y16"/>
  <c r="AG16"/>
  <c r="L17"/>
  <c r="AJ3"/>
  <c r="R5"/>
  <c r="AE5"/>
  <c r="AK5" s="1"/>
  <c r="AI5"/>
  <c r="F6"/>
  <c r="J6"/>
  <c r="N6"/>
  <c r="AK9"/>
  <c r="Y10"/>
  <c r="AG10"/>
  <c r="H11"/>
  <c r="L11"/>
  <c r="P11"/>
  <c r="AJ13"/>
  <c r="R15"/>
  <c r="AA15"/>
  <c r="AE15"/>
  <c r="AI15"/>
  <c r="F16"/>
  <c r="J16"/>
  <c r="N16"/>
  <c r="AK21"/>
  <c r="R25"/>
  <c r="AA25"/>
  <c r="AE25"/>
  <c r="AI25"/>
  <c r="F26"/>
  <c r="J26"/>
  <c r="N26"/>
  <c r="F28"/>
  <c r="R28" s="1"/>
  <c r="Q29"/>
  <c r="Y30"/>
  <c r="AC30"/>
  <c r="AG30"/>
  <c r="H31"/>
  <c r="L31"/>
  <c r="P31"/>
  <c r="X1371"/>
  <c r="AJ33"/>
  <c r="F1373"/>
  <c r="R35"/>
  <c r="AA35"/>
  <c r="AE35"/>
  <c r="AI35"/>
  <c r="F36"/>
  <c r="J36"/>
  <c r="N36"/>
  <c r="F37"/>
  <c r="AK41"/>
  <c r="H43"/>
  <c r="Q43" s="1"/>
  <c r="L43"/>
  <c r="L47" s="1"/>
  <c r="P43"/>
  <c r="P47" s="1"/>
  <c r="AJ43"/>
  <c r="R45"/>
  <c r="AA45"/>
  <c r="AE45"/>
  <c r="AI45"/>
  <c r="AI75" s="1"/>
  <c r="F46"/>
  <c r="J46"/>
  <c r="N46"/>
  <c r="AK51"/>
  <c r="R56"/>
  <c r="AK61"/>
  <c r="R66"/>
  <c r="F68"/>
  <c r="F73" s="1"/>
  <c r="J68"/>
  <c r="J73" s="1"/>
  <c r="J77" s="1"/>
  <c r="N68"/>
  <c r="N73" s="1"/>
  <c r="N678" s="1"/>
  <c r="N1363" s="1"/>
  <c r="R68"/>
  <c r="Q69"/>
  <c r="Y70"/>
  <c r="AC70"/>
  <c r="AG70"/>
  <c r="H71"/>
  <c r="L71"/>
  <c r="P71"/>
  <c r="H72"/>
  <c r="L72"/>
  <c r="P72"/>
  <c r="AK73"/>
  <c r="Y74"/>
  <c r="AJ74" s="1"/>
  <c r="R81"/>
  <c r="AK86"/>
  <c r="R91"/>
  <c r="AK96"/>
  <c r="R101"/>
  <c r="AK106"/>
  <c r="R111"/>
  <c r="AK116"/>
  <c r="R121"/>
  <c r="AK126"/>
  <c r="R131"/>
  <c r="AK136"/>
  <c r="R141"/>
  <c r="AK146"/>
  <c r="AK149"/>
  <c r="AK150"/>
  <c r="H151"/>
  <c r="L151"/>
  <c r="P151"/>
  <c r="Y151"/>
  <c r="AC151"/>
  <c r="AG151"/>
  <c r="R156"/>
  <c r="AK161"/>
  <c r="R166"/>
  <c r="AK171"/>
  <c r="R176"/>
  <c r="AK181"/>
  <c r="R186"/>
  <c r="AK191"/>
  <c r="R196"/>
  <c r="AK201"/>
  <c r="R206"/>
  <c r="AK211"/>
  <c r="R216"/>
  <c r="AK221"/>
  <c r="AK225"/>
  <c r="H226"/>
  <c r="L226"/>
  <c r="P226"/>
  <c r="Y226"/>
  <c r="AC226"/>
  <c r="AG226"/>
  <c r="R231"/>
  <c r="AK236"/>
  <c r="R241"/>
  <c r="AK246"/>
  <c r="R251"/>
  <c r="AK256"/>
  <c r="R261"/>
  <c r="AK266"/>
  <c r="R271"/>
  <c r="AK276"/>
  <c r="R281"/>
  <c r="AK286"/>
  <c r="R291"/>
  <c r="AK296"/>
  <c r="F302"/>
  <c r="J302"/>
  <c r="N302"/>
  <c r="Y302"/>
  <c r="AC302"/>
  <c r="AG302"/>
  <c r="AB678"/>
  <c r="AF678"/>
  <c r="AF679"/>
  <c r="AF1364" s="1"/>
  <c r="AK299"/>
  <c r="AJ299"/>
  <c r="AK602"/>
  <c r="AK601"/>
  <c r="AB757"/>
  <c r="AB756"/>
  <c r="I6"/>
  <c r="AD6"/>
  <c r="M7"/>
  <c r="O11"/>
  <c r="O12"/>
  <c r="AF12"/>
  <c r="Q15"/>
  <c r="M16"/>
  <c r="AD16"/>
  <c r="I17"/>
  <c r="Z17"/>
  <c r="I26"/>
  <c r="AH26"/>
  <c r="K31"/>
  <c r="K32"/>
  <c r="M36"/>
  <c r="E46"/>
  <c r="AH46"/>
  <c r="M47"/>
  <c r="Q56"/>
  <c r="AJ62"/>
  <c r="AB71"/>
  <c r="K72"/>
  <c r="G75"/>
  <c r="AJ97"/>
  <c r="Q111"/>
  <c r="AJ117"/>
  <c r="X151"/>
  <c r="AJ171"/>
  <c r="Q176"/>
  <c r="Q196"/>
  <c r="AJ201"/>
  <c r="Q206"/>
  <c r="AJ221"/>
  <c r="G226"/>
  <c r="X226"/>
  <c r="AF226"/>
  <c r="X227"/>
  <c r="Q231"/>
  <c r="Q242"/>
  <c r="AJ296"/>
  <c r="AB302"/>
  <c r="AB679"/>
  <c r="AB1364" s="1"/>
  <c r="Y6"/>
  <c r="P7"/>
  <c r="N12"/>
  <c r="AC17"/>
  <c r="R21"/>
  <c r="AK24"/>
  <c r="H26"/>
  <c r="L26"/>
  <c r="P26"/>
  <c r="Y26"/>
  <c r="AC26"/>
  <c r="AG26"/>
  <c r="R30"/>
  <c r="F31"/>
  <c r="J31"/>
  <c r="N31"/>
  <c r="AA31"/>
  <c r="AE31"/>
  <c r="AI31"/>
  <c r="F1371"/>
  <c r="R33"/>
  <c r="R1372"/>
  <c r="Q34"/>
  <c r="Y1373"/>
  <c r="H36"/>
  <c r="L36"/>
  <c r="P36"/>
  <c r="Y36"/>
  <c r="AC36"/>
  <c r="AG36"/>
  <c r="Y37"/>
  <c r="R41"/>
  <c r="H46"/>
  <c r="L46"/>
  <c r="P46"/>
  <c r="Y46"/>
  <c r="AC46"/>
  <c r="AG46"/>
  <c r="R51"/>
  <c r="AK56"/>
  <c r="R61"/>
  <c r="AK66"/>
  <c r="R70"/>
  <c r="F71"/>
  <c r="J71"/>
  <c r="N71"/>
  <c r="AA71"/>
  <c r="AE71"/>
  <c r="AI71"/>
  <c r="F72"/>
  <c r="J72"/>
  <c r="N72"/>
  <c r="AA72"/>
  <c r="AE72"/>
  <c r="AI72"/>
  <c r="AK81"/>
  <c r="R86"/>
  <c r="AK91"/>
  <c r="R96"/>
  <c r="AK101"/>
  <c r="R106"/>
  <c r="AK111"/>
  <c r="R116"/>
  <c r="AK121"/>
  <c r="R126"/>
  <c r="AK131"/>
  <c r="R136"/>
  <c r="AK141"/>
  <c r="R146"/>
  <c r="R150"/>
  <c r="F151"/>
  <c r="J151"/>
  <c r="N151"/>
  <c r="AA151"/>
  <c r="AE151"/>
  <c r="AI151"/>
  <c r="AK156"/>
  <c r="R161"/>
  <c r="AK166"/>
  <c r="R171"/>
  <c r="AK176"/>
  <c r="R181"/>
  <c r="AK186"/>
  <c r="R191"/>
  <c r="AK196"/>
  <c r="R201"/>
  <c r="AK206"/>
  <c r="R211"/>
  <c r="AK216"/>
  <c r="R221"/>
  <c r="R225"/>
  <c r="F226"/>
  <c r="J226"/>
  <c r="N226"/>
  <c r="AA226"/>
  <c r="AE226"/>
  <c r="AI226"/>
  <c r="AK231"/>
  <c r="R236"/>
  <c r="AK241"/>
  <c r="R246"/>
  <c r="AK251"/>
  <c r="R256"/>
  <c r="AK261"/>
  <c r="R266"/>
  <c r="AK271"/>
  <c r="R276"/>
  <c r="AK281"/>
  <c r="R286"/>
  <c r="AK291"/>
  <c r="R296"/>
  <c r="H302"/>
  <c r="L302"/>
  <c r="P302"/>
  <c r="AA302"/>
  <c r="AE302"/>
  <c r="AI302"/>
  <c r="G678"/>
  <c r="K678"/>
  <c r="O678"/>
  <c r="K679"/>
  <c r="O679"/>
  <c r="AK452"/>
  <c r="AK451"/>
  <c r="AK527"/>
  <c r="AK526"/>
  <c r="E6"/>
  <c r="M6"/>
  <c r="E7"/>
  <c r="G11"/>
  <c r="K12"/>
  <c r="I16"/>
  <c r="M17"/>
  <c r="Q25"/>
  <c r="M26"/>
  <c r="Z26"/>
  <c r="E27"/>
  <c r="M27"/>
  <c r="G31"/>
  <c r="O32"/>
  <c r="E1373"/>
  <c r="Q35"/>
  <c r="I36"/>
  <c r="Z36"/>
  <c r="AH36"/>
  <c r="M37"/>
  <c r="Q45"/>
  <c r="I46"/>
  <c r="I47"/>
  <c r="K71"/>
  <c r="O72"/>
  <c r="O75"/>
  <c r="O680" s="1"/>
  <c r="Q121"/>
  <c r="AJ150"/>
  <c r="K151"/>
  <c r="O226"/>
  <c r="AJ266"/>
  <c r="AF302"/>
  <c r="F11"/>
  <c r="AE11"/>
  <c r="P16"/>
  <c r="G6"/>
  <c r="K6"/>
  <c r="O6"/>
  <c r="Q10"/>
  <c r="E11"/>
  <c r="I11"/>
  <c r="M11"/>
  <c r="G16"/>
  <c r="K16"/>
  <c r="O16"/>
  <c r="Q21"/>
  <c r="AK1372"/>
  <c r="AJ24"/>
  <c r="G26"/>
  <c r="K26"/>
  <c r="O26"/>
  <c r="Q30"/>
  <c r="E31"/>
  <c r="I31"/>
  <c r="M31"/>
  <c r="E1371"/>
  <c r="R1371" s="1"/>
  <c r="Q33"/>
  <c r="Y1371"/>
  <c r="AK33"/>
  <c r="X35"/>
  <c r="G36"/>
  <c r="K36"/>
  <c r="O36"/>
  <c r="Q41"/>
  <c r="G46"/>
  <c r="K46"/>
  <c r="O46"/>
  <c r="Q51"/>
  <c r="AJ56"/>
  <c r="Q61"/>
  <c r="AJ66"/>
  <c r="R69"/>
  <c r="Q70"/>
  <c r="E71"/>
  <c r="I71"/>
  <c r="M71"/>
  <c r="E72"/>
  <c r="I72"/>
  <c r="M72"/>
  <c r="AJ81"/>
  <c r="Q86"/>
  <c r="AJ91"/>
  <c r="Q96"/>
  <c r="AJ101"/>
  <c r="Q106"/>
  <c r="AJ111"/>
  <c r="Q116"/>
  <c r="AJ121"/>
  <c r="Q126"/>
  <c r="AJ131"/>
  <c r="Q136"/>
  <c r="AJ141"/>
  <c r="Q146"/>
  <c r="Q150"/>
  <c r="E151"/>
  <c r="I151"/>
  <c r="M151"/>
  <c r="Z151"/>
  <c r="AD151"/>
  <c r="AH151"/>
  <c r="AJ156"/>
  <c r="Q161"/>
  <c r="AJ166"/>
  <c r="Q171"/>
  <c r="AJ176"/>
  <c r="Q181"/>
  <c r="AJ186"/>
  <c r="Q191"/>
  <c r="AJ196"/>
  <c r="Q201"/>
  <c r="AJ206"/>
  <c r="Q211"/>
  <c r="AJ216"/>
  <c r="Q221"/>
  <c r="Q225"/>
  <c r="E226"/>
  <c r="I226"/>
  <c r="M226"/>
  <c r="Z226"/>
  <c r="AD226"/>
  <c r="AH226"/>
  <c r="AJ231"/>
  <c r="Q236"/>
  <c r="AJ241"/>
  <c r="Q246"/>
  <c r="AJ251"/>
  <c r="Q256"/>
  <c r="AJ261"/>
  <c r="Q266"/>
  <c r="AJ271"/>
  <c r="Q276"/>
  <c r="AJ281"/>
  <c r="Q286"/>
  <c r="AJ291"/>
  <c r="Q296"/>
  <c r="G302"/>
  <c r="K302"/>
  <c r="O302"/>
  <c r="Z302"/>
  <c r="AD302"/>
  <c r="AH302"/>
  <c r="G679"/>
  <c r="AA697"/>
  <c r="AA696"/>
  <c r="AE697"/>
  <c r="AE696"/>
  <c r="AI697"/>
  <c r="AI696"/>
  <c r="AJ300"/>
  <c r="G301"/>
  <c r="K301"/>
  <c r="O301"/>
  <c r="X301"/>
  <c r="AB301"/>
  <c r="AF301"/>
  <c r="X302"/>
  <c r="Q306"/>
  <c r="AJ311"/>
  <c r="Q316"/>
  <c r="AJ321"/>
  <c r="Q326"/>
  <c r="AJ331"/>
  <c r="Q336"/>
  <c r="AJ341"/>
  <c r="Q346"/>
  <c r="AJ351"/>
  <c r="Q356"/>
  <c r="AJ361"/>
  <c r="Q366"/>
  <c r="AJ371"/>
  <c r="AJ373"/>
  <c r="AJ374"/>
  <c r="AJ375"/>
  <c r="G376"/>
  <c r="K376"/>
  <c r="O376"/>
  <c r="X376"/>
  <c r="AB376"/>
  <c r="AF376"/>
  <c r="X377"/>
  <c r="Q381"/>
  <c r="AJ386"/>
  <c r="Q391"/>
  <c r="AJ396"/>
  <c r="Q401"/>
  <c r="AJ406"/>
  <c r="Q411"/>
  <c r="AJ416"/>
  <c r="Q421"/>
  <c r="AJ426"/>
  <c r="Q431"/>
  <c r="AJ436"/>
  <c r="Q441"/>
  <c r="AJ446"/>
  <c r="AJ448"/>
  <c r="AJ449"/>
  <c r="AJ450"/>
  <c r="G451"/>
  <c r="K451"/>
  <c r="O451"/>
  <c r="X451"/>
  <c r="AB451"/>
  <c r="AF451"/>
  <c r="X452"/>
  <c r="Q456"/>
  <c r="AJ461"/>
  <c r="Q466"/>
  <c r="AJ471"/>
  <c r="Q476"/>
  <c r="AJ481"/>
  <c r="Q486"/>
  <c r="AJ491"/>
  <c r="Q496"/>
  <c r="AJ501"/>
  <c r="Q506"/>
  <c r="AJ511"/>
  <c r="Q516"/>
  <c r="AJ521"/>
  <c r="AJ523"/>
  <c r="AJ524"/>
  <c r="AJ525"/>
  <c r="G526"/>
  <c r="K526"/>
  <c r="O526"/>
  <c r="X526"/>
  <c r="AB526"/>
  <c r="AF526"/>
  <c r="X527"/>
  <c r="Q531"/>
  <c r="AJ536"/>
  <c r="Q541"/>
  <c r="AJ546"/>
  <c r="Q551"/>
  <c r="AJ556"/>
  <c r="Q561"/>
  <c r="AJ566"/>
  <c r="Q571"/>
  <c r="AJ576"/>
  <c r="Q581"/>
  <c r="AJ586"/>
  <c r="Q591"/>
  <c r="AJ596"/>
  <c r="AJ598"/>
  <c r="AJ599"/>
  <c r="AJ600"/>
  <c r="G601"/>
  <c r="K601"/>
  <c r="O601"/>
  <c r="X601"/>
  <c r="AB601"/>
  <c r="AF601"/>
  <c r="X602"/>
  <c r="AF602"/>
  <c r="Q606"/>
  <c r="AJ611"/>
  <c r="Q616"/>
  <c r="AJ621"/>
  <c r="Q626"/>
  <c r="AJ631"/>
  <c r="E678"/>
  <c r="I678"/>
  <c r="M678"/>
  <c r="AJ673"/>
  <c r="H679"/>
  <c r="L679"/>
  <c r="P679"/>
  <c r="AA679"/>
  <c r="AE679"/>
  <c r="AE1364" s="1"/>
  <c r="AI679"/>
  <c r="Z680"/>
  <c r="AH680"/>
  <c r="K676"/>
  <c r="O677"/>
  <c r="X678"/>
  <c r="K680"/>
  <c r="E692"/>
  <c r="M692"/>
  <c r="H754"/>
  <c r="H1359" s="1"/>
  <c r="L754"/>
  <c r="P754"/>
  <c r="P756" s="1"/>
  <c r="E755"/>
  <c r="I755"/>
  <c r="M755"/>
  <c r="AJ754"/>
  <c r="X755"/>
  <c r="Q761"/>
  <c r="Q771"/>
  <c r="Q781"/>
  <c r="Q791"/>
  <c r="Q801"/>
  <c r="H757"/>
  <c r="L757"/>
  <c r="L756"/>
  <c r="P757"/>
  <c r="Y832"/>
  <c r="Y831"/>
  <c r="AK830"/>
  <c r="R300"/>
  <c r="F301"/>
  <c r="J301"/>
  <c r="N301"/>
  <c r="AA301"/>
  <c r="AE301"/>
  <c r="AI301"/>
  <c r="AK306"/>
  <c r="R311"/>
  <c r="AK316"/>
  <c r="R321"/>
  <c r="AK326"/>
  <c r="R331"/>
  <c r="AK336"/>
  <c r="R341"/>
  <c r="AK346"/>
  <c r="R351"/>
  <c r="AK356"/>
  <c r="R361"/>
  <c r="AK366"/>
  <c r="R371"/>
  <c r="R373"/>
  <c r="R374"/>
  <c r="R375"/>
  <c r="F376"/>
  <c r="J376"/>
  <c r="N376"/>
  <c r="AA376"/>
  <c r="AE376"/>
  <c r="AI376"/>
  <c r="AK381"/>
  <c r="R386"/>
  <c r="AK391"/>
  <c r="R396"/>
  <c r="AK401"/>
  <c r="R406"/>
  <c r="AK411"/>
  <c r="R416"/>
  <c r="AK421"/>
  <c r="R426"/>
  <c r="AK431"/>
  <c r="R436"/>
  <c r="AK441"/>
  <c r="R446"/>
  <c r="R448"/>
  <c r="R449"/>
  <c r="R450"/>
  <c r="F451"/>
  <c r="J451"/>
  <c r="N451"/>
  <c r="AA451"/>
  <c r="AE451"/>
  <c r="AI451"/>
  <c r="AK456"/>
  <c r="R461"/>
  <c r="AK466"/>
  <c r="R471"/>
  <c r="AK476"/>
  <c r="R481"/>
  <c r="AK486"/>
  <c r="R491"/>
  <c r="AK496"/>
  <c r="R501"/>
  <c r="AK506"/>
  <c r="R511"/>
  <c r="AK516"/>
  <c r="R521"/>
  <c r="R523"/>
  <c r="R524"/>
  <c r="R525"/>
  <c r="F526"/>
  <c r="J526"/>
  <c r="N526"/>
  <c r="AA526"/>
  <c r="AE526"/>
  <c r="AI526"/>
  <c r="AK531"/>
  <c r="R536"/>
  <c r="AK541"/>
  <c r="R546"/>
  <c r="AK551"/>
  <c r="R556"/>
  <c r="AK561"/>
  <c r="R566"/>
  <c r="AK571"/>
  <c r="R576"/>
  <c r="AK581"/>
  <c r="R586"/>
  <c r="AK591"/>
  <c r="R596"/>
  <c r="R598"/>
  <c r="R599"/>
  <c r="R600"/>
  <c r="F601"/>
  <c r="J601"/>
  <c r="N601"/>
  <c r="AA601"/>
  <c r="AE601"/>
  <c r="AI601"/>
  <c r="AK606"/>
  <c r="R611"/>
  <c r="AK616"/>
  <c r="R621"/>
  <c r="AK626"/>
  <c r="R631"/>
  <c r="Q636"/>
  <c r="AJ642"/>
  <c r="AJ652"/>
  <c r="AJ662"/>
  <c r="AJ672"/>
  <c r="AA678"/>
  <c r="AA1363" s="1"/>
  <c r="AE678"/>
  <c r="AI678"/>
  <c r="Z679"/>
  <c r="AD679"/>
  <c r="AD1364" s="1"/>
  <c r="AH679"/>
  <c r="F680"/>
  <c r="J680"/>
  <c r="N680"/>
  <c r="G676"/>
  <c r="AF677"/>
  <c r="X679"/>
  <c r="AB680"/>
  <c r="H692"/>
  <c r="L692"/>
  <c r="P692"/>
  <c r="X691"/>
  <c r="G697"/>
  <c r="O697"/>
  <c r="AH696"/>
  <c r="Y753"/>
  <c r="AC753"/>
  <c r="AG753"/>
  <c r="X751"/>
  <c r="O755"/>
  <c r="AK677"/>
  <c r="AK676"/>
  <c r="Z692"/>
  <c r="Z691"/>
  <c r="AD692"/>
  <c r="AD691"/>
  <c r="AH692"/>
  <c r="AH691"/>
  <c r="Z755"/>
  <c r="Z752"/>
  <c r="Z751"/>
  <c r="AD755"/>
  <c r="AD752"/>
  <c r="AD751"/>
  <c r="AH755"/>
  <c r="AH752"/>
  <c r="AH751"/>
  <c r="Q300"/>
  <c r="E301"/>
  <c r="I301"/>
  <c r="M301"/>
  <c r="Z301"/>
  <c r="AD301"/>
  <c r="AH301"/>
  <c r="AJ306"/>
  <c r="Q311"/>
  <c r="AJ316"/>
  <c r="Q321"/>
  <c r="AJ326"/>
  <c r="Q331"/>
  <c r="AJ336"/>
  <c r="Q341"/>
  <c r="AJ346"/>
  <c r="Q351"/>
  <c r="AJ356"/>
  <c r="Q361"/>
  <c r="AJ366"/>
  <c r="Q371"/>
  <c r="Q375"/>
  <c r="E376"/>
  <c r="I376"/>
  <c r="M376"/>
  <c r="Z376"/>
  <c r="AD376"/>
  <c r="AH376"/>
  <c r="AJ381"/>
  <c r="Q386"/>
  <c r="AJ391"/>
  <c r="Q396"/>
  <c r="AJ401"/>
  <c r="Q406"/>
  <c r="AJ411"/>
  <c r="Q416"/>
  <c r="AJ421"/>
  <c r="Q426"/>
  <c r="AJ431"/>
  <c r="Q436"/>
  <c r="AJ441"/>
  <c r="Q446"/>
  <c r="Q450"/>
  <c r="E451"/>
  <c r="I451"/>
  <c r="M451"/>
  <c r="Z451"/>
  <c r="AD451"/>
  <c r="AH451"/>
  <c r="AJ456"/>
  <c r="Q461"/>
  <c r="AJ466"/>
  <c r="Q471"/>
  <c r="AJ476"/>
  <c r="Q481"/>
  <c r="AJ486"/>
  <c r="Q491"/>
  <c r="AJ496"/>
  <c r="Q501"/>
  <c r="AJ506"/>
  <c r="Q511"/>
  <c r="AJ516"/>
  <c r="Q521"/>
  <c r="Q525"/>
  <c r="E526"/>
  <c r="I526"/>
  <c r="M526"/>
  <c r="Z526"/>
  <c r="AD526"/>
  <c r="AH526"/>
  <c r="AJ531"/>
  <c r="Q536"/>
  <c r="AJ541"/>
  <c r="Q546"/>
  <c r="AJ551"/>
  <c r="Q556"/>
  <c r="AJ561"/>
  <c r="Q566"/>
  <c r="AJ571"/>
  <c r="Q576"/>
  <c r="AJ581"/>
  <c r="Q586"/>
  <c r="AJ591"/>
  <c r="Q596"/>
  <c r="Q600"/>
  <c r="E601"/>
  <c r="I601"/>
  <c r="M601"/>
  <c r="Z601"/>
  <c r="AD601"/>
  <c r="AH601"/>
  <c r="AJ606"/>
  <c r="Q611"/>
  <c r="AJ616"/>
  <c r="Q621"/>
  <c r="AJ626"/>
  <c r="Q631"/>
  <c r="Q652"/>
  <c r="Q662"/>
  <c r="Q672"/>
  <c r="Z678"/>
  <c r="Z1363" s="1"/>
  <c r="AD678"/>
  <c r="AH678"/>
  <c r="F679"/>
  <c r="J679"/>
  <c r="J1364" s="1"/>
  <c r="N679"/>
  <c r="Y679"/>
  <c r="AC679"/>
  <c r="AG679"/>
  <c r="AG1364" s="1"/>
  <c r="E680"/>
  <c r="I680"/>
  <c r="M680"/>
  <c r="AJ675"/>
  <c r="X676"/>
  <c r="Q688"/>
  <c r="R689"/>
  <c r="O691"/>
  <c r="X692"/>
  <c r="E753"/>
  <c r="M753"/>
  <c r="M1358" s="1"/>
  <c r="AK693"/>
  <c r="J753"/>
  <c r="N753"/>
  <c r="F697"/>
  <c r="J697"/>
  <c r="N697"/>
  <c r="I696"/>
  <c r="AD696"/>
  <c r="M697"/>
  <c r="AJ702"/>
  <c r="Q707"/>
  <c r="AJ712"/>
  <c r="Q717"/>
  <c r="AJ722"/>
  <c r="Q727"/>
  <c r="AJ732"/>
  <c r="Q737"/>
  <c r="AJ742"/>
  <c r="Q747"/>
  <c r="AJ748"/>
  <c r="AK748"/>
  <c r="O751"/>
  <c r="X752"/>
  <c r="K755"/>
  <c r="AF755"/>
  <c r="Y692"/>
  <c r="Y691"/>
  <c r="AC692"/>
  <c r="AC691"/>
  <c r="AG692"/>
  <c r="AG691"/>
  <c r="Q754"/>
  <c r="R695"/>
  <c r="X695"/>
  <c r="AB697"/>
  <c r="AB696"/>
  <c r="AF697"/>
  <c r="AF696"/>
  <c r="Y755"/>
  <c r="Y1360" s="1"/>
  <c r="Y752"/>
  <c r="Y751"/>
  <c r="AC752"/>
  <c r="AC751"/>
  <c r="AG752"/>
  <c r="AG751"/>
  <c r="H301"/>
  <c r="L301"/>
  <c r="P301"/>
  <c r="Y301"/>
  <c r="AC301"/>
  <c r="AG301"/>
  <c r="R306"/>
  <c r="AK311"/>
  <c r="R316"/>
  <c r="AK321"/>
  <c r="R326"/>
  <c r="AK331"/>
  <c r="R336"/>
  <c r="AK341"/>
  <c r="R346"/>
  <c r="AK351"/>
  <c r="R356"/>
  <c r="AK361"/>
  <c r="R366"/>
  <c r="AK371"/>
  <c r="H376"/>
  <c r="L376"/>
  <c r="P376"/>
  <c r="Y376"/>
  <c r="AC376"/>
  <c r="AG376"/>
  <c r="R381"/>
  <c r="AK386"/>
  <c r="R391"/>
  <c r="AK396"/>
  <c r="R401"/>
  <c r="AK406"/>
  <c r="R411"/>
  <c r="AK416"/>
  <c r="R421"/>
  <c r="AK426"/>
  <c r="R431"/>
  <c r="AK436"/>
  <c r="R441"/>
  <c r="AK446"/>
  <c r="H451"/>
  <c r="L451"/>
  <c r="P451"/>
  <c r="Y451"/>
  <c r="AC451"/>
  <c r="AG451"/>
  <c r="R456"/>
  <c r="AK461"/>
  <c r="R466"/>
  <c r="AK471"/>
  <c r="R476"/>
  <c r="AK481"/>
  <c r="R486"/>
  <c r="AK491"/>
  <c r="R496"/>
  <c r="AK501"/>
  <c r="R506"/>
  <c r="AK511"/>
  <c r="R516"/>
  <c r="AK521"/>
  <c r="H526"/>
  <c r="L526"/>
  <c r="P526"/>
  <c r="Y526"/>
  <c r="AC526"/>
  <c r="AG526"/>
  <c r="R531"/>
  <c r="AK536"/>
  <c r="R541"/>
  <c r="AK546"/>
  <c r="R551"/>
  <c r="AK556"/>
  <c r="R561"/>
  <c r="AK566"/>
  <c r="R571"/>
  <c r="AK576"/>
  <c r="R581"/>
  <c r="AK586"/>
  <c r="R591"/>
  <c r="AK596"/>
  <c r="H601"/>
  <c r="L601"/>
  <c r="P601"/>
  <c r="Y601"/>
  <c r="AC601"/>
  <c r="AG601"/>
  <c r="R606"/>
  <c r="AK611"/>
  <c r="R616"/>
  <c r="AK621"/>
  <c r="R626"/>
  <c r="AK632"/>
  <c r="AK631"/>
  <c r="Q642"/>
  <c r="Q641"/>
  <c r="AK652"/>
  <c r="AK662"/>
  <c r="AK672"/>
  <c r="F678"/>
  <c r="J678"/>
  <c r="Y678"/>
  <c r="AC678"/>
  <c r="AG678"/>
  <c r="AG1363" s="1"/>
  <c r="E679"/>
  <c r="I679"/>
  <c r="M679"/>
  <c r="AJ674"/>
  <c r="H680"/>
  <c r="L680"/>
  <c r="P680"/>
  <c r="O676"/>
  <c r="X677"/>
  <c r="Q689"/>
  <c r="AJ693"/>
  <c r="Q695"/>
  <c r="E696"/>
  <c r="I697"/>
  <c r="Q702"/>
  <c r="Q712"/>
  <c r="Q722"/>
  <c r="Q732"/>
  <c r="Q742"/>
  <c r="AA753"/>
  <c r="AE753"/>
  <c r="AE1358" s="1"/>
  <c r="AI753"/>
  <c r="K751"/>
  <c r="O752"/>
  <c r="G755"/>
  <c r="N1358"/>
  <c r="AC831"/>
  <c r="AG832"/>
  <c r="Y906"/>
  <c r="P981"/>
  <c r="Y982"/>
  <c r="R1062"/>
  <c r="F1131"/>
  <c r="AA1359"/>
  <c r="AE1359"/>
  <c r="AE1132"/>
  <c r="AE1131"/>
  <c r="AI1132"/>
  <c r="AI1131"/>
  <c r="AK636"/>
  <c r="R641"/>
  <c r="AK646"/>
  <c r="R651"/>
  <c r="AK656"/>
  <c r="R661"/>
  <c r="AK666"/>
  <c r="R671"/>
  <c r="R673"/>
  <c r="R674"/>
  <c r="R675"/>
  <c r="F676"/>
  <c r="J676"/>
  <c r="N676"/>
  <c r="AA676"/>
  <c r="AE676"/>
  <c r="AI676"/>
  <c r="F677"/>
  <c r="J677"/>
  <c r="N677"/>
  <c r="AA677"/>
  <c r="AE677"/>
  <c r="AI677"/>
  <c r="AK686"/>
  <c r="R690"/>
  <c r="AA690"/>
  <c r="AK690" s="1"/>
  <c r="AE690"/>
  <c r="AI690"/>
  <c r="F691"/>
  <c r="J691"/>
  <c r="N691"/>
  <c r="F692"/>
  <c r="J692"/>
  <c r="N692"/>
  <c r="F693"/>
  <c r="F753" s="1"/>
  <c r="R693"/>
  <c r="Q694"/>
  <c r="Y695"/>
  <c r="AC695"/>
  <c r="AG695"/>
  <c r="H696"/>
  <c r="L696"/>
  <c r="P696"/>
  <c r="H697"/>
  <c r="L697"/>
  <c r="P697"/>
  <c r="R701"/>
  <c r="AK706"/>
  <c r="R711"/>
  <c r="AK716"/>
  <c r="R721"/>
  <c r="AK726"/>
  <c r="R731"/>
  <c r="AK736"/>
  <c r="R741"/>
  <c r="AK746"/>
  <c r="R750"/>
  <c r="AA750"/>
  <c r="AE750"/>
  <c r="AI750"/>
  <c r="AJ750" s="1"/>
  <c r="F751"/>
  <c r="J751"/>
  <c r="N751"/>
  <c r="F752"/>
  <c r="J752"/>
  <c r="N752"/>
  <c r="F755"/>
  <c r="J755"/>
  <c r="J1360" s="1"/>
  <c r="N755"/>
  <c r="AK761"/>
  <c r="R766"/>
  <c r="AK771"/>
  <c r="R776"/>
  <c r="AK781"/>
  <c r="R786"/>
  <c r="AK791"/>
  <c r="R796"/>
  <c r="AK801"/>
  <c r="AK807"/>
  <c r="AK811"/>
  <c r="AK821"/>
  <c r="R829"/>
  <c r="Q904"/>
  <c r="AJ904"/>
  <c r="AK906"/>
  <c r="AJ912"/>
  <c r="AJ922"/>
  <c r="AJ932"/>
  <c r="AJ942"/>
  <c r="AJ952"/>
  <c r="AJ962"/>
  <c r="AJ972"/>
  <c r="AJ978"/>
  <c r="L981"/>
  <c r="R987"/>
  <c r="R992"/>
  <c r="AK992"/>
  <c r="R997"/>
  <c r="R1002"/>
  <c r="AK1002"/>
  <c r="R1012"/>
  <c r="AK1012"/>
  <c r="R1022"/>
  <c r="AK1022"/>
  <c r="R1032"/>
  <c r="AK1032"/>
  <c r="R1042"/>
  <c r="AK1042"/>
  <c r="R1052"/>
  <c r="AK1052"/>
  <c r="H1056"/>
  <c r="AK1066"/>
  <c r="AA1132"/>
  <c r="R1292"/>
  <c r="R1312"/>
  <c r="R1332"/>
  <c r="R1352"/>
  <c r="H1358"/>
  <c r="L1358"/>
  <c r="P1358"/>
  <c r="AA1358"/>
  <c r="R1077"/>
  <c r="R1076"/>
  <c r="F1357"/>
  <c r="R1355"/>
  <c r="J1356"/>
  <c r="N1357"/>
  <c r="N1360"/>
  <c r="N1356"/>
  <c r="AJ646"/>
  <c r="Q651"/>
  <c r="AJ656"/>
  <c r="Q661"/>
  <c r="AJ666"/>
  <c r="Q671"/>
  <c r="Q673"/>
  <c r="Q674"/>
  <c r="Q675"/>
  <c r="E676"/>
  <c r="I676"/>
  <c r="M676"/>
  <c r="Z676"/>
  <c r="AD676"/>
  <c r="AH676"/>
  <c r="E677"/>
  <c r="I677"/>
  <c r="M677"/>
  <c r="Z677"/>
  <c r="AD677"/>
  <c r="AH677"/>
  <c r="AJ686"/>
  <c r="Q690"/>
  <c r="E691"/>
  <c r="I691"/>
  <c r="M691"/>
  <c r="Q693"/>
  <c r="G696"/>
  <c r="K696"/>
  <c r="O696"/>
  <c r="Q701"/>
  <c r="AJ706"/>
  <c r="Q711"/>
  <c r="AJ716"/>
  <c r="Q721"/>
  <c r="AJ726"/>
  <c r="Q731"/>
  <c r="AJ736"/>
  <c r="Q741"/>
  <c r="AJ746"/>
  <c r="Q750"/>
  <c r="E751"/>
  <c r="I751"/>
  <c r="M751"/>
  <c r="E752"/>
  <c r="I752"/>
  <c r="M752"/>
  <c r="AJ761"/>
  <c r="Q766"/>
  <c r="AJ771"/>
  <c r="Q776"/>
  <c r="AJ781"/>
  <c r="Q786"/>
  <c r="AJ791"/>
  <c r="Q796"/>
  <c r="AJ801"/>
  <c r="Q807"/>
  <c r="Q806"/>
  <c r="P831"/>
  <c r="R912"/>
  <c r="R917"/>
  <c r="AK917"/>
  <c r="R922"/>
  <c r="R927"/>
  <c r="AK927"/>
  <c r="R932"/>
  <c r="R937"/>
  <c r="AK937"/>
  <c r="R942"/>
  <c r="R947"/>
  <c r="AK947"/>
  <c r="R952"/>
  <c r="R957"/>
  <c r="AK957"/>
  <c r="R962"/>
  <c r="R967"/>
  <c r="AK967"/>
  <c r="R972"/>
  <c r="R977"/>
  <c r="AK977"/>
  <c r="H981"/>
  <c r="AC981"/>
  <c r="R1054"/>
  <c r="Z1358"/>
  <c r="AD1358"/>
  <c r="AH1358"/>
  <c r="G1359"/>
  <c r="K1359"/>
  <c r="O1359"/>
  <c r="Y1359"/>
  <c r="AC1359"/>
  <c r="AG1359"/>
  <c r="AI1358"/>
  <c r="AK1136"/>
  <c r="AK1137"/>
  <c r="AK1146"/>
  <c r="AK1147"/>
  <c r="AK1156"/>
  <c r="AK1157"/>
  <c r="AK1166"/>
  <c r="AK1167"/>
  <c r="AK1176"/>
  <c r="AK1177"/>
  <c r="AK1186"/>
  <c r="AK1187"/>
  <c r="AK1196"/>
  <c r="AK1197"/>
  <c r="R636"/>
  <c r="AK641"/>
  <c r="R646"/>
  <c r="AK651"/>
  <c r="R656"/>
  <c r="AK661"/>
  <c r="R666"/>
  <c r="AK671"/>
  <c r="H676"/>
  <c r="L676"/>
  <c r="P676"/>
  <c r="Y676"/>
  <c r="AC676"/>
  <c r="AG676"/>
  <c r="H677"/>
  <c r="L677"/>
  <c r="P677"/>
  <c r="Y677"/>
  <c r="AC677"/>
  <c r="AG677"/>
  <c r="R686"/>
  <c r="H691"/>
  <c r="L691"/>
  <c r="P691"/>
  <c r="F696"/>
  <c r="J696"/>
  <c r="N696"/>
  <c r="AK701"/>
  <c r="R706"/>
  <c r="AK711"/>
  <c r="R716"/>
  <c r="AK721"/>
  <c r="R726"/>
  <c r="AK731"/>
  <c r="R736"/>
  <c r="AK741"/>
  <c r="R746"/>
  <c r="H751"/>
  <c r="L751"/>
  <c r="P751"/>
  <c r="H752"/>
  <c r="L752"/>
  <c r="P752"/>
  <c r="R761"/>
  <c r="AK766"/>
  <c r="R771"/>
  <c r="AK776"/>
  <c r="R781"/>
  <c r="AK786"/>
  <c r="R791"/>
  <c r="AK796"/>
  <c r="R801"/>
  <c r="AJ828"/>
  <c r="R902"/>
  <c r="R979"/>
  <c r="AK980"/>
  <c r="Q1054"/>
  <c r="AJ1062"/>
  <c r="AK1071"/>
  <c r="R1282"/>
  <c r="AA1282"/>
  <c r="AE1282"/>
  <c r="R1302"/>
  <c r="R1322"/>
  <c r="R1342"/>
  <c r="J1358"/>
  <c r="F1359"/>
  <c r="J1359"/>
  <c r="N1359"/>
  <c r="X1360"/>
  <c r="AB1360"/>
  <c r="AF1360"/>
  <c r="F1356"/>
  <c r="Q811"/>
  <c r="AJ816"/>
  <c r="Q821"/>
  <c r="AJ826"/>
  <c r="AJ830"/>
  <c r="G831"/>
  <c r="K831"/>
  <c r="O831"/>
  <c r="X831"/>
  <c r="AB831"/>
  <c r="AF831"/>
  <c r="Q836"/>
  <c r="AJ841"/>
  <c r="Q846"/>
  <c r="AJ851"/>
  <c r="Q856"/>
  <c r="AJ861"/>
  <c r="Q866"/>
  <c r="AJ871"/>
  <c r="Q876"/>
  <c r="AJ881"/>
  <c r="Q886"/>
  <c r="AJ891"/>
  <c r="Q896"/>
  <c r="AJ901"/>
  <c r="AJ905"/>
  <c r="G906"/>
  <c r="K906"/>
  <c r="O906"/>
  <c r="X906"/>
  <c r="AB906"/>
  <c r="AF906"/>
  <c r="Q911"/>
  <c r="AJ916"/>
  <c r="Q921"/>
  <c r="AJ926"/>
  <c r="Q931"/>
  <c r="AJ936"/>
  <c r="Q941"/>
  <c r="AJ946"/>
  <c r="Q951"/>
  <c r="AJ956"/>
  <c r="Q961"/>
  <c r="AJ966"/>
  <c r="Q971"/>
  <c r="AJ976"/>
  <c r="AJ980"/>
  <c r="G981"/>
  <c r="K981"/>
  <c r="O981"/>
  <c r="X981"/>
  <c r="AB981"/>
  <c r="AF981"/>
  <c r="Q986"/>
  <c r="AJ991"/>
  <c r="Q996"/>
  <c r="AJ1001"/>
  <c r="Q1006"/>
  <c r="AJ1011"/>
  <c r="Q1016"/>
  <c r="AJ1021"/>
  <c r="Q1026"/>
  <c r="AJ1031"/>
  <c r="Q1036"/>
  <c r="AJ1041"/>
  <c r="Q1046"/>
  <c r="AJ1051"/>
  <c r="AJ1055"/>
  <c r="G1056"/>
  <c r="K1056"/>
  <c r="O1056"/>
  <c r="X1056"/>
  <c r="AB1056"/>
  <c r="AF1056"/>
  <c r="Q1061"/>
  <c r="AJ1067"/>
  <c r="AJ1066"/>
  <c r="AJ1072"/>
  <c r="R1072"/>
  <c r="AJ1128"/>
  <c r="Q1129"/>
  <c r="AJ1142"/>
  <c r="AJ1152"/>
  <c r="AJ1162"/>
  <c r="AJ1172"/>
  <c r="AJ1182"/>
  <c r="AJ1192"/>
  <c r="AJ1202"/>
  <c r="Q1203"/>
  <c r="J1206"/>
  <c r="R1272"/>
  <c r="F1281"/>
  <c r="AA1281"/>
  <c r="G1358"/>
  <c r="K1358"/>
  <c r="O1358"/>
  <c r="Y1358"/>
  <c r="AC1358"/>
  <c r="AG1358"/>
  <c r="X1359"/>
  <c r="AB1359"/>
  <c r="AF1359"/>
  <c r="E1360"/>
  <c r="I1360"/>
  <c r="M1360"/>
  <c r="AI1359"/>
  <c r="R830"/>
  <c r="F831"/>
  <c r="J831"/>
  <c r="N831"/>
  <c r="AA831"/>
  <c r="AE831"/>
  <c r="AI831"/>
  <c r="AK836"/>
  <c r="R841"/>
  <c r="AK846"/>
  <c r="R851"/>
  <c r="AK856"/>
  <c r="R861"/>
  <c r="AK866"/>
  <c r="R871"/>
  <c r="AK876"/>
  <c r="R881"/>
  <c r="AK886"/>
  <c r="R891"/>
  <c r="AK896"/>
  <c r="R901"/>
  <c r="R905"/>
  <c r="F906"/>
  <c r="J906"/>
  <c r="N906"/>
  <c r="AA906"/>
  <c r="AE906"/>
  <c r="AI906"/>
  <c r="AK911"/>
  <c r="R916"/>
  <c r="AK921"/>
  <c r="R926"/>
  <c r="AK931"/>
  <c r="R936"/>
  <c r="AK941"/>
  <c r="R946"/>
  <c r="AK951"/>
  <c r="R956"/>
  <c r="AK961"/>
  <c r="R966"/>
  <c r="AK971"/>
  <c r="R976"/>
  <c r="R980"/>
  <c r="F981"/>
  <c r="J981"/>
  <c r="N981"/>
  <c r="AA981"/>
  <c r="AE981"/>
  <c r="AI981"/>
  <c r="AK986"/>
  <c r="R991"/>
  <c r="AK996"/>
  <c r="R1001"/>
  <c r="AK1006"/>
  <c r="R1011"/>
  <c r="AK1016"/>
  <c r="R1021"/>
  <c r="AK1026"/>
  <c r="R1031"/>
  <c r="AK1036"/>
  <c r="R1041"/>
  <c r="AK1046"/>
  <c r="R1051"/>
  <c r="R1055"/>
  <c r="F1056"/>
  <c r="J1056"/>
  <c r="N1056"/>
  <c r="AA1056"/>
  <c r="AE1056"/>
  <c r="AI1056"/>
  <c r="AK1061"/>
  <c r="R1066"/>
  <c r="R1137"/>
  <c r="R1142"/>
  <c r="R1147"/>
  <c r="R1152"/>
  <c r="R1157"/>
  <c r="R1162"/>
  <c r="R1167"/>
  <c r="R1172"/>
  <c r="R1177"/>
  <c r="R1182"/>
  <c r="R1187"/>
  <c r="R1192"/>
  <c r="R1197"/>
  <c r="R1202"/>
  <c r="AK1204"/>
  <c r="F1206"/>
  <c r="R1281"/>
  <c r="X1358"/>
  <c r="AB1358"/>
  <c r="AF1358"/>
  <c r="E1359"/>
  <c r="I1359"/>
  <c r="M1359"/>
  <c r="H1360"/>
  <c r="L1360"/>
  <c r="P1360"/>
  <c r="Z1360"/>
  <c r="AD1360"/>
  <c r="AH1360"/>
  <c r="F1358"/>
  <c r="AJ811"/>
  <c r="Q816"/>
  <c r="AJ821"/>
  <c r="Q826"/>
  <c r="Q830"/>
  <c r="E831"/>
  <c r="I831"/>
  <c r="M831"/>
  <c r="Z831"/>
  <c r="AD831"/>
  <c r="AH831"/>
  <c r="AJ836"/>
  <c r="Q841"/>
  <c r="AJ846"/>
  <c r="Q851"/>
  <c r="AJ856"/>
  <c r="Q861"/>
  <c r="AJ866"/>
  <c r="Q871"/>
  <c r="AJ876"/>
  <c r="Q881"/>
  <c r="AJ886"/>
  <c r="Q891"/>
  <c r="AJ896"/>
  <c r="Q901"/>
  <c r="Q905"/>
  <c r="E906"/>
  <c r="I906"/>
  <c r="M906"/>
  <c r="Z906"/>
  <c r="AD906"/>
  <c r="AH906"/>
  <c r="AJ911"/>
  <c r="Q916"/>
  <c r="AJ921"/>
  <c r="Q926"/>
  <c r="AJ931"/>
  <c r="Q936"/>
  <c r="AJ941"/>
  <c r="Q946"/>
  <c r="AJ951"/>
  <c r="Q956"/>
  <c r="AJ961"/>
  <c r="Q966"/>
  <c r="AJ971"/>
  <c r="Q976"/>
  <c r="Q980"/>
  <c r="E981"/>
  <c r="I981"/>
  <c r="M981"/>
  <c r="Z981"/>
  <c r="AD981"/>
  <c r="AH981"/>
  <c r="AJ986"/>
  <c r="Q991"/>
  <c r="AJ996"/>
  <c r="Q1001"/>
  <c r="AJ1006"/>
  <c r="Q1011"/>
  <c r="AJ1016"/>
  <c r="Q1021"/>
  <c r="AJ1026"/>
  <c r="Q1031"/>
  <c r="AJ1036"/>
  <c r="Q1041"/>
  <c r="AJ1046"/>
  <c r="Q1051"/>
  <c r="Q1055"/>
  <c r="E1056"/>
  <c r="I1056"/>
  <c r="M1056"/>
  <c r="Z1056"/>
  <c r="AD1056"/>
  <c r="AH1056"/>
  <c r="AJ1061"/>
  <c r="Q1066"/>
  <c r="AJ1077"/>
  <c r="R1102"/>
  <c r="R1112"/>
  <c r="R1122"/>
  <c r="AK1129"/>
  <c r="AK1203"/>
  <c r="AJ1204"/>
  <c r="R1205"/>
  <c r="AJ1278"/>
  <c r="Q1279"/>
  <c r="AJ1292"/>
  <c r="AJ1302"/>
  <c r="AJ1312"/>
  <c r="AJ1322"/>
  <c r="AJ1332"/>
  <c r="AJ1342"/>
  <c r="AJ1352"/>
  <c r="E1358"/>
  <c r="I1358"/>
  <c r="L1359"/>
  <c r="P1359"/>
  <c r="Z1359"/>
  <c r="AD1359"/>
  <c r="AH1359"/>
  <c r="G1360"/>
  <c r="O1360"/>
  <c r="AE1356"/>
  <c r="AJ1071"/>
  <c r="Q1076"/>
  <c r="AJ1081"/>
  <c r="Q1086"/>
  <c r="AJ1091"/>
  <c r="Q1096"/>
  <c r="AJ1101"/>
  <c r="Q1106"/>
  <c r="AJ1111"/>
  <c r="Q1116"/>
  <c r="AJ1121"/>
  <c r="Q1126"/>
  <c r="Q1130"/>
  <c r="E1131"/>
  <c r="I1131"/>
  <c r="M1131"/>
  <c r="Z1131"/>
  <c r="AD1131"/>
  <c r="AH1131"/>
  <c r="AJ1136"/>
  <c r="Q1141"/>
  <c r="AJ1146"/>
  <c r="Q1151"/>
  <c r="AJ1156"/>
  <c r="Q1161"/>
  <c r="AJ1166"/>
  <c r="Q1171"/>
  <c r="AJ1176"/>
  <c r="Q1181"/>
  <c r="AJ1186"/>
  <c r="Q1191"/>
  <c r="AJ1196"/>
  <c r="Q1201"/>
  <c r="Q1205"/>
  <c r="E1206"/>
  <c r="I1206"/>
  <c r="M1206"/>
  <c r="Z1206"/>
  <c r="AD1206"/>
  <c r="AH1206"/>
  <c r="AJ1211"/>
  <c r="Q1216"/>
  <c r="AJ1221"/>
  <c r="Q1226"/>
  <c r="AJ1231"/>
  <c r="Q1236"/>
  <c r="AJ1241"/>
  <c r="Q1246"/>
  <c r="AJ1251"/>
  <c r="Q1256"/>
  <c r="AJ1261"/>
  <c r="Q1266"/>
  <c r="AJ1271"/>
  <c r="Q1276"/>
  <c r="Q1280"/>
  <c r="E1281"/>
  <c r="I1281"/>
  <c r="M1281"/>
  <c r="Z1281"/>
  <c r="AD1281"/>
  <c r="AH1281"/>
  <c r="AJ1286"/>
  <c r="Q1291"/>
  <c r="AJ1296"/>
  <c r="Q1301"/>
  <c r="AJ1306"/>
  <c r="Q1311"/>
  <c r="AJ1316"/>
  <c r="Q1321"/>
  <c r="AJ1326"/>
  <c r="Q1331"/>
  <c r="AJ1336"/>
  <c r="Q1341"/>
  <c r="AJ1346"/>
  <c r="Q1351"/>
  <c r="Q1353"/>
  <c r="Q1354"/>
  <c r="Q1355"/>
  <c r="E1356"/>
  <c r="I1356"/>
  <c r="M1356"/>
  <c r="Z1356"/>
  <c r="AD1356"/>
  <c r="AH1356"/>
  <c r="E1357"/>
  <c r="I1357"/>
  <c r="M1357"/>
  <c r="Z1357"/>
  <c r="AD1357"/>
  <c r="AH1357"/>
  <c r="R1081"/>
  <c r="AK1086"/>
  <c r="R1091"/>
  <c r="AK1096"/>
  <c r="R1101"/>
  <c r="AK1106"/>
  <c r="R1111"/>
  <c r="AK1116"/>
  <c r="R1121"/>
  <c r="AK1126"/>
  <c r="AK1130"/>
  <c r="H1131"/>
  <c r="L1131"/>
  <c r="P1131"/>
  <c r="Y1131"/>
  <c r="AC1131"/>
  <c r="AG1131"/>
  <c r="R1136"/>
  <c r="AK1141"/>
  <c r="R1146"/>
  <c r="AK1151"/>
  <c r="R1156"/>
  <c r="AK1161"/>
  <c r="R1166"/>
  <c r="AK1171"/>
  <c r="R1176"/>
  <c r="AK1181"/>
  <c r="R1186"/>
  <c r="AK1191"/>
  <c r="R1196"/>
  <c r="AK1201"/>
  <c r="AK1205"/>
  <c r="H1206"/>
  <c r="L1206"/>
  <c r="P1206"/>
  <c r="Y1206"/>
  <c r="AC1206"/>
  <c r="AG1206"/>
  <c r="R1211"/>
  <c r="AK1216"/>
  <c r="R1221"/>
  <c r="AK1226"/>
  <c r="R1231"/>
  <c r="AK1236"/>
  <c r="R1241"/>
  <c r="AK1246"/>
  <c r="R1251"/>
  <c r="AK1256"/>
  <c r="R1261"/>
  <c r="AK1266"/>
  <c r="R1271"/>
  <c r="AK1276"/>
  <c r="AK1278"/>
  <c r="AK1279"/>
  <c r="AK1280"/>
  <c r="H1281"/>
  <c r="L1281"/>
  <c r="P1281"/>
  <c r="Y1281"/>
  <c r="AC1281"/>
  <c r="AG1281"/>
  <c r="R1286"/>
  <c r="AK1291"/>
  <c r="R1296"/>
  <c r="AK1301"/>
  <c r="R1306"/>
  <c r="AK1311"/>
  <c r="R1316"/>
  <c r="AK1321"/>
  <c r="R1326"/>
  <c r="AK1331"/>
  <c r="R1336"/>
  <c r="AK1341"/>
  <c r="R1346"/>
  <c r="AK1351"/>
  <c r="AK1353"/>
  <c r="AK1354"/>
  <c r="AK1355"/>
  <c r="H1356"/>
  <c r="L1356"/>
  <c r="P1356"/>
  <c r="Y1356"/>
  <c r="AC1356"/>
  <c r="AG1356"/>
  <c r="H1357"/>
  <c r="L1357"/>
  <c r="P1357"/>
  <c r="Y1357"/>
  <c r="AC1357"/>
  <c r="AG1357"/>
  <c r="Q1071"/>
  <c r="AJ1076"/>
  <c r="Q1081"/>
  <c r="AJ1086"/>
  <c r="Q1091"/>
  <c r="AJ1096"/>
  <c r="Q1101"/>
  <c r="AJ1106"/>
  <c r="Q1111"/>
  <c r="AJ1116"/>
  <c r="Q1121"/>
  <c r="AJ1126"/>
  <c r="AJ1130"/>
  <c r="G1131"/>
  <c r="K1131"/>
  <c r="O1131"/>
  <c r="X1131"/>
  <c r="AB1131"/>
  <c r="AF1131"/>
  <c r="Q1136"/>
  <c r="AJ1141"/>
  <c r="Q1146"/>
  <c r="AJ1151"/>
  <c r="Q1156"/>
  <c r="AJ1161"/>
  <c r="Q1166"/>
  <c r="AJ1171"/>
  <c r="Q1176"/>
  <c r="AJ1181"/>
  <c r="Q1186"/>
  <c r="AJ1191"/>
  <c r="Q1196"/>
  <c r="AJ1201"/>
  <c r="AJ1205"/>
  <c r="G1206"/>
  <c r="K1206"/>
  <c r="O1206"/>
  <c r="X1206"/>
  <c r="AB1206"/>
  <c r="AF1206"/>
  <c r="Q1211"/>
  <c r="AJ1216"/>
  <c r="Q1221"/>
  <c r="AJ1226"/>
  <c r="Q1231"/>
  <c r="AJ1236"/>
  <c r="Q1241"/>
  <c r="AJ1246"/>
  <c r="Q1251"/>
  <c r="AJ1256"/>
  <c r="Q1261"/>
  <c r="AJ1266"/>
  <c r="Q1271"/>
  <c r="AJ1276"/>
  <c r="AJ1280"/>
  <c r="G1281"/>
  <c r="K1281"/>
  <c r="O1281"/>
  <c r="X1281"/>
  <c r="AB1281"/>
  <c r="AF1281"/>
  <c r="Q1286"/>
  <c r="AJ1291"/>
  <c r="Q1296"/>
  <c r="AJ1301"/>
  <c r="Q1306"/>
  <c r="AJ1311"/>
  <c r="Q1316"/>
  <c r="AJ1321"/>
  <c r="Q1326"/>
  <c r="AJ1331"/>
  <c r="Q1336"/>
  <c r="AJ1341"/>
  <c r="Q1346"/>
  <c r="AJ1351"/>
  <c r="AJ1353"/>
  <c r="AJ1354"/>
  <c r="AJ1355"/>
  <c r="G1356"/>
  <c r="K1356"/>
  <c r="O1356"/>
  <c r="X1356"/>
  <c r="AB1356"/>
  <c r="AF1356"/>
  <c r="G1357"/>
  <c r="K1357"/>
  <c r="O1357"/>
  <c r="X1357"/>
  <c r="AB1357"/>
  <c r="AF1357"/>
  <c r="AJ752" l="1"/>
  <c r="AJ751"/>
  <c r="Y1362"/>
  <c r="Y1361"/>
  <c r="AI77"/>
  <c r="AI76"/>
  <c r="AI680"/>
  <c r="J1362"/>
  <c r="J1361"/>
  <c r="Q73"/>
  <c r="AD1365"/>
  <c r="AD682"/>
  <c r="AD681"/>
  <c r="AK692"/>
  <c r="AK691"/>
  <c r="O1365"/>
  <c r="O682"/>
  <c r="O681"/>
  <c r="AK6"/>
  <c r="AK7"/>
  <c r="AJ1357"/>
  <c r="AJ1356"/>
  <c r="AJ1207"/>
  <c r="AJ1206"/>
  <c r="AK1207"/>
  <c r="AK1206"/>
  <c r="G1362"/>
  <c r="G1361"/>
  <c r="R907"/>
  <c r="R906"/>
  <c r="Q677"/>
  <c r="Q676"/>
  <c r="AG697"/>
  <c r="AG696"/>
  <c r="AI692"/>
  <c r="AI691"/>
  <c r="AJ676"/>
  <c r="AJ677"/>
  <c r="Q602"/>
  <c r="Q601"/>
  <c r="Q302"/>
  <c r="Q301"/>
  <c r="I757"/>
  <c r="I756"/>
  <c r="AH1365"/>
  <c r="AH682"/>
  <c r="AH681"/>
  <c r="E1363"/>
  <c r="X1373"/>
  <c r="X37"/>
  <c r="X36"/>
  <c r="AJ35"/>
  <c r="AK35"/>
  <c r="Y1374"/>
  <c r="Y1375"/>
  <c r="G77"/>
  <c r="G76"/>
  <c r="AA47"/>
  <c r="AA46"/>
  <c r="AE37"/>
  <c r="AE36"/>
  <c r="Y32"/>
  <c r="Y31"/>
  <c r="AA27"/>
  <c r="AA26"/>
  <c r="AA17"/>
  <c r="AA16"/>
  <c r="AJ7"/>
  <c r="AJ6"/>
  <c r="AK1357"/>
  <c r="AK1356"/>
  <c r="AJ1132"/>
  <c r="AJ1131"/>
  <c r="AK1282"/>
  <c r="AK1281"/>
  <c r="AK1132"/>
  <c r="AK1131"/>
  <c r="Q1132"/>
  <c r="Q1131"/>
  <c r="Q1358"/>
  <c r="R1358"/>
  <c r="Q907"/>
  <c r="Q906"/>
  <c r="AH1362"/>
  <c r="AH1361"/>
  <c r="L1362"/>
  <c r="L1361"/>
  <c r="Q1359"/>
  <c r="R1359"/>
  <c r="R832"/>
  <c r="R831"/>
  <c r="E1362"/>
  <c r="E1361"/>
  <c r="AJ982"/>
  <c r="AJ981"/>
  <c r="F757"/>
  <c r="F756"/>
  <c r="F1360"/>
  <c r="AE755"/>
  <c r="AE752"/>
  <c r="AE751"/>
  <c r="AC697"/>
  <c r="AC696"/>
  <c r="AE692"/>
  <c r="AE691"/>
  <c r="R677"/>
  <c r="R676"/>
  <c r="Q697"/>
  <c r="Q696"/>
  <c r="P1365"/>
  <c r="P681"/>
  <c r="X697"/>
  <c r="X696"/>
  <c r="AJ695"/>
  <c r="AK695"/>
  <c r="Q753"/>
  <c r="R753"/>
  <c r="M1365"/>
  <c r="M682"/>
  <c r="M681"/>
  <c r="Q527"/>
  <c r="Q526"/>
  <c r="Z757"/>
  <c r="Z756"/>
  <c r="J1365"/>
  <c r="J682"/>
  <c r="J681"/>
  <c r="R602"/>
  <c r="R601"/>
  <c r="R302"/>
  <c r="R301"/>
  <c r="E757"/>
  <c r="E756"/>
  <c r="Q755"/>
  <c r="R755"/>
  <c r="X1363"/>
  <c r="AK678"/>
  <c r="AJ678"/>
  <c r="Q227"/>
  <c r="Q226"/>
  <c r="Q12"/>
  <c r="Q11"/>
  <c r="Q37"/>
  <c r="Q36"/>
  <c r="Q27"/>
  <c r="Q26"/>
  <c r="R227"/>
  <c r="R226"/>
  <c r="R72"/>
  <c r="R71"/>
  <c r="AK227"/>
  <c r="AK226"/>
  <c r="Y75"/>
  <c r="Y72"/>
  <c r="Y71"/>
  <c r="R46"/>
  <c r="AA37"/>
  <c r="AA36"/>
  <c r="R27"/>
  <c r="R26"/>
  <c r="R17"/>
  <c r="R16"/>
  <c r="AI7"/>
  <c r="AI6"/>
  <c r="R12"/>
  <c r="R11"/>
  <c r="Q7"/>
  <c r="Q6"/>
  <c r="AF77"/>
  <c r="AF76"/>
  <c r="AH77"/>
  <c r="AH76"/>
  <c r="AK753"/>
  <c r="J1363"/>
  <c r="O1363"/>
  <c r="AE75"/>
  <c r="R43"/>
  <c r="R47" s="1"/>
  <c r="AK45"/>
  <c r="M1364"/>
  <c r="AC1363"/>
  <c r="F1363"/>
  <c r="AC755"/>
  <c r="AC1364"/>
  <c r="F1364"/>
  <c r="G680"/>
  <c r="Z1364"/>
  <c r="H756"/>
  <c r="AA1364"/>
  <c r="Q68"/>
  <c r="K1363"/>
  <c r="AF1363"/>
  <c r="AK1371"/>
  <c r="AK30"/>
  <c r="Q28"/>
  <c r="AJ25"/>
  <c r="AJ15"/>
  <c r="P73"/>
  <c r="L73"/>
  <c r="AK74"/>
  <c r="H47"/>
  <c r="N77"/>
  <c r="F77"/>
  <c r="AJ45"/>
  <c r="Q1357"/>
  <c r="Q1356"/>
  <c r="Q982"/>
  <c r="Q981"/>
  <c r="AJ1358"/>
  <c r="AK1358"/>
  <c r="AJ1359"/>
  <c r="AK1359"/>
  <c r="AJ1057"/>
  <c r="AJ1056"/>
  <c r="X1362"/>
  <c r="X1361"/>
  <c r="Q752"/>
  <c r="Q751"/>
  <c r="J757"/>
  <c r="J756"/>
  <c r="K756"/>
  <c r="K757"/>
  <c r="Q32"/>
  <c r="Q31"/>
  <c r="AJ151"/>
  <c r="AJ152"/>
  <c r="AC75"/>
  <c r="AC72"/>
  <c r="AC71"/>
  <c r="Y12"/>
  <c r="Y11"/>
  <c r="AD77"/>
  <c r="AD76"/>
  <c r="AJ1282"/>
  <c r="AJ1281"/>
  <c r="Q1282"/>
  <c r="Q1281"/>
  <c r="R1206"/>
  <c r="R1207"/>
  <c r="Q1057"/>
  <c r="Q1056"/>
  <c r="Z1362"/>
  <c r="Z1361"/>
  <c r="R982"/>
  <c r="R981"/>
  <c r="M1362"/>
  <c r="M1361"/>
  <c r="AJ832"/>
  <c r="AJ831"/>
  <c r="AB1362"/>
  <c r="AB1361"/>
  <c r="N757"/>
  <c r="N756"/>
  <c r="R752"/>
  <c r="R751"/>
  <c r="R692"/>
  <c r="R691"/>
  <c r="G757"/>
  <c r="G756"/>
  <c r="H1365"/>
  <c r="H681"/>
  <c r="E1364"/>
  <c r="Q679"/>
  <c r="R679"/>
  <c r="AF756"/>
  <c r="AF757"/>
  <c r="E1365"/>
  <c r="E682"/>
  <c r="E681"/>
  <c r="Q680"/>
  <c r="R680"/>
  <c r="Q377"/>
  <c r="Q376"/>
  <c r="AH757"/>
  <c r="AH756"/>
  <c r="R452"/>
  <c r="R451"/>
  <c r="M757"/>
  <c r="M756"/>
  <c r="AJ602"/>
  <c r="AJ601"/>
  <c r="AJ527"/>
  <c r="AJ526"/>
  <c r="AJ452"/>
  <c r="AJ451"/>
  <c r="AJ377"/>
  <c r="AJ376"/>
  <c r="AJ302"/>
  <c r="AJ301"/>
  <c r="Q72"/>
  <c r="Q71"/>
  <c r="R32"/>
  <c r="R31"/>
  <c r="AG75"/>
  <c r="AG72"/>
  <c r="AG71"/>
  <c r="AE47"/>
  <c r="AE46"/>
  <c r="AI37"/>
  <c r="AI36"/>
  <c r="F1374"/>
  <c r="F1375"/>
  <c r="AC32"/>
  <c r="AC31"/>
  <c r="AE27"/>
  <c r="AE26"/>
  <c r="AE17"/>
  <c r="AE16"/>
  <c r="AG12"/>
  <c r="AG11"/>
  <c r="R7"/>
  <c r="R6"/>
  <c r="AF1365"/>
  <c r="AF682"/>
  <c r="AF681"/>
  <c r="K77"/>
  <c r="K76"/>
  <c r="Z77"/>
  <c r="Z76"/>
  <c r="AJ690"/>
  <c r="AJ30"/>
  <c r="AK25"/>
  <c r="AK15"/>
  <c r="K1360"/>
  <c r="R754"/>
  <c r="N1364"/>
  <c r="AD1363"/>
  <c r="AJ753"/>
  <c r="AH1364"/>
  <c r="AE1363"/>
  <c r="AI1364"/>
  <c r="L1364"/>
  <c r="I1363"/>
  <c r="K1364"/>
  <c r="X75"/>
  <c r="AJ70"/>
  <c r="F32"/>
  <c r="H73"/>
  <c r="R73" s="1"/>
  <c r="Q75"/>
  <c r="Q1207"/>
  <c r="Q1206"/>
  <c r="P1362"/>
  <c r="P1361"/>
  <c r="I1362"/>
  <c r="I1361"/>
  <c r="AI755"/>
  <c r="AI752"/>
  <c r="AI751"/>
  <c r="Y757"/>
  <c r="Y756"/>
  <c r="AB1365"/>
  <c r="AB682"/>
  <c r="AB681"/>
  <c r="N1365"/>
  <c r="N682"/>
  <c r="N681"/>
  <c r="R527"/>
  <c r="R526"/>
  <c r="X757"/>
  <c r="X756"/>
  <c r="K682"/>
  <c r="K681"/>
  <c r="Q46"/>
  <c r="Q47"/>
  <c r="O1362"/>
  <c r="O1361"/>
  <c r="Q832"/>
  <c r="Q831"/>
  <c r="AD1362"/>
  <c r="AD1361"/>
  <c r="H1362"/>
  <c r="H1361"/>
  <c r="R1057"/>
  <c r="R1056"/>
  <c r="AJ907"/>
  <c r="AJ906"/>
  <c r="AF1362"/>
  <c r="AF1361"/>
  <c r="AK982"/>
  <c r="AK981"/>
  <c r="Q692"/>
  <c r="Q691"/>
  <c r="N1361"/>
  <c r="N1362"/>
  <c r="R1357"/>
  <c r="R1356"/>
  <c r="AA755"/>
  <c r="AA752"/>
  <c r="AA751"/>
  <c r="Y697"/>
  <c r="Y696"/>
  <c r="AA692"/>
  <c r="AA691"/>
  <c r="L1365"/>
  <c r="L681"/>
  <c r="R697"/>
  <c r="R696"/>
  <c r="I1365"/>
  <c r="I682"/>
  <c r="I681"/>
  <c r="Q452"/>
  <c r="Q451"/>
  <c r="AD757"/>
  <c r="AD756"/>
  <c r="O757"/>
  <c r="O756"/>
  <c r="X1364"/>
  <c r="AK679"/>
  <c r="AJ679"/>
  <c r="F682"/>
  <c r="F681"/>
  <c r="R377"/>
  <c r="R376"/>
  <c r="AK832"/>
  <c r="AK831"/>
  <c r="Z1365"/>
  <c r="Z682"/>
  <c r="Z681"/>
  <c r="Q152"/>
  <c r="Q151"/>
  <c r="O76"/>
  <c r="O77"/>
  <c r="E1374"/>
  <c r="R1373"/>
  <c r="E1375"/>
  <c r="R152"/>
  <c r="R151"/>
  <c r="Q17"/>
  <c r="Q16"/>
  <c r="AK152"/>
  <c r="AK151"/>
  <c r="AI47"/>
  <c r="AI46"/>
  <c r="R37"/>
  <c r="R36"/>
  <c r="AG32"/>
  <c r="AG31"/>
  <c r="AI27"/>
  <c r="AI26"/>
  <c r="AI17"/>
  <c r="AI16"/>
  <c r="AE7"/>
  <c r="AE6"/>
  <c r="AB77"/>
  <c r="AB76"/>
  <c r="H1364"/>
  <c r="I1364"/>
  <c r="Y1363"/>
  <c r="AG755"/>
  <c r="Y1364"/>
  <c r="AH1363"/>
  <c r="AI1363"/>
  <c r="AK750"/>
  <c r="P1364"/>
  <c r="M1363"/>
  <c r="G1364"/>
  <c r="O1364"/>
  <c r="G1363"/>
  <c r="AJ10"/>
  <c r="AB1363"/>
  <c r="AK70"/>
  <c r="AK10"/>
  <c r="AA75"/>
  <c r="R75"/>
  <c r="R77" l="1"/>
  <c r="R76"/>
  <c r="Z1367"/>
  <c r="Z1366"/>
  <c r="L1366"/>
  <c r="AF1367"/>
  <c r="AF1366"/>
  <c r="AE77"/>
  <c r="AE76"/>
  <c r="AE680"/>
  <c r="J1367"/>
  <c r="J1366"/>
  <c r="F1362"/>
  <c r="F1361"/>
  <c r="AJ37"/>
  <c r="AJ36"/>
  <c r="AA77"/>
  <c r="AA76"/>
  <c r="AA680"/>
  <c r="AJ11"/>
  <c r="AJ12"/>
  <c r="AJ72"/>
  <c r="AJ71"/>
  <c r="K1362"/>
  <c r="K1361"/>
  <c r="AJ692"/>
  <c r="AJ691"/>
  <c r="AJ27"/>
  <c r="AJ26"/>
  <c r="AJ1363"/>
  <c r="AK1363"/>
  <c r="AH1367"/>
  <c r="AH1366"/>
  <c r="R1360"/>
  <c r="R1375"/>
  <c r="R1374"/>
  <c r="AJ47"/>
  <c r="AJ46"/>
  <c r="Y77"/>
  <c r="Y76"/>
  <c r="Y680"/>
  <c r="P1366"/>
  <c r="AK72"/>
  <c r="AK71"/>
  <c r="AK752"/>
  <c r="AK751"/>
  <c r="I1367"/>
  <c r="I1366"/>
  <c r="AA757"/>
  <c r="AA756"/>
  <c r="AA1360"/>
  <c r="N1367"/>
  <c r="N1366"/>
  <c r="AI757"/>
  <c r="AI756"/>
  <c r="AI1360"/>
  <c r="H678"/>
  <c r="H77"/>
  <c r="AK27"/>
  <c r="AK26"/>
  <c r="AG77"/>
  <c r="AG76"/>
  <c r="AG680"/>
  <c r="Q681"/>
  <c r="Q1364"/>
  <c r="R1364"/>
  <c r="AC77"/>
  <c r="AC76"/>
  <c r="AC680"/>
  <c r="P678"/>
  <c r="P77"/>
  <c r="AK32"/>
  <c r="AK31"/>
  <c r="G1365"/>
  <c r="G682"/>
  <c r="G681"/>
  <c r="Q757"/>
  <c r="Q756"/>
  <c r="M1367"/>
  <c r="M1366"/>
  <c r="AJ697"/>
  <c r="AJ696"/>
  <c r="AE757"/>
  <c r="AE756"/>
  <c r="AE1360"/>
  <c r="AK37"/>
  <c r="AK36"/>
  <c r="X1375"/>
  <c r="AK1373"/>
  <c r="X1374"/>
  <c r="AD1367"/>
  <c r="AD1366"/>
  <c r="AI682"/>
  <c r="AI681"/>
  <c r="AJ755"/>
  <c r="AJ32"/>
  <c r="AJ31"/>
  <c r="AJ17"/>
  <c r="AJ16"/>
  <c r="AG757"/>
  <c r="AG756"/>
  <c r="AG1360"/>
  <c r="AK12"/>
  <c r="AK11"/>
  <c r="AJ1364"/>
  <c r="AL1365" s="1"/>
  <c r="AK1364"/>
  <c r="AB1367"/>
  <c r="AB1366"/>
  <c r="Q77"/>
  <c r="Q76"/>
  <c r="X77"/>
  <c r="X76"/>
  <c r="AJ75"/>
  <c r="AK75"/>
  <c r="X680"/>
  <c r="AK16"/>
  <c r="AK17"/>
  <c r="R681"/>
  <c r="E1367"/>
  <c r="E1366"/>
  <c r="H1366"/>
  <c r="L77"/>
  <c r="L678"/>
  <c r="AC757"/>
  <c r="AC756"/>
  <c r="AC1360"/>
  <c r="AK47"/>
  <c r="AK46"/>
  <c r="R757"/>
  <c r="R756"/>
  <c r="AK697"/>
  <c r="AK696"/>
  <c r="O1367"/>
  <c r="O1366"/>
  <c r="F1365"/>
  <c r="K1365"/>
  <c r="AK755"/>
  <c r="Q1360"/>
  <c r="AI1361" l="1"/>
  <c r="AI1362"/>
  <c r="F1367"/>
  <c r="F1366"/>
  <c r="AJ77"/>
  <c r="AJ76"/>
  <c r="G1367"/>
  <c r="G1366"/>
  <c r="P1363"/>
  <c r="P1367" s="1"/>
  <c r="P682"/>
  <c r="AG1365"/>
  <c r="AG682"/>
  <c r="AG681"/>
  <c r="AA1362"/>
  <c r="AA1361"/>
  <c r="AK1360"/>
  <c r="AJ1360"/>
  <c r="K1367"/>
  <c r="K1366"/>
  <c r="AK77"/>
  <c r="AK76"/>
  <c r="Y1365"/>
  <c r="Y682"/>
  <c r="Y681"/>
  <c r="X1365"/>
  <c r="AK680"/>
  <c r="X681"/>
  <c r="AJ680"/>
  <c r="X682"/>
  <c r="AJ757"/>
  <c r="AJ756"/>
  <c r="H1363"/>
  <c r="R678"/>
  <c r="R682" s="1"/>
  <c r="Q678"/>
  <c r="Q682" s="1"/>
  <c r="H682"/>
  <c r="R1362"/>
  <c r="R1361"/>
  <c r="AE1365"/>
  <c r="AE682"/>
  <c r="AE681"/>
  <c r="R1365"/>
  <c r="AC1362"/>
  <c r="AC1361"/>
  <c r="AG1362"/>
  <c r="AG1361"/>
  <c r="AK757"/>
  <c r="AK756"/>
  <c r="L1363"/>
  <c r="L1367" s="1"/>
  <c r="L682"/>
  <c r="Q1362"/>
  <c r="Q1361"/>
  <c r="AK1374"/>
  <c r="AK1375"/>
  <c r="AE1362"/>
  <c r="AE1361"/>
  <c r="AC1365"/>
  <c r="AC682"/>
  <c r="AC681"/>
  <c r="AA1365"/>
  <c r="AA682"/>
  <c r="AA681"/>
  <c r="Q1365"/>
  <c r="AI1365"/>
  <c r="AM1364"/>
  <c r="Q1366" l="1"/>
  <c r="AE1367"/>
  <c r="AE1366"/>
  <c r="Y1367"/>
  <c r="Y1366"/>
  <c r="R1368"/>
  <c r="R1366"/>
  <c r="AJ1365"/>
  <c r="X1367"/>
  <c r="X1366"/>
  <c r="AK1365"/>
  <c r="AJ1362"/>
  <c r="AJ1361"/>
  <c r="AK682"/>
  <c r="AK681"/>
  <c r="AI1367"/>
  <c r="AI1366"/>
  <c r="AA1367"/>
  <c r="AA1366"/>
  <c r="AG1367"/>
  <c r="AG1366"/>
  <c r="AC1367"/>
  <c r="AC1366"/>
  <c r="H1367"/>
  <c r="Q1363"/>
  <c r="Q1367" s="1"/>
  <c r="R1363"/>
  <c r="R1367" s="1"/>
  <c r="AJ682"/>
  <c r="AJ681"/>
  <c r="AK1362"/>
  <c r="AK1361"/>
  <c r="AK1368" l="1"/>
  <c r="AK1366"/>
  <c r="AK1367"/>
  <c r="AJ1367"/>
  <c r="AJ1366"/>
  <c r="S6" i="351" l="1"/>
  <c r="P6"/>
  <c r="O6"/>
  <c r="S5"/>
  <c r="P5"/>
  <c r="E5"/>
  <c r="S4"/>
  <c r="P4"/>
  <c r="G4"/>
  <c r="P3"/>
  <c r="S6" i="350"/>
  <c r="P6"/>
  <c r="O6"/>
  <c r="P5"/>
  <c r="E5"/>
  <c r="S4"/>
  <c r="S5" s="1"/>
  <c r="P4"/>
  <c r="G4"/>
  <c r="P3"/>
  <c r="P6" i="349"/>
  <c r="O6"/>
  <c r="P5"/>
  <c r="E5"/>
  <c r="S4"/>
  <c r="S5" s="1"/>
  <c r="P4"/>
  <c r="G4"/>
  <c r="P3"/>
  <c r="S6" i="348"/>
  <c r="P6"/>
  <c r="O6"/>
  <c r="S5"/>
  <c r="P5"/>
  <c r="E5"/>
  <c r="S4"/>
  <c r="P4"/>
  <c r="G4"/>
  <c r="P3"/>
  <c r="O6" i="347"/>
  <c r="P6" s="1"/>
  <c r="P5"/>
  <c r="E5"/>
  <c r="S4"/>
  <c r="S5" s="1"/>
  <c r="P4"/>
  <c r="G4"/>
  <c r="P3"/>
  <c r="S6" i="346"/>
  <c r="O6"/>
  <c r="P6" s="1"/>
  <c r="S5"/>
  <c r="P5"/>
  <c r="E5"/>
  <c r="S4"/>
  <c r="P4"/>
  <c r="G4"/>
  <c r="P3"/>
  <c r="S6" i="345"/>
  <c r="P6"/>
  <c r="O6"/>
  <c r="P5"/>
  <c r="E5"/>
  <c r="S4"/>
  <c r="S5" s="1"/>
  <c r="P4"/>
  <c r="G4"/>
  <c r="P3"/>
  <c r="S6" i="344"/>
  <c r="P6"/>
  <c r="O6"/>
  <c r="S5"/>
  <c r="P5"/>
  <c r="E5"/>
  <c r="S4"/>
  <c r="P4"/>
  <c r="G4"/>
  <c r="P3"/>
  <c r="O6" i="343"/>
  <c r="P6" s="1"/>
  <c r="P5"/>
  <c r="E5"/>
  <c r="S4"/>
  <c r="S5" s="1"/>
  <c r="P4"/>
  <c r="G4"/>
  <c r="P3"/>
  <c r="S6" i="342"/>
  <c r="P6"/>
  <c r="O6"/>
  <c r="S5"/>
  <c r="P5"/>
  <c r="E5"/>
  <c r="S4"/>
  <c r="P4"/>
  <c r="G4"/>
  <c r="P3"/>
  <c r="O6" i="341"/>
  <c r="P6" s="1"/>
  <c r="P5"/>
  <c r="E5"/>
  <c r="S4"/>
  <c r="S5" s="1"/>
  <c r="P4"/>
  <c r="G4"/>
  <c r="P3"/>
  <c r="S6" i="340"/>
  <c r="P6"/>
  <c r="O6"/>
  <c r="P5"/>
  <c r="E5"/>
  <c r="S4"/>
  <c r="S5" s="1"/>
  <c r="P4"/>
  <c r="G4"/>
  <c r="P3"/>
  <c r="S6" i="339"/>
  <c r="P6"/>
  <c r="O6"/>
  <c r="P5"/>
  <c r="E5"/>
  <c r="S4"/>
  <c r="S5" s="1"/>
  <c r="P4"/>
  <c r="G4"/>
  <c r="P3"/>
  <c r="P6" i="338"/>
  <c r="O6"/>
  <c r="P5"/>
  <c r="E5"/>
  <c r="S4"/>
  <c r="S5" s="1"/>
  <c r="P4"/>
  <c r="G4"/>
  <c r="P3"/>
  <c r="S6" i="337"/>
  <c r="P6"/>
  <c r="O6"/>
  <c r="S5"/>
  <c r="P5"/>
  <c r="E5"/>
  <c r="S4"/>
  <c r="P4"/>
  <c r="G4"/>
  <c r="P3"/>
  <c r="S6" i="336"/>
  <c r="P6"/>
  <c r="O6"/>
  <c r="S5"/>
  <c r="P5"/>
  <c r="E5"/>
  <c r="S4"/>
  <c r="P4"/>
  <c r="G4"/>
  <c r="P3"/>
  <c r="P6" i="335"/>
  <c r="O6"/>
  <c r="P5"/>
  <c r="E5"/>
  <c r="S4"/>
  <c r="S5" s="1"/>
  <c r="P4"/>
  <c r="G4"/>
  <c r="P3"/>
  <c r="S6" i="334"/>
  <c r="P6"/>
  <c r="O6"/>
  <c r="S5"/>
  <c r="P5"/>
  <c r="E5"/>
  <c r="S4"/>
  <c r="P4"/>
  <c r="G4"/>
  <c r="P3"/>
  <c r="S6" i="333"/>
  <c r="P6"/>
  <c r="O6"/>
  <c r="P5"/>
  <c r="E5"/>
  <c r="S4"/>
  <c r="S5" s="1"/>
  <c r="P4"/>
  <c r="G4"/>
  <c r="P3"/>
  <c r="P6" i="230"/>
  <c r="O6"/>
  <c r="P5"/>
  <c r="E5"/>
  <c r="S4"/>
  <c r="S6" s="1"/>
  <c r="P4"/>
  <c r="G4"/>
  <c r="P3"/>
  <c r="S6" i="3"/>
  <c r="P6"/>
  <c r="O6"/>
  <c r="S5"/>
  <c r="P5"/>
  <c r="E5"/>
  <c r="S4"/>
  <c r="P4"/>
  <c r="G4"/>
  <c r="P3"/>
  <c r="S6" i="349" l="1"/>
  <c r="S6" i="347"/>
  <c r="S6" i="343"/>
  <c r="S6" i="341"/>
  <c r="S6" i="338"/>
  <c r="S6" i="335"/>
  <c r="S5" i="230"/>
</calcChain>
</file>

<file path=xl/sharedStrings.xml><?xml version="1.0" encoding="utf-8"?>
<sst xmlns="http://schemas.openxmlformats.org/spreadsheetml/2006/main" count="2857" uniqueCount="177">
  <si>
    <t>営業日報【月】</t>
  </si>
  <si>
    <t>日付：</t>
  </si>
  <si>
    <t>報告者：</t>
  </si>
  <si>
    <t>中村智展</t>
  </si>
  <si>
    <t>進捗率</t>
  </si>
  <si>
    <t>本日</t>
  </si>
  <si>
    <t>月間売上目標金額</t>
  </si>
  <si>
    <t>円</t>
  </si>
  <si>
    <t>訪問予定件数【問屋】</t>
  </si>
  <si>
    <t>1月～8月累計目標金額</t>
  </si>
  <si>
    <t>（含む、三井高槻支店）</t>
  </si>
  <si>
    <t>本日現在、売上金額</t>
  </si>
  <si>
    <t>訪問予定件数【店舗】</t>
  </si>
  <si>
    <t>本日現在累計売上金額</t>
  </si>
  <si>
    <t>＊残存目標金額</t>
  </si>
  <si>
    <t>訪問予定件数【新規開拓・その他】</t>
  </si>
  <si>
    <t>進捗率【累計】</t>
  </si>
  <si>
    <t>1月-7月累計売上金額</t>
  </si>
  <si>
    <t>目標件数/本日現在</t>
  </si>
  <si>
    <t>残存目標金額【累計】</t>
  </si>
  <si>
    <t>No.</t>
  </si>
  <si>
    <t>時間</t>
  </si>
  <si>
    <t>訪問先</t>
  </si>
  <si>
    <t>帳合</t>
  </si>
  <si>
    <t>商談</t>
  </si>
  <si>
    <t>店舗訪問</t>
  </si>
  <si>
    <t>その他</t>
  </si>
  <si>
    <t>面談者　</t>
  </si>
  <si>
    <t>①商談・訪問目的　　　　　　　　　　　　　　　　　　　　　　　　　　　　　　　　　　　　　　　　　　　　　　　　　　　　　　　　　　　　②結果　　　　　　　　　　　　　　　　　　　　　　　　　　　　　　　　　　　　　　　　　　　　　　　　　　　　　　　　　　　　　　　　　　　③次回までの対応　　　　　　　　　　　　　　　　　　　　　　　　　　　　　　　　　　　　　　　　　　　　　　　　　　　　　　　　　　　　④その他　　　　　　　　　　　　　　</t>
  </si>
  <si>
    <t>～</t>
  </si>
  <si>
    <t>池袋西武</t>
  </si>
  <si>
    <t xml:space="preserve">バレンタイン立ち上げ日
１５：００の時点で売上約３２０００円
今年は催事場だが場所が端っこの為、人通りが少ない。
</t>
  </si>
  <si>
    <t>■本日の営業活動で気づいた事（他メーカー動向【新製品、キャンペーン、特売展開等】情報等）</t>
  </si>
  <si>
    <t>■ブランド担当者への要望・クレーム</t>
  </si>
  <si>
    <t>■備考欄</t>
  </si>
  <si>
    <t>1月-10月累計売上金額</t>
    <phoneticPr fontId="17"/>
  </si>
  <si>
    <t>1月～月累計目標金額</t>
    <phoneticPr fontId="17"/>
  </si>
  <si>
    <t>営業日報【4月】</t>
    <phoneticPr fontId="17"/>
  </si>
  <si>
    <t>在宅勤務</t>
    <rPh sb="0" eb="2">
      <t>ザイタク</t>
    </rPh>
    <rPh sb="2" eb="4">
      <t>キンム</t>
    </rPh>
    <phoneticPr fontId="17"/>
  </si>
  <si>
    <t>AM：Zoomでのミーティング
　　　　欠品対応、未収確認
PM：欠品対応、メール対応、雨宮さんへの引き継ぎ
　　　　ナチュラルローソン、Finc,B4F,フォーレスト、オフィスデポ
　　　　メール、電話での引き継ぎ</t>
    <rPh sb="20" eb="22">
      <t>ケッピン</t>
    </rPh>
    <rPh sb="22" eb="24">
      <t>タイオウ</t>
    </rPh>
    <rPh sb="25" eb="27">
      <t>ミシュウ</t>
    </rPh>
    <rPh sb="27" eb="29">
      <t>カクニン</t>
    </rPh>
    <rPh sb="33" eb="35">
      <t>ケッピン</t>
    </rPh>
    <rPh sb="35" eb="37">
      <t>タイオウ</t>
    </rPh>
    <rPh sb="41" eb="43">
      <t>タイオウ</t>
    </rPh>
    <rPh sb="44" eb="46">
      <t>アメミヤ</t>
    </rPh>
    <rPh sb="50" eb="51">
      <t>ヒ</t>
    </rPh>
    <rPh sb="52" eb="53">
      <t>ツ</t>
    </rPh>
    <rPh sb="100" eb="102">
      <t>デンワ</t>
    </rPh>
    <rPh sb="104" eb="105">
      <t>ヒ</t>
    </rPh>
    <rPh sb="106" eb="107">
      <t>ツ</t>
    </rPh>
    <phoneticPr fontId="17"/>
  </si>
  <si>
    <t>AM:メール対応、見積もり作成、欠品対応等
PM:リードタイムの件について大塚さんに相談。
１７：００：クレーム対応訪問（プレッセ東京ミッドタウン）</t>
    <rPh sb="6" eb="8">
      <t>タイオウ</t>
    </rPh>
    <rPh sb="9" eb="11">
      <t>ミツ</t>
    </rPh>
    <rPh sb="13" eb="15">
      <t>サクセイ</t>
    </rPh>
    <rPh sb="16" eb="18">
      <t>ケッピン</t>
    </rPh>
    <rPh sb="18" eb="20">
      <t>タイオウ</t>
    </rPh>
    <rPh sb="20" eb="21">
      <t>トウ</t>
    </rPh>
    <rPh sb="32" eb="33">
      <t>ケン</t>
    </rPh>
    <rPh sb="37" eb="39">
      <t>オオツカ</t>
    </rPh>
    <rPh sb="42" eb="44">
      <t>ソウダン</t>
    </rPh>
    <rPh sb="56" eb="58">
      <t>タイオウ</t>
    </rPh>
    <rPh sb="58" eb="60">
      <t>ホウモン</t>
    </rPh>
    <rPh sb="65" eb="67">
      <t>トウキョウ</t>
    </rPh>
    <phoneticPr fontId="17"/>
  </si>
  <si>
    <t>AM:メール対応、リードタイム変更案内等
PM:メール対応、欠品対応、ライフ向けお見積書送付等</t>
    <rPh sb="6" eb="8">
      <t>タイオウ</t>
    </rPh>
    <rPh sb="15" eb="17">
      <t>ヘンコウ</t>
    </rPh>
    <rPh sb="17" eb="19">
      <t>アンナイ</t>
    </rPh>
    <rPh sb="19" eb="20">
      <t>トウ</t>
    </rPh>
    <rPh sb="27" eb="29">
      <t>タイオウ</t>
    </rPh>
    <rPh sb="30" eb="32">
      <t>ケッピン</t>
    </rPh>
    <rPh sb="32" eb="34">
      <t>タイオウ</t>
    </rPh>
    <rPh sb="38" eb="39">
      <t>ム</t>
    </rPh>
    <rPh sb="41" eb="44">
      <t>ミ；</t>
    </rPh>
    <rPh sb="44" eb="46">
      <t>ソウフ</t>
    </rPh>
    <rPh sb="46" eb="47">
      <t>トウ</t>
    </rPh>
    <phoneticPr fontId="17"/>
  </si>
  <si>
    <t>ＡＭ：　欠品対応案内、メール対応、クイーンズ伊勢丹サンペレグリノ特売案内
ＰＭ：　メール対応、生協確認資料、校正確認。
　　　　　　１６：００　TeamsでのＭＴＧ（大塚さん、林さん）ＦＣ確認</t>
    <rPh sb="4" eb="6">
      <t>ケッピン</t>
    </rPh>
    <rPh sb="6" eb="8">
      <t>タイオウ</t>
    </rPh>
    <rPh sb="8" eb="10">
      <t>アンナイ</t>
    </rPh>
    <rPh sb="14" eb="16">
      <t>タイオウ</t>
    </rPh>
    <rPh sb="22" eb="25">
      <t>イセタン</t>
    </rPh>
    <rPh sb="32" eb="34">
      <t>トクバイ</t>
    </rPh>
    <rPh sb="34" eb="36">
      <t>アンナイ</t>
    </rPh>
    <rPh sb="44" eb="46">
      <t>タイオウ</t>
    </rPh>
    <rPh sb="47" eb="49">
      <t>セイキョウ</t>
    </rPh>
    <rPh sb="49" eb="51">
      <t>カクニン</t>
    </rPh>
    <rPh sb="51" eb="53">
      <t>シリョウ</t>
    </rPh>
    <rPh sb="54" eb="56">
      <t>コウセイ</t>
    </rPh>
    <rPh sb="56" eb="58">
      <t>カクニン</t>
    </rPh>
    <rPh sb="83" eb="85">
      <t>オオツカ</t>
    </rPh>
    <rPh sb="88" eb="89">
      <t>ハヤシ</t>
    </rPh>
    <rPh sb="94" eb="96">
      <t>カクニン</t>
    </rPh>
    <phoneticPr fontId="17"/>
  </si>
  <si>
    <t>ＡＭ：　欠品対応案内、メール対応
ＰＭ：　雨宮さんとの引き継ぎＭＴＧ、ヨークマート新店陳列向け欠品対応等</t>
    <rPh sb="4" eb="6">
      <t>ケッピン</t>
    </rPh>
    <rPh sb="6" eb="8">
      <t>タイオウ</t>
    </rPh>
    <rPh sb="8" eb="10">
      <t>アンナイ</t>
    </rPh>
    <rPh sb="14" eb="16">
      <t>タイオウ</t>
    </rPh>
    <rPh sb="21" eb="23">
      <t>アメミヤ</t>
    </rPh>
    <rPh sb="27" eb="28">
      <t>ヒ</t>
    </rPh>
    <rPh sb="29" eb="30">
      <t>ツ</t>
    </rPh>
    <rPh sb="41" eb="42">
      <t>シン</t>
    </rPh>
    <rPh sb="42" eb="43">
      <t>テン</t>
    </rPh>
    <rPh sb="43" eb="45">
      <t>チンレツ</t>
    </rPh>
    <rPh sb="45" eb="46">
      <t>ム</t>
    </rPh>
    <rPh sb="47" eb="49">
      <t>ケッピン</t>
    </rPh>
    <rPh sb="49" eb="51">
      <t>タイオウ</t>
    </rPh>
    <rPh sb="51" eb="52">
      <t>トウ</t>
    </rPh>
    <phoneticPr fontId="17"/>
  </si>
  <si>
    <t>ＡＭ：　欠品対応案内、メール対応、コープデリ出荷調整。
ＰＭ：　エリックさんとパッカＦＣミーティング、東急ストア向けイートリアル在庫確認。
　　　　　　ライフ新店向け欠品対応。</t>
    <rPh sb="4" eb="6">
      <t>ケッピン</t>
    </rPh>
    <rPh sb="6" eb="8">
      <t>タイオウ</t>
    </rPh>
    <rPh sb="8" eb="10">
      <t>アンナイ</t>
    </rPh>
    <rPh sb="14" eb="16">
      <t>タイオウ</t>
    </rPh>
    <rPh sb="22" eb="24">
      <t>シュッカ</t>
    </rPh>
    <rPh sb="24" eb="26">
      <t>チョウセイ</t>
    </rPh>
    <rPh sb="51" eb="53">
      <t>トウキュウ</t>
    </rPh>
    <rPh sb="56" eb="57">
      <t>ム</t>
    </rPh>
    <rPh sb="64" eb="66">
      <t>ザイコ</t>
    </rPh>
    <rPh sb="66" eb="68">
      <t>カクニン</t>
    </rPh>
    <rPh sb="79" eb="80">
      <t>シン</t>
    </rPh>
    <rPh sb="80" eb="81">
      <t>テン</t>
    </rPh>
    <rPh sb="81" eb="82">
      <t>ム</t>
    </rPh>
    <rPh sb="83" eb="85">
      <t>ケッピン</t>
    </rPh>
    <rPh sb="85" eb="87">
      <t>タイオウ</t>
    </rPh>
    <phoneticPr fontId="17"/>
  </si>
  <si>
    <t>AM:メール対応、欠品、数量調整。アマゾンの欠品更新等
PM:各種問い合わせ対応、ラベルヴィー向けリスト作成等</t>
    <rPh sb="6" eb="8">
      <t>タイオウ</t>
    </rPh>
    <rPh sb="9" eb="11">
      <t>ケッピン</t>
    </rPh>
    <rPh sb="12" eb="14">
      <t>スウリョウ</t>
    </rPh>
    <rPh sb="14" eb="16">
      <t>チョウセイ</t>
    </rPh>
    <rPh sb="22" eb="24">
      <t>ケッピン</t>
    </rPh>
    <rPh sb="24" eb="26">
      <t>コウシン</t>
    </rPh>
    <rPh sb="26" eb="27">
      <t>トウ</t>
    </rPh>
    <rPh sb="31" eb="33">
      <t>カクシュ</t>
    </rPh>
    <rPh sb="33" eb="34">
      <t>ト</t>
    </rPh>
    <rPh sb="35" eb="36">
      <t>ア</t>
    </rPh>
    <rPh sb="38" eb="40">
      <t>タイオウ</t>
    </rPh>
    <rPh sb="47" eb="48">
      <t>ム</t>
    </rPh>
    <rPh sb="52" eb="54">
      <t>サクセイ</t>
    </rPh>
    <rPh sb="54" eb="55">
      <t>トウ</t>
    </rPh>
    <phoneticPr fontId="17"/>
  </si>
  <si>
    <t>在宅</t>
    <rPh sb="0" eb="2">
      <t>ザイタク</t>
    </rPh>
    <phoneticPr fontId="17"/>
  </si>
  <si>
    <t>AM:メール対応、欠品、数量調整、オオゼキ向け在庫状況リスト作成。
PM:各種問い合わせ対応、オオゼキ提案資料、お見積書作成。
     東急ストア菓子（HW,Xmas）提案お見積書作成</t>
    <rPh sb="6" eb="8">
      <t>タイオウ</t>
    </rPh>
    <rPh sb="9" eb="11">
      <t>ケッピン</t>
    </rPh>
    <rPh sb="12" eb="14">
      <t>スウリョウ</t>
    </rPh>
    <rPh sb="14" eb="16">
      <t>チョウセイ</t>
    </rPh>
    <rPh sb="21" eb="22">
      <t>ム</t>
    </rPh>
    <rPh sb="23" eb="25">
      <t>ザイコ</t>
    </rPh>
    <rPh sb="25" eb="27">
      <t>ジョウキョウ</t>
    </rPh>
    <rPh sb="30" eb="32">
      <t>サクセイ</t>
    </rPh>
    <rPh sb="37" eb="39">
      <t>カクシュ</t>
    </rPh>
    <rPh sb="39" eb="40">
      <t>ト</t>
    </rPh>
    <rPh sb="41" eb="42">
      <t>ア</t>
    </rPh>
    <rPh sb="44" eb="46">
      <t>タイオウ</t>
    </rPh>
    <rPh sb="51" eb="53">
      <t>テイアン</t>
    </rPh>
    <rPh sb="53" eb="55">
      <t>シリョウ</t>
    </rPh>
    <rPh sb="57" eb="60">
      <t>ミ；</t>
    </rPh>
    <rPh sb="60" eb="62">
      <t>サクセイ</t>
    </rPh>
    <rPh sb="69" eb="71">
      <t>トウキュウ</t>
    </rPh>
    <rPh sb="74" eb="76">
      <t>カシ</t>
    </rPh>
    <rPh sb="85" eb="87">
      <t>テイアン</t>
    </rPh>
    <rPh sb="88" eb="91">
      <t>ミ；</t>
    </rPh>
    <rPh sb="91" eb="93">
      <t>サクセイ</t>
    </rPh>
    <phoneticPr fontId="17"/>
  </si>
  <si>
    <t>AM:メール対応、EC売上分析、資料作成。
PM:各種問い合わせ対応、
　　　FCミーティング（大塚さん、林さん）</t>
    <rPh sb="6" eb="8">
      <t>タイオウ</t>
    </rPh>
    <rPh sb="11" eb="13">
      <t>ウリアゲ</t>
    </rPh>
    <rPh sb="13" eb="15">
      <t>ブンセキ</t>
    </rPh>
    <rPh sb="16" eb="18">
      <t>シリョウ</t>
    </rPh>
    <rPh sb="18" eb="20">
      <t>サクセイ</t>
    </rPh>
    <rPh sb="25" eb="27">
      <t>カクシュ</t>
    </rPh>
    <rPh sb="27" eb="28">
      <t>ト</t>
    </rPh>
    <rPh sb="29" eb="30">
      <t>ア</t>
    </rPh>
    <rPh sb="32" eb="34">
      <t>タイオウ</t>
    </rPh>
    <rPh sb="48" eb="50">
      <t>オオツカ</t>
    </rPh>
    <rPh sb="53" eb="54">
      <t>ハヤシ</t>
    </rPh>
    <phoneticPr fontId="17"/>
  </si>
  <si>
    <t>AM:全体会議
PM:各種問い合わせ対応、
　　　未収処理、成城石井年契2019年着地報告、
　　　成城石井年契2020年版修正。
　　　メール対応等。</t>
    <rPh sb="3" eb="5">
      <t>ゼンタイ</t>
    </rPh>
    <rPh sb="5" eb="7">
      <t>カイギ</t>
    </rPh>
    <rPh sb="11" eb="13">
      <t>カクシュ</t>
    </rPh>
    <rPh sb="13" eb="14">
      <t>ト</t>
    </rPh>
    <rPh sb="15" eb="16">
      <t>ア</t>
    </rPh>
    <rPh sb="18" eb="20">
      <t>タイオウ</t>
    </rPh>
    <rPh sb="25" eb="27">
      <t>ミシュウ</t>
    </rPh>
    <rPh sb="27" eb="29">
      <t>ショリ</t>
    </rPh>
    <rPh sb="30" eb="32">
      <t>セイジョウ</t>
    </rPh>
    <rPh sb="32" eb="34">
      <t>イシイ</t>
    </rPh>
    <rPh sb="34" eb="36">
      <t>ネンケイ</t>
    </rPh>
    <rPh sb="40" eb="41">
      <t>ネン</t>
    </rPh>
    <rPh sb="41" eb="43">
      <t>チャクチ</t>
    </rPh>
    <rPh sb="43" eb="45">
      <t>ホウコク</t>
    </rPh>
    <rPh sb="50" eb="52">
      <t>セイジョウ</t>
    </rPh>
    <rPh sb="52" eb="54">
      <t>イシイ</t>
    </rPh>
    <rPh sb="54" eb="56">
      <t>ネンケイ</t>
    </rPh>
    <rPh sb="60" eb="61">
      <t>ネン</t>
    </rPh>
    <rPh sb="61" eb="62">
      <t>バン</t>
    </rPh>
    <rPh sb="62" eb="64">
      <t>シュウセイ</t>
    </rPh>
    <rPh sb="72" eb="74">
      <t>タイオウ</t>
    </rPh>
    <rPh sb="74" eb="75">
      <t>トウ</t>
    </rPh>
    <phoneticPr fontId="17"/>
  </si>
  <si>
    <t>AM:メール対応、出荷調整、未収対応
PM:ベネフィット・ワン商品登録、メール対応、各企業毎の在庫状況報告等</t>
    <rPh sb="6" eb="8">
      <t>タイオウ</t>
    </rPh>
    <rPh sb="9" eb="11">
      <t>シュッカ</t>
    </rPh>
    <rPh sb="11" eb="13">
      <t>チョウセイ</t>
    </rPh>
    <rPh sb="14" eb="16">
      <t>ミシュウ</t>
    </rPh>
    <rPh sb="16" eb="18">
      <t>タイオウ</t>
    </rPh>
    <rPh sb="31" eb="33">
      <t>ショウヒン</t>
    </rPh>
    <rPh sb="33" eb="35">
      <t>トウロク</t>
    </rPh>
    <rPh sb="39" eb="41">
      <t>タイオウ</t>
    </rPh>
    <rPh sb="42" eb="45">
      <t>カクキギョウ</t>
    </rPh>
    <rPh sb="45" eb="46">
      <t>ゴト</t>
    </rPh>
    <rPh sb="47" eb="49">
      <t>ザイコ</t>
    </rPh>
    <rPh sb="49" eb="51">
      <t>ジョウキョウ</t>
    </rPh>
    <rPh sb="51" eb="53">
      <t>ホウコク</t>
    </rPh>
    <rPh sb="53" eb="54">
      <t>トウ</t>
    </rPh>
    <phoneticPr fontId="17"/>
  </si>
  <si>
    <t>AM:メール対応、得意先毎在庫状況報告、品質管理資料送付、生協企画調整
PM：13：00‐13：30　B4F引き継ぎ商談（Zoom）にて
　　　　15：00－雨宮さんとEC登録の進め方相談（Zoom）にて
　　　　　ヨドバシカメラ商品登録準備
　　　　メール対応、未収対応等。</t>
    <rPh sb="6" eb="8">
      <t>タイオウ</t>
    </rPh>
    <rPh sb="9" eb="12">
      <t>トクイサキ</t>
    </rPh>
    <rPh sb="12" eb="13">
      <t>ゴト</t>
    </rPh>
    <rPh sb="13" eb="15">
      <t>ザイコ</t>
    </rPh>
    <rPh sb="15" eb="17">
      <t>ジョウキョウ</t>
    </rPh>
    <rPh sb="17" eb="19">
      <t>ホウコク</t>
    </rPh>
    <rPh sb="20" eb="22">
      <t>ヒンシツ</t>
    </rPh>
    <rPh sb="22" eb="24">
      <t>カンリ</t>
    </rPh>
    <rPh sb="24" eb="26">
      <t>シリョウ</t>
    </rPh>
    <rPh sb="26" eb="28">
      <t>ソウフ</t>
    </rPh>
    <rPh sb="29" eb="31">
      <t>セイキョウ</t>
    </rPh>
    <rPh sb="31" eb="33">
      <t>キカク</t>
    </rPh>
    <rPh sb="33" eb="35">
      <t>チョウセイ</t>
    </rPh>
    <rPh sb="54" eb="55">
      <t>ヒ</t>
    </rPh>
    <rPh sb="56" eb="57">
      <t>ツ</t>
    </rPh>
    <rPh sb="58" eb="60">
      <t>ショウダン</t>
    </rPh>
    <rPh sb="79" eb="81">
      <t>アメミヤ</t>
    </rPh>
    <rPh sb="86" eb="88">
      <t>トウロク</t>
    </rPh>
    <rPh sb="89" eb="90">
      <t>スス</t>
    </rPh>
    <rPh sb="91" eb="92">
      <t>カタ</t>
    </rPh>
    <rPh sb="92" eb="94">
      <t>ソウダン</t>
    </rPh>
    <rPh sb="115" eb="117">
      <t>ショウヒン</t>
    </rPh>
    <rPh sb="117" eb="119">
      <t>トウロク</t>
    </rPh>
    <rPh sb="119" eb="121">
      <t>ジュンビ</t>
    </rPh>
    <rPh sb="129" eb="131">
      <t>タイオウ</t>
    </rPh>
    <rPh sb="132" eb="134">
      <t>ミシュウ</t>
    </rPh>
    <rPh sb="134" eb="136">
      <t>タイオウ</t>
    </rPh>
    <rPh sb="136" eb="137">
      <t>トウ</t>
    </rPh>
    <phoneticPr fontId="17"/>
  </si>
  <si>
    <t>AM:メール対応、東急ストアグレナデンシロップ切り替え案内、三菱食品商品登録。
PM：ヨドバシカメラ、楽天商品登録関係、ペリエの登録に関しての問い合わせ
　　　　⇒サントリーからの切り替えで止まっていた楽天、ヨドバシでのペリエの販売を再開。
　　　　メール対応。</t>
    <rPh sb="6" eb="8">
      <t>タイオウ</t>
    </rPh>
    <rPh sb="9" eb="11">
      <t>トウキュウ</t>
    </rPh>
    <rPh sb="23" eb="24">
      <t>キ</t>
    </rPh>
    <rPh sb="25" eb="26">
      <t>カ</t>
    </rPh>
    <rPh sb="27" eb="29">
      <t>アンナイ</t>
    </rPh>
    <rPh sb="30" eb="32">
      <t>ミツビシ</t>
    </rPh>
    <rPh sb="32" eb="34">
      <t>ショクヒン</t>
    </rPh>
    <rPh sb="34" eb="36">
      <t>ショウヒン</t>
    </rPh>
    <rPh sb="36" eb="38">
      <t>トウロク</t>
    </rPh>
    <rPh sb="51" eb="53">
      <t>ラクテン</t>
    </rPh>
    <rPh sb="53" eb="55">
      <t>ショウヒン</t>
    </rPh>
    <rPh sb="55" eb="57">
      <t>トウロク</t>
    </rPh>
    <rPh sb="57" eb="59">
      <t>カンケイ</t>
    </rPh>
    <rPh sb="64" eb="66">
      <t>トウロク</t>
    </rPh>
    <rPh sb="67" eb="68">
      <t>カン</t>
    </rPh>
    <rPh sb="71" eb="72">
      <t>ト</t>
    </rPh>
    <rPh sb="73" eb="74">
      <t>ア</t>
    </rPh>
    <rPh sb="90" eb="91">
      <t>キ</t>
    </rPh>
    <rPh sb="92" eb="93">
      <t>カ</t>
    </rPh>
    <rPh sb="95" eb="96">
      <t>ト</t>
    </rPh>
    <rPh sb="101" eb="103">
      <t>ラクテン</t>
    </rPh>
    <rPh sb="114" eb="116">
      <t>ハンバイ</t>
    </rPh>
    <rPh sb="117" eb="119">
      <t>サイカイ</t>
    </rPh>
    <rPh sb="128" eb="130">
      <t>タイオウ</t>
    </rPh>
    <phoneticPr fontId="17"/>
  </si>
  <si>
    <t>AM:メール対応、未収処理。
PM：グレナデンシロップ切り替え登録（ヨドバシ）等
17：00－：FC打ち合わせ（大塚さん、林さん、雨宮さん）</t>
    <rPh sb="6" eb="8">
      <t>タイオウ</t>
    </rPh>
    <rPh sb="9" eb="11">
      <t>ミシュウ</t>
    </rPh>
    <rPh sb="11" eb="13">
      <t>ショリ</t>
    </rPh>
    <rPh sb="27" eb="28">
      <t>キ</t>
    </rPh>
    <rPh sb="29" eb="30">
      <t>カ</t>
    </rPh>
    <rPh sb="31" eb="33">
      <t>トウロク</t>
    </rPh>
    <rPh sb="39" eb="40">
      <t>トウ</t>
    </rPh>
    <rPh sb="50" eb="51">
      <t>ウ</t>
    </rPh>
    <rPh sb="52" eb="53">
      <t>ア</t>
    </rPh>
    <rPh sb="56" eb="58">
      <t>オオツカ</t>
    </rPh>
    <rPh sb="61" eb="62">
      <t>ハヤシ</t>
    </rPh>
    <rPh sb="65" eb="67">
      <t>アメミヤ</t>
    </rPh>
    <phoneticPr fontId="17"/>
  </si>
  <si>
    <t>AM:メール対応、未収処理、オオゼキ在庫状況報告
PM：未収対応、三菱食品商品登録（FJ)、メール対応、在庫状況報告(ライフ、オリンピック）、メール対応</t>
    <rPh sb="6" eb="8">
      <t>タイオウ</t>
    </rPh>
    <rPh sb="9" eb="11">
      <t>ミシュウ</t>
    </rPh>
    <rPh sb="11" eb="13">
      <t>ショリ</t>
    </rPh>
    <rPh sb="18" eb="20">
      <t>ザイコ</t>
    </rPh>
    <rPh sb="20" eb="22">
      <t>ジョウキョウ</t>
    </rPh>
    <rPh sb="22" eb="24">
      <t>ホウコク</t>
    </rPh>
    <rPh sb="28" eb="30">
      <t>ミシュウ</t>
    </rPh>
    <rPh sb="30" eb="32">
      <t>タイオウ</t>
    </rPh>
    <rPh sb="33" eb="35">
      <t>ミツビシ</t>
    </rPh>
    <rPh sb="35" eb="37">
      <t>ショクヒン</t>
    </rPh>
    <rPh sb="37" eb="39">
      <t>ショウヒン</t>
    </rPh>
    <rPh sb="39" eb="41">
      <t>トウロク</t>
    </rPh>
    <rPh sb="49" eb="51">
      <t>タイオウ</t>
    </rPh>
    <rPh sb="52" eb="54">
      <t>ザイコ</t>
    </rPh>
    <rPh sb="54" eb="56">
      <t>ジョウキョウ</t>
    </rPh>
    <rPh sb="56" eb="58">
      <t>ホウコク</t>
    </rPh>
    <rPh sb="74" eb="76">
      <t>タイオウ</t>
    </rPh>
    <phoneticPr fontId="17"/>
  </si>
  <si>
    <t>AM:メール対応、未収処理、コープデリ在庫状況報告
PM:楽天商品登録作業（イートリアル）、メール対応等</t>
    <rPh sb="6" eb="8">
      <t>タイオウ</t>
    </rPh>
    <rPh sb="9" eb="11">
      <t>ミシュウ</t>
    </rPh>
    <rPh sb="11" eb="13">
      <t>ショリ</t>
    </rPh>
    <rPh sb="19" eb="21">
      <t>ザイコ</t>
    </rPh>
    <rPh sb="21" eb="23">
      <t>ジョウキョウ</t>
    </rPh>
    <rPh sb="23" eb="25">
      <t>ホウコク</t>
    </rPh>
    <rPh sb="29" eb="31">
      <t>ラクテン</t>
    </rPh>
    <rPh sb="31" eb="33">
      <t>ショウヒン</t>
    </rPh>
    <rPh sb="33" eb="35">
      <t>トウロク</t>
    </rPh>
    <rPh sb="35" eb="37">
      <t>サギョウ</t>
    </rPh>
    <rPh sb="49" eb="51">
      <t>タイオウ</t>
    </rPh>
    <rPh sb="51" eb="52">
      <t>トウ</t>
    </rPh>
    <phoneticPr fontId="17"/>
  </si>
  <si>
    <t>AM:メール対応、未収処理、
     11:00:ウェブMTG（アマゾンキム様、サンペレアンドレア様、雨宮さん）
　　　　　　　　サンペレグリノのﾌﾟﾛﾓｰｼｮﾝについて
PM：未収対応、メール対応、在庫情報共有、欠品対応（ライフ）、
　　　　雨宮さん予算作成。</t>
    <rPh sb="6" eb="8">
      <t>タイオウ</t>
    </rPh>
    <rPh sb="9" eb="11">
      <t>ミシュウ</t>
    </rPh>
    <rPh sb="11" eb="13">
      <t>ショリ</t>
    </rPh>
    <rPh sb="39" eb="40">
      <t>サマ</t>
    </rPh>
    <rPh sb="50" eb="51">
      <t>サマ</t>
    </rPh>
    <rPh sb="52" eb="54">
      <t>アメミヤ</t>
    </rPh>
    <rPh sb="90" eb="92">
      <t>ミシュウ</t>
    </rPh>
    <rPh sb="92" eb="94">
      <t>タイオウ</t>
    </rPh>
    <rPh sb="98" eb="100">
      <t>タイオウ</t>
    </rPh>
    <rPh sb="101" eb="103">
      <t>ザイコ</t>
    </rPh>
    <rPh sb="103" eb="105">
      <t>ジョウホウ</t>
    </rPh>
    <rPh sb="105" eb="107">
      <t>キョウユウ</t>
    </rPh>
    <rPh sb="108" eb="110">
      <t>ケッピン</t>
    </rPh>
    <rPh sb="110" eb="112">
      <t>タイオウ</t>
    </rPh>
    <rPh sb="123" eb="125">
      <t>アメミヤ</t>
    </rPh>
    <rPh sb="127" eb="129">
      <t>ヨサン</t>
    </rPh>
    <rPh sb="129" eb="131">
      <t>サクセイ</t>
    </rPh>
    <phoneticPr fontId="17"/>
  </si>
  <si>
    <t>AM:メール対応、未収処理、
PM：メール対応、在庫情報共有、欠品対応、
       ヨドバシカメラ商品登録等</t>
    <rPh sb="6" eb="8">
      <t>タイオウ</t>
    </rPh>
    <rPh sb="9" eb="11">
      <t>ミシュウ</t>
    </rPh>
    <rPh sb="11" eb="13">
      <t>ショリ</t>
    </rPh>
    <rPh sb="21" eb="23">
      <t>タイオウ</t>
    </rPh>
    <rPh sb="24" eb="26">
      <t>ザイコ</t>
    </rPh>
    <rPh sb="26" eb="28">
      <t>ジョウホウ</t>
    </rPh>
    <rPh sb="28" eb="30">
      <t>キョウユウ</t>
    </rPh>
    <rPh sb="31" eb="33">
      <t>ケッピン</t>
    </rPh>
    <rPh sb="33" eb="35">
      <t>タイオウ</t>
    </rPh>
    <rPh sb="51" eb="53">
      <t>ショウヒン</t>
    </rPh>
    <rPh sb="53" eb="55">
      <t>トウロク</t>
    </rPh>
    <rPh sb="55" eb="56">
      <t>トウ</t>
    </rPh>
    <phoneticPr fontId="17"/>
  </si>
  <si>
    <t>AM:メール対応、未収処理、
PM：メール対応、生協向け在庫確認、欠品対応、
       17:00 ~　ズームにてＦＣミーティング（大塚さん、林さん、雨宮さん）</t>
    <rPh sb="6" eb="8">
      <t>タイオウ</t>
    </rPh>
    <rPh sb="9" eb="11">
      <t>ミシュウ</t>
    </rPh>
    <rPh sb="11" eb="13">
      <t>ショリ</t>
    </rPh>
    <rPh sb="21" eb="23">
      <t>タイオウ</t>
    </rPh>
    <rPh sb="24" eb="26">
      <t>セイキョウ</t>
    </rPh>
    <rPh sb="26" eb="27">
      <t>ム</t>
    </rPh>
    <rPh sb="28" eb="30">
      <t>ザイコ</t>
    </rPh>
    <rPh sb="30" eb="32">
      <t>カクニン</t>
    </rPh>
    <rPh sb="33" eb="35">
      <t>ケッピン</t>
    </rPh>
    <rPh sb="35" eb="37">
      <t>タイオウ</t>
    </rPh>
    <rPh sb="68" eb="70">
      <t>オオツカ</t>
    </rPh>
    <rPh sb="73" eb="74">
      <t>ハヤシ</t>
    </rPh>
    <rPh sb="77" eb="79">
      <t>アメミヤ</t>
    </rPh>
    <phoneticPr fontId="17"/>
  </si>
  <si>
    <t>AM:メール対応
    9:30~　Ｚｏｏmミーティング
　　　未収処理
ＰＭ：ライフ向け全商品お見積書作成、成城石井向け在庫調整、
　　　　　各種問い合わせ対応、メール対応等</t>
    <rPh sb="6" eb="8">
      <t>タイオウ</t>
    </rPh>
    <rPh sb="33" eb="35">
      <t>ミシュウ</t>
    </rPh>
    <rPh sb="35" eb="37">
      <t>ショリ</t>
    </rPh>
    <rPh sb="44" eb="45">
      <t>ム</t>
    </rPh>
    <rPh sb="46" eb="49">
      <t>ゼンショウヒン</t>
    </rPh>
    <rPh sb="50" eb="53">
      <t>ミ；</t>
    </rPh>
    <rPh sb="53" eb="55">
      <t>サクセイ</t>
    </rPh>
    <rPh sb="56" eb="58">
      <t>セイジョウ</t>
    </rPh>
    <rPh sb="58" eb="60">
      <t>イシイ</t>
    </rPh>
    <rPh sb="60" eb="61">
      <t>ム</t>
    </rPh>
    <rPh sb="62" eb="64">
      <t>ザイコ</t>
    </rPh>
    <rPh sb="64" eb="66">
      <t>チョウセイ</t>
    </rPh>
    <rPh sb="73" eb="75">
      <t>カクシュ</t>
    </rPh>
    <rPh sb="75" eb="76">
      <t>ト</t>
    </rPh>
    <rPh sb="77" eb="78">
      <t>ア</t>
    </rPh>
    <rPh sb="80" eb="82">
      <t>タイオウ</t>
    </rPh>
    <rPh sb="86" eb="88">
      <t>タイオウ</t>
    </rPh>
    <rPh sb="88" eb="89">
      <t>トウ</t>
    </rPh>
    <phoneticPr fontId="17"/>
  </si>
  <si>
    <t>総合予算（全ブランド）</t>
    <rPh sb="0" eb="2">
      <t>ソウゴウ</t>
    </rPh>
    <rPh sb="2" eb="4">
      <t>ヨサン</t>
    </rPh>
    <rPh sb="5" eb="6">
      <t>ゼン</t>
    </rPh>
    <phoneticPr fontId="17"/>
  </si>
  <si>
    <t>既存ブランド（ペリエ除く）</t>
    <rPh sb="0" eb="2">
      <t>キゾン</t>
    </rPh>
    <rPh sb="10" eb="11">
      <t>ノゾ</t>
    </rPh>
    <phoneticPr fontId="17"/>
  </si>
  <si>
    <t>Customer</t>
  </si>
  <si>
    <t>Jan</t>
    <phoneticPr fontId="17"/>
  </si>
  <si>
    <t>Feb</t>
    <phoneticPr fontId="17"/>
  </si>
  <si>
    <t>Mar</t>
    <phoneticPr fontId="17"/>
  </si>
  <si>
    <t>Apr</t>
    <phoneticPr fontId="17"/>
  </si>
  <si>
    <t>May</t>
    <phoneticPr fontId="17"/>
  </si>
  <si>
    <t>Jun</t>
    <phoneticPr fontId="17"/>
  </si>
  <si>
    <t>Jul</t>
    <phoneticPr fontId="17"/>
  </si>
  <si>
    <t>Aug</t>
    <phoneticPr fontId="17"/>
  </si>
  <si>
    <t>Sep</t>
    <phoneticPr fontId="17"/>
  </si>
  <si>
    <t>Oct</t>
    <phoneticPr fontId="17"/>
  </si>
  <si>
    <t>Nov</t>
    <phoneticPr fontId="17"/>
  </si>
  <si>
    <t>Dec</t>
    <phoneticPr fontId="17"/>
  </si>
  <si>
    <t>Sales Yearly</t>
    <phoneticPr fontId="17"/>
  </si>
  <si>
    <t>1-1　total</t>
    <phoneticPr fontId="17"/>
  </si>
  <si>
    <t>Apr</t>
    <phoneticPr fontId="17"/>
  </si>
  <si>
    <t>May</t>
    <phoneticPr fontId="17"/>
  </si>
  <si>
    <t>Jun</t>
    <phoneticPr fontId="17"/>
  </si>
  <si>
    <t>Jul</t>
    <phoneticPr fontId="17"/>
  </si>
  <si>
    <t>Sep</t>
    <phoneticPr fontId="17"/>
  </si>
  <si>
    <t>Oct</t>
    <phoneticPr fontId="17"/>
  </si>
  <si>
    <t>Nov</t>
    <phoneticPr fontId="17"/>
  </si>
  <si>
    <t>Dec</t>
    <phoneticPr fontId="17"/>
  </si>
  <si>
    <t>Sales Yearly</t>
    <phoneticPr fontId="17"/>
  </si>
  <si>
    <t>1-1　total</t>
    <phoneticPr fontId="17"/>
  </si>
  <si>
    <t>06</t>
    <phoneticPr fontId="17"/>
  </si>
  <si>
    <t>関東</t>
    <rPh sb="0" eb="2">
      <t>カントウ</t>
    </rPh>
    <phoneticPr fontId="17"/>
  </si>
  <si>
    <t>三井食品</t>
  </si>
  <si>
    <t>Kanto</t>
    <phoneticPr fontId="17"/>
  </si>
  <si>
    <t>MITSUI SHOKUHIN KOURI</t>
  </si>
  <si>
    <t>Budget</t>
  </si>
  <si>
    <t>Kanto</t>
    <phoneticPr fontId="17"/>
  </si>
  <si>
    <t>D05-0913,D05-1678,D05-1419</t>
  </si>
  <si>
    <t>経財本部、リテール、広域</t>
    <rPh sb="10" eb="12">
      <t>コウイキ</t>
    </rPh>
    <phoneticPr fontId="22"/>
  </si>
  <si>
    <t>20 vs Budget</t>
    <phoneticPr fontId="17"/>
  </si>
  <si>
    <t>YTD</t>
    <phoneticPr fontId="17"/>
  </si>
  <si>
    <t>三菱食品</t>
    <rPh sb="0" eb="2">
      <t>ミツビシ</t>
    </rPh>
    <rPh sb="2" eb="4">
      <t>ショクヒン</t>
    </rPh>
    <phoneticPr fontId="22"/>
  </si>
  <si>
    <t>MITSUBISHI SHOKUHIN</t>
  </si>
  <si>
    <t>D05-0166D05-0192D05-0279D05-0876D05-0961D05-1258D05-1456D05-1487D05-1488D05-1602</t>
  </si>
  <si>
    <t>第一、第二、第三、第四、</t>
    <rPh sb="0" eb="2">
      <t>ダイイチ</t>
    </rPh>
    <rPh sb="3" eb="5">
      <t>ダイニ</t>
    </rPh>
    <rPh sb="6" eb="7">
      <t>ダイ</t>
    </rPh>
    <rPh sb="7" eb="8">
      <t>サン</t>
    </rPh>
    <rPh sb="9" eb="10">
      <t>ダイ</t>
    </rPh>
    <rPh sb="10" eb="11">
      <t>ヨン</t>
    </rPh>
    <phoneticPr fontId="22"/>
  </si>
  <si>
    <t>20 vs Budget</t>
  </si>
  <si>
    <t>YTD</t>
  </si>
  <si>
    <t>三菱食品㈱加食(401NCｴﾘｱG)</t>
  </si>
  <si>
    <t>D05-1256</t>
  </si>
  <si>
    <t>NC（401）</t>
  </si>
  <si>
    <t>D05-0963,D05-1355,D05-1476,D05-1630,D05-1735,D05-1268,D05-1387</t>
  </si>
  <si>
    <t>CVS,百貨店、EC</t>
    <rPh sb="4" eb="7">
      <t>ヒャッカテン</t>
    </rPh>
    <phoneticPr fontId="22"/>
  </si>
  <si>
    <t>北関東</t>
    <rPh sb="0" eb="1">
      <t>キタ</t>
    </rPh>
    <rPh sb="1" eb="3">
      <t>カントウ</t>
    </rPh>
    <phoneticPr fontId="22"/>
  </si>
  <si>
    <t>成城石井</t>
    <rPh sb="0" eb="2">
      <t>セイジョウ</t>
    </rPh>
    <rPh sb="2" eb="4">
      <t>イシイ</t>
    </rPh>
    <phoneticPr fontId="22"/>
  </si>
  <si>
    <t>SEIJO ISHII EIGYO</t>
  </si>
  <si>
    <t>D05-0061</t>
    <phoneticPr fontId="17"/>
  </si>
  <si>
    <t>一神商事(株)</t>
  </si>
  <si>
    <t>ISSHIN</t>
  </si>
  <si>
    <t>D05-0354</t>
  </si>
  <si>
    <t>その他</t>
    <rPh sb="2" eb="3">
      <t>タ</t>
    </rPh>
    <phoneticPr fontId="17"/>
  </si>
  <si>
    <t>Others</t>
  </si>
  <si>
    <t>(ゼット、ベルーナ、二宮、ワールドリンクス等）</t>
    <rPh sb="10" eb="12">
      <t>ニノミヤ</t>
    </rPh>
    <rPh sb="21" eb="22">
      <t>トウ</t>
    </rPh>
    <phoneticPr fontId="17"/>
  </si>
  <si>
    <t xml:space="preserve">Retail(06)関東地区合計             Kanto area Total          </t>
    <rPh sb="10" eb="12">
      <t>カントウ</t>
    </rPh>
    <phoneticPr fontId="17"/>
  </si>
  <si>
    <t>06</t>
    <phoneticPr fontId="17"/>
  </si>
  <si>
    <t>中部</t>
    <rPh sb="0" eb="2">
      <t>チュウブ</t>
    </rPh>
    <phoneticPr fontId="17"/>
  </si>
  <si>
    <t>得意先名</t>
    <rPh sb="0" eb="3">
      <t>トクイサキ</t>
    </rPh>
    <rPh sb="3" eb="4">
      <t>メイ</t>
    </rPh>
    <phoneticPr fontId="17"/>
  </si>
  <si>
    <t>Chubu</t>
    <phoneticPr fontId="17"/>
  </si>
  <si>
    <t>得意先名（英語）</t>
    <rPh sb="0" eb="3">
      <t>トクイサキ</t>
    </rPh>
    <rPh sb="3" eb="4">
      <t>メイ</t>
    </rPh>
    <rPh sb="5" eb="7">
      <t>エイゴ</t>
    </rPh>
    <phoneticPr fontId="17"/>
  </si>
  <si>
    <t>・東海</t>
    <rPh sb="1" eb="3">
      <t>トウカイ</t>
    </rPh>
    <phoneticPr fontId="17"/>
  </si>
  <si>
    <t xml:space="preserve"> (Tokai)</t>
    <phoneticPr fontId="17"/>
  </si>
  <si>
    <t>・北陸</t>
    <rPh sb="1" eb="3">
      <t>ホクリク</t>
    </rPh>
    <phoneticPr fontId="17"/>
  </si>
  <si>
    <t xml:space="preserve"> (Hokuriku)</t>
    <phoneticPr fontId="17"/>
  </si>
  <si>
    <t>Others</t>
    <phoneticPr fontId="17"/>
  </si>
  <si>
    <t xml:space="preserve">Retail(06)東海地区合計             Tokai area Total          </t>
    <rPh sb="10" eb="12">
      <t>トウカイ</t>
    </rPh>
    <phoneticPr fontId="17"/>
  </si>
  <si>
    <t>東北</t>
    <rPh sb="0" eb="2">
      <t>トウホク</t>
    </rPh>
    <phoneticPr fontId="17"/>
  </si>
  <si>
    <t>アマゾンジャパン(株)経理部仕入請求</t>
  </si>
  <si>
    <t>Tohoku</t>
    <phoneticPr fontId="17"/>
  </si>
  <si>
    <t>AMAZON</t>
  </si>
  <si>
    <t>楽天株式会社</t>
    <rPh sb="0" eb="2">
      <t>ラクテン</t>
    </rPh>
    <rPh sb="2" eb="4">
      <t>カブシキ</t>
    </rPh>
    <rPh sb="4" eb="6">
      <t>カイシャ</t>
    </rPh>
    <phoneticPr fontId="17"/>
  </si>
  <si>
    <t>Rakuten</t>
  </si>
  <si>
    <t>(株)ヨドバシカメラ</t>
  </si>
  <si>
    <t>YODOBASHICAMERA</t>
  </si>
  <si>
    <t xml:space="preserve">Retail(06)東北地区合計             Tohoku area Total          </t>
    <rPh sb="10" eb="12">
      <t>トウホク</t>
    </rPh>
    <phoneticPr fontId="17"/>
  </si>
  <si>
    <t>北海道</t>
    <rPh sb="0" eb="3">
      <t>ホッカイドウ</t>
    </rPh>
    <phoneticPr fontId="17"/>
  </si>
  <si>
    <t>Hokkai-do</t>
    <phoneticPr fontId="17"/>
  </si>
  <si>
    <t xml:space="preserve">Retail(06)北海道地区合計             Hokkai-do area Total          </t>
    <rPh sb="10" eb="13">
      <t>ホッカイドウ</t>
    </rPh>
    <rPh sb="13" eb="15">
      <t>チク</t>
    </rPh>
    <rPh sb="15" eb="17">
      <t>ゴウケイ</t>
    </rPh>
    <phoneticPr fontId="17"/>
  </si>
  <si>
    <t>関西</t>
    <rPh sb="0" eb="2">
      <t>カンサイ</t>
    </rPh>
    <phoneticPr fontId="17"/>
  </si>
  <si>
    <t>Kansai</t>
    <phoneticPr fontId="17"/>
  </si>
  <si>
    <t xml:space="preserve">Retail(06)関西地区合計             Kansai area Total          </t>
    <rPh sb="10" eb="12">
      <t>カンサイ</t>
    </rPh>
    <phoneticPr fontId="17"/>
  </si>
  <si>
    <t>中国</t>
    <rPh sb="0" eb="2">
      <t>チュウゴク</t>
    </rPh>
    <phoneticPr fontId="17"/>
  </si>
  <si>
    <t>Chugoku</t>
    <phoneticPr fontId="17"/>
  </si>
  <si>
    <t>　</t>
    <phoneticPr fontId="17"/>
  </si>
  <si>
    <t xml:space="preserve">Retail(06)中国地区合計             Chugoku area Total          </t>
    <rPh sb="10" eb="12">
      <t>チュウゴク</t>
    </rPh>
    <phoneticPr fontId="17"/>
  </si>
  <si>
    <t>四国</t>
    <rPh sb="0" eb="2">
      <t>シコク</t>
    </rPh>
    <phoneticPr fontId="17"/>
  </si>
  <si>
    <t>Shikoku</t>
    <phoneticPr fontId="17"/>
  </si>
  <si>
    <t xml:space="preserve">Retail(06)四国地区合計             Shikoku area Total          </t>
    <rPh sb="10" eb="12">
      <t>シコク</t>
    </rPh>
    <rPh sb="12" eb="14">
      <t>チク</t>
    </rPh>
    <phoneticPr fontId="17"/>
  </si>
  <si>
    <t>九州</t>
    <rPh sb="0" eb="2">
      <t>キュウシュウ</t>
    </rPh>
    <phoneticPr fontId="17"/>
  </si>
  <si>
    <t>Kyushu</t>
    <phoneticPr fontId="17"/>
  </si>
  <si>
    <t xml:space="preserve">Retail(06)九州地区合計          Kyushu area Total     </t>
    <rPh sb="10" eb="12">
      <t>キュウシュウ</t>
    </rPh>
    <rPh sb="12" eb="14">
      <t>チク</t>
    </rPh>
    <phoneticPr fontId="17"/>
  </si>
  <si>
    <t>沖縄</t>
    <rPh sb="0" eb="2">
      <t>オキナワ</t>
    </rPh>
    <phoneticPr fontId="17"/>
  </si>
  <si>
    <t>Okinawa</t>
    <phoneticPr fontId="17"/>
  </si>
  <si>
    <t xml:space="preserve">Retail(06)沖縄地区合計            Okinawa area Total          </t>
    <rPh sb="10" eb="12">
      <t>オキナワ</t>
    </rPh>
    <phoneticPr fontId="17"/>
  </si>
  <si>
    <r>
      <t>a)  Retail(06) 　合計</t>
    </r>
    <r>
      <rPr>
        <b/>
        <u/>
        <sz val="12"/>
        <color indexed="10"/>
        <rFont val="Meiryo UI"/>
        <family val="3"/>
        <charset val="128"/>
      </rPr>
      <t xml:space="preserve"> Total</t>
    </r>
    <r>
      <rPr>
        <b/>
        <sz val="12"/>
        <color indexed="10"/>
        <rFont val="Meiryo UI"/>
        <family val="3"/>
        <charset val="128"/>
      </rPr>
      <t xml:space="preserve">          </t>
    </r>
    <rPh sb="16" eb="18">
      <t>ゴウケイ</t>
    </rPh>
    <rPh sb="17" eb="18">
      <t>ケイ</t>
    </rPh>
    <phoneticPr fontId="17"/>
  </si>
  <si>
    <t>05</t>
    <phoneticPr fontId="17"/>
  </si>
  <si>
    <t>（タイセイ、B4F,la belle vie等）</t>
    <rPh sb="22" eb="23">
      <t>トウ</t>
    </rPh>
    <phoneticPr fontId="17"/>
  </si>
  <si>
    <t xml:space="preserve">E-commerce(05)　　　　　　　　　　　　　　　　　　　　　　　　　　　　　　　　　　関東地区合計           　　　　　　　　　　　　　　　  Kanto area Total          </t>
    <rPh sb="48" eb="50">
      <t>カントウ</t>
    </rPh>
    <phoneticPr fontId="17"/>
  </si>
  <si>
    <t xml:space="preserve">E-commerce(05)　　　　　　　　　　　　　　　　　　　　東海地区合計            　　　　　　　　　　　　　　　　 Tokai area Total          </t>
    <rPh sb="34" eb="36">
      <t>トウカイ</t>
    </rPh>
    <phoneticPr fontId="17"/>
  </si>
  <si>
    <t xml:space="preserve">E-commerce(05)　　　　　　　　　　　　東北地区合計           　　　　　  Tohoku area Total          </t>
    <rPh sb="26" eb="28">
      <t>トウホク</t>
    </rPh>
    <phoneticPr fontId="17"/>
  </si>
  <si>
    <t xml:space="preserve">E-commerce(05)　　　　　　　　　　北海道地区合計           　　　　  Hokkai-do area Total          </t>
    <rPh sb="24" eb="27">
      <t>ホッカイドウ</t>
    </rPh>
    <rPh sb="27" eb="29">
      <t>チク</t>
    </rPh>
    <rPh sb="29" eb="31">
      <t>ゴウケイ</t>
    </rPh>
    <phoneticPr fontId="17"/>
  </si>
  <si>
    <t xml:space="preserve">E-commerce(05)　　　　　　　　　　　　　　　　　　　関西地区合計            　　　　　　　　　　　　　　 Kansai area Total          </t>
    <rPh sb="33" eb="35">
      <t>カンサイ</t>
    </rPh>
    <phoneticPr fontId="17"/>
  </si>
  <si>
    <t xml:space="preserve">E-commerce(05)　　　　　　　　　　　　　　　　　　　　　　　　　　　　　　　　　　　　中国地区合計            　　　　　　　　　　　　　 Chugoku area Total          </t>
    <rPh sb="50" eb="52">
      <t>チュウゴク</t>
    </rPh>
    <phoneticPr fontId="17"/>
  </si>
  <si>
    <t xml:space="preserve">E-commerce(05)　　　　　　　　　　　　　　　　　　　　四国地区合計          　　　　　　　　　　　　　　　   Shikoku area Total          </t>
    <rPh sb="34" eb="36">
      <t>シコク</t>
    </rPh>
    <rPh sb="36" eb="38">
      <t>チク</t>
    </rPh>
    <phoneticPr fontId="17"/>
  </si>
  <si>
    <t>Kyushu</t>
    <phoneticPr fontId="17"/>
  </si>
  <si>
    <t>Others</t>
    <phoneticPr fontId="17"/>
  </si>
  <si>
    <t xml:space="preserve">E-commerce(05)　　　　　　　　　　　　　　　　　　九州地区合計         　　　　　　　　　　　　　　　 Kyushu area Total     </t>
    <rPh sb="32" eb="34">
      <t>キュウシュウ</t>
    </rPh>
    <rPh sb="34" eb="36">
      <t>チク</t>
    </rPh>
    <phoneticPr fontId="17"/>
  </si>
  <si>
    <t>05</t>
    <phoneticPr fontId="17"/>
  </si>
  <si>
    <t xml:space="preserve">E-commerce(05)　　　　　　　　　　　　　　　　　　　　　沖縄地区合計           　　　　　　　　　　　　　　　 Okinawa area Total          </t>
    <rPh sb="35" eb="37">
      <t>オキナワ</t>
    </rPh>
    <phoneticPr fontId="17"/>
  </si>
  <si>
    <t xml:space="preserve">b)  E-commerce(05) 合計 Total   </t>
    <rPh sb="19" eb="21">
      <t>ゴウケイ</t>
    </rPh>
    <phoneticPr fontId="17"/>
  </si>
  <si>
    <r>
      <t>a)+b)               　　　　　　     個人 売上合計</t>
    </r>
    <r>
      <rPr>
        <b/>
        <sz val="16"/>
        <color indexed="10"/>
        <rFont val="Meiryo UI"/>
        <family val="3"/>
        <charset val="128"/>
      </rPr>
      <t xml:space="preserve">          </t>
    </r>
    <r>
      <rPr>
        <b/>
        <u/>
        <sz val="16"/>
        <color indexed="10"/>
        <rFont val="Meiryo UI"/>
        <family val="3"/>
        <charset val="128"/>
      </rPr>
      <t xml:space="preserve">  Personal SALES Total</t>
    </r>
    <r>
      <rPr>
        <b/>
        <sz val="16"/>
        <color indexed="10"/>
        <rFont val="Meiryo UI"/>
        <family val="3"/>
        <charset val="128"/>
      </rPr>
      <t xml:space="preserve">          </t>
    </r>
    <rPh sb="31" eb="33">
      <t>コジン</t>
    </rPh>
    <rPh sb="34" eb="36">
      <t>ウリアゲ</t>
    </rPh>
    <rPh sb="36" eb="38">
      <t>ゴウケイ</t>
    </rPh>
    <rPh sb="37" eb="38">
      <t>ケイ</t>
    </rPh>
    <phoneticPr fontId="17"/>
  </si>
  <si>
    <t>訪問予定件数【問屋】</t>
    <phoneticPr fontId="17"/>
  </si>
</sst>
</file>

<file path=xl/styles.xml><?xml version="1.0" encoding="utf-8"?>
<styleSheet xmlns="http://schemas.openxmlformats.org/spreadsheetml/2006/main">
  <numFmts count="5">
    <numFmt numFmtId="176" formatCode="&quot;¥&quot;#,##0;[Red]&quot;¥&quot;\-#,##0"/>
    <numFmt numFmtId="177" formatCode="_ &quot;¥&quot;* #,##0_ ;_ &quot;¥&quot;* \-#,##0_ ;_ &quot;¥&quot;* &quot;-&quot;_ ;_ @_ "/>
    <numFmt numFmtId="178" formatCode="#,##0_ "/>
    <numFmt numFmtId="179" formatCode="#,##0;&quot;▲ &quot;#,##0"/>
    <numFmt numFmtId="180" formatCode="0.0%"/>
  </numFmts>
  <fonts count="33">
    <font>
      <sz val="11"/>
      <color rgb="FF000000"/>
      <name val="MS PGothic"/>
    </font>
    <font>
      <b/>
      <sz val="22"/>
      <color rgb="FF000000"/>
      <name val="Meiryo ui"/>
      <family val="3"/>
      <charset val="128"/>
    </font>
    <font>
      <sz val="11"/>
      <name val="MS PGothic"/>
      <family val="3"/>
      <charset val="128"/>
    </font>
    <font>
      <b/>
      <sz val="16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8"/>
      <color rgb="FF00000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6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8"/>
      <color rgb="FF000000"/>
      <name val="Meiryo ui"/>
      <family val="3"/>
      <charset val="128"/>
    </font>
    <font>
      <b/>
      <sz val="9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MS PGothic"/>
      <family val="3"/>
      <charset val="128"/>
    </font>
    <font>
      <sz val="11"/>
      <color indexed="8"/>
      <name val="ＭＳ Ｐゴシック"/>
      <family val="3"/>
      <charset val="128"/>
    </font>
    <font>
      <sz val="9"/>
      <name val="Meiryo UI"/>
      <family val="3"/>
      <charset val="128"/>
    </font>
    <font>
      <sz val="11"/>
      <name val="Meiryo UI"/>
      <family val="3"/>
      <charset val="128"/>
    </font>
    <font>
      <b/>
      <sz val="9"/>
      <name val="Meiryo UI"/>
      <family val="3"/>
      <charset val="128"/>
    </font>
    <font>
      <sz val="8"/>
      <name val="Meiryo UI"/>
      <family val="3"/>
      <charset val="128"/>
    </font>
    <font>
      <sz val="9"/>
      <color indexed="8"/>
      <name val="ＭＳ Ｐゴシック"/>
      <family val="3"/>
      <charset val="128"/>
    </font>
    <font>
      <b/>
      <sz val="12"/>
      <color indexed="10"/>
      <name val="Meiryo UI"/>
      <family val="3"/>
      <charset val="128"/>
    </font>
    <font>
      <sz val="10"/>
      <name val="Meiryo UI"/>
      <family val="3"/>
      <charset val="128"/>
    </font>
    <font>
      <b/>
      <u/>
      <sz val="12"/>
      <color indexed="10"/>
      <name val="Meiryo UI"/>
      <family val="3"/>
      <charset val="128"/>
    </font>
    <font>
      <b/>
      <u/>
      <sz val="16"/>
      <color indexed="10"/>
      <name val="Meiryo UI"/>
      <family val="3"/>
      <charset val="128"/>
    </font>
    <font>
      <b/>
      <sz val="16"/>
      <color indexed="10"/>
      <name val="Meiryo UI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B0F0"/>
        <bgColor rgb="FF00B0F0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EEECE1"/>
        <bgColor rgb="FFEEECE1"/>
      </patternFill>
    </fill>
    <fill>
      <patternFill patternType="solid">
        <fgColor rgb="FFD8D8D8"/>
        <bgColor rgb="FFD8D8D8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9" tint="0.79998168889431442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theme="2" tint="-9.9978637043366805E-2"/>
        <bgColor indexed="8"/>
      </patternFill>
    </fill>
    <fill>
      <patternFill patternType="solid">
        <fgColor theme="8" tint="0.799981688894314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theme="9" tint="0.39997558519241921"/>
        <bgColor indexed="8"/>
      </patternFill>
    </fill>
    <fill>
      <patternFill patternType="solid">
        <fgColor theme="8" tint="0.39997558519241921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55"/>
      </bottom>
      <diagonal/>
    </border>
    <border>
      <left/>
      <right style="hair">
        <color indexed="55"/>
      </right>
      <top style="hair">
        <color indexed="64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64"/>
      </top>
      <bottom style="thin">
        <color indexed="55"/>
      </bottom>
      <diagonal/>
    </border>
    <border>
      <left/>
      <right/>
      <top style="hair">
        <color indexed="64"/>
      </top>
      <bottom style="thin">
        <color indexed="55"/>
      </bottom>
      <diagonal/>
    </border>
    <border>
      <left style="thin">
        <color indexed="55"/>
      </left>
      <right style="hair">
        <color indexed="55"/>
      </right>
      <top style="hair">
        <color indexed="64"/>
      </top>
      <bottom style="thin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64"/>
      </top>
      <bottom style="thin">
        <color indexed="55"/>
      </bottom>
      <diagonal/>
    </border>
    <border>
      <left style="thin">
        <color indexed="55"/>
      </left>
      <right style="hair">
        <color indexed="8"/>
      </right>
      <top style="hair">
        <color indexed="64"/>
      </top>
      <bottom style="thin">
        <color indexed="55"/>
      </bottom>
      <diagonal/>
    </border>
    <border>
      <left style="hair">
        <color indexed="64"/>
      </left>
      <right/>
      <top/>
      <bottom/>
      <diagonal/>
    </border>
    <border>
      <left style="hair">
        <color indexed="55"/>
      </left>
      <right/>
      <top style="thin">
        <color indexed="55"/>
      </top>
      <bottom/>
      <diagonal/>
    </border>
    <border>
      <left style="hair">
        <color indexed="55"/>
      </left>
      <right style="thin">
        <color indexed="55"/>
      </right>
      <top/>
      <bottom style="hair">
        <color indexed="55"/>
      </bottom>
      <diagonal/>
    </border>
    <border>
      <left/>
      <right style="hair">
        <color indexed="55"/>
      </right>
      <top style="thin">
        <color indexed="55"/>
      </top>
      <bottom style="hair">
        <color indexed="55"/>
      </bottom>
      <diagonal/>
    </border>
    <border>
      <left style="thin">
        <color indexed="55"/>
      </left>
      <right style="hair">
        <color indexed="8"/>
      </right>
      <top style="thin">
        <color indexed="55"/>
      </top>
      <bottom style="hair">
        <color indexed="55"/>
      </bottom>
      <diagonal/>
    </border>
    <border>
      <left style="hair">
        <color indexed="55"/>
      </left>
      <right/>
      <top/>
      <bottom/>
      <diagonal/>
    </border>
    <border>
      <left style="hair">
        <color indexed="55"/>
      </left>
      <right style="thin">
        <color indexed="55"/>
      </right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hair">
        <color indexed="8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/>
      <diagonal/>
    </border>
    <border>
      <left/>
      <right style="hair">
        <color indexed="55"/>
      </right>
      <top style="hair">
        <color indexed="55"/>
      </top>
      <bottom/>
      <diagonal/>
    </border>
    <border>
      <left style="thin">
        <color indexed="55"/>
      </left>
      <right style="hair">
        <color indexed="8"/>
      </right>
      <top style="hair">
        <color indexed="55"/>
      </top>
      <bottom/>
      <diagonal/>
    </border>
    <border>
      <left/>
      <right/>
      <top style="hair">
        <color indexed="55"/>
      </top>
      <bottom/>
      <diagonal/>
    </border>
    <border>
      <left style="hair">
        <color indexed="55"/>
      </left>
      <right/>
      <top/>
      <bottom style="thin">
        <color indexed="55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 style="thin">
        <color indexed="55"/>
      </bottom>
      <diagonal/>
    </border>
    <border>
      <left/>
      <right style="hair">
        <color indexed="55"/>
      </right>
      <top style="hair">
        <color indexed="55"/>
      </top>
      <bottom style="thin">
        <color indexed="55"/>
      </bottom>
      <diagonal/>
    </border>
    <border>
      <left/>
      <right/>
      <top style="hair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8"/>
      </right>
      <top style="hair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thin">
        <color indexed="55"/>
      </top>
      <bottom style="hair">
        <color indexed="55"/>
      </bottom>
      <diagonal/>
    </border>
    <border>
      <left style="hair">
        <color indexed="55"/>
      </left>
      <right/>
      <top style="thin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/>
      <top style="hair">
        <color indexed="55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55"/>
      </right>
      <top style="thin">
        <color indexed="64"/>
      </top>
      <bottom/>
      <diagonal/>
    </border>
    <border>
      <left style="hair">
        <color indexed="55"/>
      </left>
      <right style="thin">
        <color indexed="55"/>
      </right>
      <top style="thin">
        <color indexed="64"/>
      </top>
      <bottom style="hair">
        <color indexed="55"/>
      </bottom>
      <diagonal/>
    </border>
    <border>
      <left/>
      <right style="hair">
        <color indexed="55"/>
      </right>
      <top style="thin">
        <color indexed="64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thin">
        <color indexed="64"/>
      </top>
      <bottom style="hair">
        <color indexed="55"/>
      </bottom>
      <diagonal/>
    </border>
    <border>
      <left style="hair">
        <color indexed="55"/>
      </left>
      <right/>
      <top style="thin">
        <color indexed="64"/>
      </top>
      <bottom style="hair">
        <color indexed="55"/>
      </bottom>
      <diagonal/>
    </border>
    <border>
      <left style="thin">
        <color indexed="55"/>
      </left>
      <right/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55"/>
      </right>
      <top/>
      <bottom/>
      <diagonal/>
    </border>
    <border>
      <left style="thin">
        <color indexed="55"/>
      </left>
      <right/>
      <top style="hair">
        <color indexed="55"/>
      </top>
      <bottom style="hair">
        <color indexed="55"/>
      </bottom>
      <diagonal/>
    </border>
    <border>
      <left style="thin">
        <color indexed="55"/>
      </left>
      <right/>
      <top style="hair">
        <color indexed="55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55"/>
      </right>
      <top/>
      <bottom style="thin">
        <color indexed="64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 style="thin">
        <color indexed="64"/>
      </bottom>
      <diagonal/>
    </border>
    <border>
      <left/>
      <right style="hair">
        <color indexed="55"/>
      </right>
      <top style="hair">
        <color indexed="55"/>
      </top>
      <bottom style="thin">
        <color indexed="64"/>
      </bottom>
      <diagonal/>
    </border>
    <border>
      <left/>
      <right/>
      <top style="hair">
        <color indexed="55"/>
      </top>
      <bottom style="thin">
        <color indexed="64"/>
      </bottom>
      <diagonal/>
    </border>
    <border>
      <left style="thin">
        <color indexed="55"/>
      </left>
      <right/>
      <top style="hair">
        <color indexed="55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indexed="55"/>
      </right>
      <top style="double">
        <color indexed="64"/>
      </top>
      <bottom/>
      <diagonal/>
    </border>
    <border>
      <left style="hair">
        <color indexed="55"/>
      </left>
      <right style="thin">
        <color indexed="55"/>
      </right>
      <top style="double">
        <color indexed="64"/>
      </top>
      <bottom style="hair">
        <color indexed="55"/>
      </bottom>
      <diagonal/>
    </border>
    <border>
      <left/>
      <right style="hair">
        <color indexed="55"/>
      </right>
      <top style="double">
        <color indexed="64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double">
        <color indexed="64"/>
      </top>
      <bottom style="hair">
        <color indexed="55"/>
      </bottom>
      <diagonal/>
    </border>
    <border>
      <left style="hair">
        <color indexed="55"/>
      </left>
      <right/>
      <top style="double">
        <color indexed="64"/>
      </top>
      <bottom style="hair">
        <color indexed="55"/>
      </bottom>
      <diagonal/>
    </border>
    <border>
      <left style="thin">
        <color indexed="55"/>
      </left>
      <right/>
      <top style="double">
        <color indexed="64"/>
      </top>
      <bottom style="hair">
        <color indexed="55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55"/>
      </right>
      <top/>
      <bottom style="double">
        <color indexed="64"/>
      </bottom>
      <diagonal/>
    </border>
    <border>
      <left style="hair">
        <color indexed="55"/>
      </left>
      <right style="thin">
        <color indexed="55"/>
      </right>
      <top style="hair">
        <color indexed="55"/>
      </top>
      <bottom style="double">
        <color indexed="64"/>
      </bottom>
      <diagonal/>
    </border>
    <border>
      <left/>
      <right style="hair">
        <color indexed="55"/>
      </right>
      <top style="hair">
        <color indexed="55"/>
      </top>
      <bottom style="double">
        <color indexed="64"/>
      </bottom>
      <diagonal/>
    </border>
    <border>
      <left/>
      <right/>
      <top style="hair">
        <color indexed="55"/>
      </top>
      <bottom style="double">
        <color indexed="64"/>
      </bottom>
      <diagonal/>
    </border>
    <border>
      <left style="thin">
        <color indexed="55"/>
      </left>
      <right/>
      <top style="hair">
        <color indexed="55"/>
      </top>
      <bottom style="double">
        <color indexed="64"/>
      </bottom>
      <diagonal/>
    </border>
  </borders>
  <cellStyleXfs count="7">
    <xf numFmtId="0" fontId="0" fillId="0" borderId="0"/>
    <xf numFmtId="0" fontId="18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/>
    <xf numFmtId="9" fontId="27" fillId="0" borderId="0" applyFont="0" applyFill="0" applyBorder="0" applyAlignment="0" applyProtection="0"/>
    <xf numFmtId="176" fontId="22" fillId="0" borderId="0" applyFont="0" applyFill="0" applyBorder="0" applyAlignment="0" applyProtection="0">
      <alignment vertical="center"/>
    </xf>
    <xf numFmtId="38" fontId="22" fillId="0" borderId="0" applyFont="0" applyFill="0" applyBorder="0" applyAlignment="0" applyProtection="0">
      <alignment vertical="center"/>
    </xf>
  </cellStyleXfs>
  <cellXfs count="335">
    <xf numFmtId="0" fontId="0" fillId="0" borderId="0" xfId="0" applyFont="1" applyAlignment="1">
      <alignment vertical="center"/>
    </xf>
    <xf numFmtId="56" fontId="5" fillId="2" borderId="0" xfId="0" applyNumberFormat="1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right" vertical="center"/>
    </xf>
    <xf numFmtId="0" fontId="7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9" fillId="2" borderId="0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178" fontId="7" fillId="0" borderId="5" xfId="0" applyNumberFormat="1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9" fontId="7" fillId="3" borderId="5" xfId="0" applyNumberFormat="1" applyFont="1" applyFill="1" applyBorder="1" applyAlignment="1">
      <alignment horizontal="center" vertical="center"/>
    </xf>
    <xf numFmtId="38" fontId="7" fillId="0" borderId="5" xfId="0" applyNumberFormat="1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38" fontId="14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78" fontId="7" fillId="5" borderId="5" xfId="0" applyNumberFormat="1" applyFont="1" applyFill="1" applyBorder="1" applyAlignment="1">
      <alignment vertical="center"/>
    </xf>
    <xf numFmtId="178" fontId="7" fillId="0" borderId="2" xfId="0" applyNumberFormat="1" applyFont="1" applyBorder="1" applyAlignment="1">
      <alignment vertical="center"/>
    </xf>
    <xf numFmtId="9" fontId="7" fillId="0" borderId="5" xfId="0" applyNumberFormat="1" applyFont="1" applyBorder="1" applyAlignment="1">
      <alignment vertical="center"/>
    </xf>
    <xf numFmtId="38" fontId="7" fillId="0" borderId="5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textRotation="255"/>
    </xf>
    <xf numFmtId="0" fontId="7" fillId="0" borderId="5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20" fontId="13" fillId="2" borderId="2" xfId="0" applyNumberFormat="1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20" fontId="13" fillId="2" borderId="4" xfId="0" applyNumberFormat="1" applyFont="1" applyFill="1" applyBorder="1" applyAlignment="1">
      <alignment horizontal="center" vertical="center"/>
    </xf>
    <xf numFmtId="20" fontId="13" fillId="0" borderId="5" xfId="0" applyNumberFormat="1" applyFont="1" applyBorder="1" applyAlignment="1">
      <alignment horizontal="left" vertical="center" wrapText="1"/>
    </xf>
    <xf numFmtId="0" fontId="13" fillId="0" borderId="5" xfId="0" applyFont="1" applyBorder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20" fontId="13" fillId="2" borderId="2" xfId="0" applyNumberFormat="1" applyFont="1" applyFill="1" applyBorder="1" applyAlignment="1">
      <alignment vertical="center" wrapText="1"/>
    </xf>
    <xf numFmtId="20" fontId="13" fillId="2" borderId="4" xfId="0" applyNumberFormat="1" applyFont="1" applyFill="1" applyBorder="1" applyAlignment="1">
      <alignment vertical="center" wrapText="1"/>
    </xf>
    <xf numFmtId="0" fontId="13" fillId="0" borderId="5" xfId="0" applyFont="1" applyBorder="1" applyAlignment="1">
      <alignment vertical="center"/>
    </xf>
    <xf numFmtId="20" fontId="13" fillId="2" borderId="8" xfId="0" applyNumberFormat="1" applyFont="1" applyFill="1" applyBorder="1" applyAlignment="1">
      <alignment vertical="center" wrapText="1"/>
    </xf>
    <xf numFmtId="20" fontId="13" fillId="2" borderId="9" xfId="0" applyNumberFormat="1" applyFont="1" applyFill="1" applyBorder="1" applyAlignment="1">
      <alignment vertical="center" wrapText="1"/>
    </xf>
    <xf numFmtId="0" fontId="13" fillId="0" borderId="10" xfId="0" applyFont="1" applyBorder="1" applyAlignment="1">
      <alignment vertical="center" wrapText="1"/>
    </xf>
    <xf numFmtId="0" fontId="10" fillId="6" borderId="2" xfId="0" applyFont="1" applyFill="1" applyBorder="1" applyAlignment="1">
      <alignment vertical="center"/>
    </xf>
    <xf numFmtId="0" fontId="7" fillId="6" borderId="3" xfId="0" applyFont="1" applyFill="1" applyBorder="1" applyAlignment="1">
      <alignment vertical="center"/>
    </xf>
    <xf numFmtId="0" fontId="7" fillId="7" borderId="3" xfId="0" applyFont="1" applyFill="1" applyBorder="1" applyAlignment="1">
      <alignment vertical="center"/>
    </xf>
    <xf numFmtId="0" fontId="7" fillId="2" borderId="10" xfId="0" applyFont="1" applyFill="1" applyBorder="1" applyAlignment="1">
      <alignment vertical="center"/>
    </xf>
    <xf numFmtId="0" fontId="7" fillId="2" borderId="12" xfId="0" applyFont="1" applyFill="1" applyBorder="1" applyAlignment="1">
      <alignment vertical="center"/>
    </xf>
    <xf numFmtId="20" fontId="13" fillId="2" borderId="2" xfId="0" applyNumberFormat="1" applyFont="1" applyFill="1" applyBorder="1" applyAlignment="1">
      <alignment horizontal="center" vertical="center"/>
    </xf>
    <xf numFmtId="20" fontId="13" fillId="2" borderId="4" xfId="0" applyNumberFormat="1" applyFont="1" applyFill="1" applyBorder="1" applyAlignment="1">
      <alignment horizontal="center" vertical="center"/>
    </xf>
    <xf numFmtId="0" fontId="20" fillId="0" borderId="18" xfId="1" applyFont="1" applyBorder="1">
      <alignment vertical="center"/>
    </xf>
    <xf numFmtId="38" fontId="20" fillId="0" borderId="0" xfId="2" applyFont="1">
      <alignment vertical="center"/>
    </xf>
    <xf numFmtId="0" fontId="19" fillId="0" borderId="15" xfId="1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0" borderId="2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49" fontId="23" fillId="8" borderId="0" xfId="3" applyNumberFormat="1" applyFont="1" applyFill="1" applyAlignment="1">
      <alignment horizontal="center" vertical="center" shrinkToFit="1"/>
    </xf>
    <xf numFmtId="49" fontId="23" fillId="8" borderId="0" xfId="3" applyNumberFormat="1" applyFont="1" applyFill="1" applyAlignment="1">
      <alignment horizontal="center" vertical="center"/>
    </xf>
    <xf numFmtId="0" fontId="8" fillId="8" borderId="0" xfId="3" applyFont="1" applyFill="1" applyAlignment="1">
      <alignment vertical="center" shrinkToFit="1"/>
    </xf>
    <xf numFmtId="0" fontId="24" fillId="8" borderId="0" xfId="3" applyFont="1" applyFill="1" applyAlignment="1">
      <alignment horizontal="center" vertical="center"/>
    </xf>
    <xf numFmtId="0" fontId="23" fillId="8" borderId="0" xfId="3" applyFont="1" applyFill="1" applyAlignment="1">
      <alignment vertical="center"/>
    </xf>
    <xf numFmtId="0" fontId="25" fillId="8" borderId="0" xfId="3" applyFont="1" applyFill="1" applyAlignment="1">
      <alignment vertical="center"/>
    </xf>
    <xf numFmtId="0" fontId="24" fillId="8" borderId="0" xfId="3" applyFont="1" applyFill="1" applyAlignment="1">
      <alignment vertical="center"/>
    </xf>
    <xf numFmtId="0" fontId="23" fillId="9" borderId="24" xfId="3" applyFont="1" applyFill="1" applyBorder="1" applyAlignment="1">
      <alignment horizontal="center" vertical="center" shrinkToFit="1"/>
    </xf>
    <xf numFmtId="0" fontId="23" fillId="9" borderId="25" xfId="3" applyFont="1" applyFill="1" applyBorder="1" applyAlignment="1">
      <alignment horizontal="center" vertical="center"/>
    </xf>
    <xf numFmtId="0" fontId="23" fillId="9" borderId="26" xfId="3" applyFont="1" applyFill="1" applyBorder="1" applyAlignment="1">
      <alignment horizontal="center" vertical="center"/>
    </xf>
    <xf numFmtId="0" fontId="23" fillId="9" borderId="24" xfId="3" applyFont="1" applyFill="1" applyBorder="1" applyAlignment="1">
      <alignment horizontal="center" vertical="center"/>
    </xf>
    <xf numFmtId="0" fontId="23" fillId="9" borderId="27" xfId="3" applyFont="1" applyFill="1" applyBorder="1" applyAlignment="1">
      <alignment horizontal="center" vertical="center"/>
    </xf>
    <xf numFmtId="0" fontId="25" fillId="9" borderId="28" xfId="3" applyFont="1" applyFill="1" applyBorder="1" applyAlignment="1">
      <alignment horizontal="center" vertical="center" shrinkToFit="1"/>
    </xf>
    <xf numFmtId="0" fontId="15" fillId="10" borderId="28" xfId="3" applyNumberFormat="1" applyFont="1" applyFill="1" applyBorder="1" applyAlignment="1" applyProtection="1">
      <alignment horizontal="center" vertical="center" shrinkToFit="1"/>
      <protection locked="0"/>
    </xf>
    <xf numFmtId="49" fontId="24" fillId="8" borderId="29" xfId="3" applyNumberFormat="1" applyFont="1" applyFill="1" applyBorder="1" applyAlignment="1">
      <alignment horizontal="center" vertical="center" shrinkToFit="1"/>
    </xf>
    <xf numFmtId="49" fontId="24" fillId="8" borderId="0" xfId="3" applyNumberFormat="1" applyFont="1" applyFill="1" applyBorder="1" applyAlignment="1">
      <alignment horizontal="center" vertical="center"/>
    </xf>
    <xf numFmtId="0" fontId="24" fillId="11" borderId="30" xfId="3" applyFont="1" applyFill="1" applyBorder="1" applyAlignment="1">
      <alignment vertical="center" shrinkToFit="1"/>
    </xf>
    <xf numFmtId="0" fontId="26" fillId="11" borderId="31" xfId="3" applyFont="1" applyFill="1" applyBorder="1" applyAlignment="1">
      <alignment horizontal="center" vertical="center" wrapText="1"/>
    </xf>
    <xf numFmtId="179" fontId="23" fillId="11" borderId="32" xfId="3" applyNumberFormat="1" applyFont="1" applyFill="1" applyBorder="1" applyAlignment="1">
      <alignment horizontal="right" vertical="center" wrapText="1"/>
    </xf>
    <xf numFmtId="179" fontId="25" fillId="12" borderId="33" xfId="3" applyNumberFormat="1" applyFont="1" applyFill="1" applyBorder="1" applyAlignment="1">
      <alignment horizontal="right" vertical="center" wrapText="1"/>
    </xf>
    <xf numFmtId="179" fontId="25" fillId="13" borderId="33" xfId="3" applyNumberFormat="1" applyFont="1" applyFill="1" applyBorder="1" applyAlignment="1" applyProtection="1">
      <alignment horizontal="right" vertical="center" wrapText="1"/>
      <protection locked="0"/>
    </xf>
    <xf numFmtId="49" fontId="23" fillId="8" borderId="29" xfId="3" applyNumberFormat="1" applyFont="1" applyFill="1" applyBorder="1" applyAlignment="1">
      <alignment horizontal="center" vertical="center" shrinkToFit="1"/>
    </xf>
    <xf numFmtId="0" fontId="24" fillId="11" borderId="34" xfId="3" applyFont="1" applyFill="1" applyBorder="1" applyAlignment="1">
      <alignment vertical="center" shrinkToFit="1"/>
    </xf>
    <xf numFmtId="0" fontId="26" fillId="11" borderId="35" xfId="3" applyFont="1" applyFill="1" applyBorder="1" applyAlignment="1">
      <alignment horizontal="center" vertical="center" wrapText="1"/>
    </xf>
    <xf numFmtId="179" fontId="23" fillId="11" borderId="36" xfId="3" applyNumberFormat="1" applyFont="1" applyFill="1" applyBorder="1" applyAlignment="1">
      <alignment horizontal="right" vertical="center" wrapText="1"/>
    </xf>
    <xf numFmtId="179" fontId="25" fillId="12" borderId="37" xfId="3" applyNumberFormat="1" applyFont="1" applyFill="1" applyBorder="1" applyAlignment="1">
      <alignment horizontal="right" vertical="center" wrapText="1"/>
    </xf>
    <xf numFmtId="179" fontId="25" fillId="13" borderId="37" xfId="3" applyNumberFormat="1" applyFont="1" applyFill="1" applyBorder="1" applyAlignment="1" applyProtection="1">
      <alignment horizontal="right" vertical="center" wrapText="1"/>
      <protection locked="0"/>
    </xf>
    <xf numFmtId="179" fontId="23" fillId="11" borderId="38" xfId="3" applyNumberFormat="1" applyFont="1" applyFill="1" applyBorder="1" applyAlignment="1">
      <alignment horizontal="right" vertical="center" wrapText="1"/>
    </xf>
    <xf numFmtId="179" fontId="23" fillId="12" borderId="38" xfId="3" applyNumberFormat="1" applyFont="1" applyFill="1" applyBorder="1" applyAlignment="1">
      <alignment horizontal="right" vertical="center" wrapText="1"/>
    </xf>
    <xf numFmtId="179" fontId="23" fillId="12" borderId="39" xfId="3" applyNumberFormat="1" applyFont="1" applyFill="1" applyBorder="1" applyAlignment="1">
      <alignment horizontal="right" vertical="center" wrapText="1"/>
    </xf>
    <xf numFmtId="49" fontId="23" fillId="8" borderId="0" xfId="3" applyNumberFormat="1" applyFont="1" applyFill="1" applyBorder="1" applyAlignment="1">
      <alignment horizontal="center" vertical="center"/>
    </xf>
    <xf numFmtId="0" fontId="26" fillId="11" borderId="40" xfId="3" applyFont="1" applyFill="1" applyBorder="1" applyAlignment="1">
      <alignment horizontal="center" vertical="center" wrapText="1"/>
    </xf>
    <xf numFmtId="179" fontId="23" fillId="11" borderId="41" xfId="3" applyNumberFormat="1" applyFont="1" applyFill="1" applyBorder="1" applyAlignment="1">
      <alignment horizontal="right" vertical="center" wrapText="1"/>
    </xf>
    <xf numFmtId="179" fontId="25" fillId="12" borderId="42" xfId="3" applyNumberFormat="1" applyFont="1" applyFill="1" applyBorder="1" applyAlignment="1">
      <alignment horizontal="right" vertical="center" wrapText="1"/>
    </xf>
    <xf numFmtId="179" fontId="25" fillId="13" borderId="42" xfId="3" applyNumberFormat="1" applyFont="1" applyFill="1" applyBorder="1" applyAlignment="1" applyProtection="1">
      <alignment horizontal="right" vertical="center" wrapText="1"/>
      <protection locked="0"/>
    </xf>
    <xf numFmtId="180" fontId="24" fillId="8" borderId="0" xfId="4" applyNumberFormat="1" applyFont="1" applyFill="1" applyAlignment="1">
      <alignment vertical="center"/>
    </xf>
    <xf numFmtId="180" fontId="23" fillId="11" borderId="41" xfId="4" applyNumberFormat="1" applyFont="1" applyFill="1" applyBorder="1" applyAlignment="1">
      <alignment horizontal="right" vertical="center" wrapText="1"/>
    </xf>
    <xf numFmtId="180" fontId="23" fillId="12" borderId="41" xfId="4" applyNumberFormat="1" applyFont="1" applyFill="1" applyBorder="1" applyAlignment="1">
      <alignment horizontal="right" vertical="center" wrapText="1"/>
    </xf>
    <xf numFmtId="180" fontId="23" fillId="12" borderId="43" xfId="4" applyNumberFormat="1" applyFont="1" applyFill="1" applyBorder="1" applyAlignment="1">
      <alignment horizontal="right" vertical="center" wrapText="1"/>
    </xf>
    <xf numFmtId="180" fontId="25" fillId="12" borderId="42" xfId="4" applyNumberFormat="1" applyFont="1" applyFill="1" applyBorder="1" applyAlignment="1">
      <alignment horizontal="right" vertical="center" wrapText="1"/>
    </xf>
    <xf numFmtId="180" fontId="25" fillId="13" borderId="42" xfId="4" applyNumberFormat="1" applyFont="1" applyFill="1" applyBorder="1" applyAlignment="1" applyProtection="1">
      <alignment horizontal="right" vertical="center" wrapText="1"/>
      <protection locked="0"/>
    </xf>
    <xf numFmtId="0" fontId="24" fillId="11" borderId="44" xfId="3" applyFont="1" applyFill="1" applyBorder="1" applyAlignment="1">
      <alignment vertical="center" shrinkToFit="1"/>
    </xf>
    <xf numFmtId="0" fontId="26" fillId="11" borderId="45" xfId="3" applyFont="1" applyFill="1" applyBorder="1" applyAlignment="1">
      <alignment horizontal="center" vertical="center" wrapText="1"/>
    </xf>
    <xf numFmtId="180" fontId="23" fillId="11" borderId="46" xfId="4" applyNumberFormat="1" applyFont="1" applyFill="1" applyBorder="1" applyAlignment="1">
      <alignment horizontal="right" vertical="center" wrapText="1"/>
    </xf>
    <xf numFmtId="180" fontId="23" fillId="12" borderId="47" xfId="4" applyNumberFormat="1" applyFont="1" applyFill="1" applyBorder="1" applyAlignment="1">
      <alignment horizontal="right" vertical="center" wrapText="1"/>
    </xf>
    <xf numFmtId="180" fontId="25" fillId="12" borderId="48" xfId="4" applyNumberFormat="1" applyFont="1" applyFill="1" applyBorder="1" applyAlignment="1">
      <alignment horizontal="right" vertical="center" wrapText="1"/>
    </xf>
    <xf numFmtId="180" fontId="25" fillId="13" borderId="48" xfId="4" applyNumberFormat="1" applyFont="1" applyFill="1" applyBorder="1" applyAlignment="1" applyProtection="1">
      <alignment horizontal="right" vertical="center" wrapText="1"/>
      <protection locked="0"/>
    </xf>
    <xf numFmtId="0" fontId="24" fillId="14" borderId="30" xfId="3" applyFont="1" applyFill="1" applyBorder="1" applyAlignment="1">
      <alignment vertical="center" shrinkToFit="1"/>
    </xf>
    <xf numFmtId="0" fontId="24" fillId="14" borderId="34" xfId="3" applyFont="1" applyFill="1" applyBorder="1" applyAlignment="1">
      <alignment vertical="center" shrinkToFit="1"/>
    </xf>
    <xf numFmtId="3" fontId="24" fillId="14" borderId="44" xfId="3" applyNumberFormat="1" applyFont="1" applyFill="1" applyBorder="1" applyAlignment="1">
      <alignment vertical="center" shrinkToFit="1"/>
    </xf>
    <xf numFmtId="3" fontId="24" fillId="11" borderId="44" xfId="3" applyNumberFormat="1" applyFont="1" applyFill="1" applyBorder="1" applyAlignment="1">
      <alignment vertical="center" shrinkToFit="1"/>
    </xf>
    <xf numFmtId="179" fontId="23" fillId="11" borderId="49" xfId="3" applyNumberFormat="1" applyFont="1" applyFill="1" applyBorder="1" applyAlignment="1">
      <alignment horizontal="right" vertical="center" wrapText="1"/>
    </xf>
    <xf numFmtId="179" fontId="23" fillId="12" borderId="49" xfId="3" applyNumberFormat="1" applyFont="1" applyFill="1" applyBorder="1" applyAlignment="1">
      <alignment horizontal="right" vertical="center" wrapText="1"/>
    </xf>
    <xf numFmtId="179" fontId="23" fillId="12" borderId="50" xfId="3" applyNumberFormat="1" applyFont="1" applyFill="1" applyBorder="1" applyAlignment="1">
      <alignment horizontal="right" vertical="center" wrapText="1"/>
    </xf>
    <xf numFmtId="179" fontId="23" fillId="11" borderId="51" xfId="3" applyNumberFormat="1" applyFont="1" applyFill="1" applyBorder="1" applyAlignment="1">
      <alignment horizontal="right" vertical="center" wrapText="1"/>
    </xf>
    <xf numFmtId="179" fontId="23" fillId="12" borderId="51" xfId="3" applyNumberFormat="1" applyFont="1" applyFill="1" applyBorder="1" applyAlignment="1">
      <alignment horizontal="right" vertical="center" wrapText="1"/>
    </xf>
    <xf numFmtId="179" fontId="23" fillId="12" borderId="52" xfId="3" applyNumberFormat="1" applyFont="1" applyFill="1" applyBorder="1" applyAlignment="1">
      <alignment horizontal="right" vertical="center" wrapText="1"/>
    </xf>
    <xf numFmtId="0" fontId="26" fillId="15" borderId="55" xfId="3" applyFont="1" applyFill="1" applyBorder="1" applyAlignment="1">
      <alignment horizontal="center" vertical="center" wrapText="1"/>
    </xf>
    <xf numFmtId="179" fontId="23" fillId="15" borderId="56" xfId="3" applyNumberFormat="1" applyFont="1" applyFill="1" applyBorder="1" applyAlignment="1">
      <alignment horizontal="right" vertical="center" wrapText="1"/>
    </xf>
    <xf numFmtId="179" fontId="23" fillId="15" borderId="57" xfId="3" applyNumberFormat="1" applyFont="1" applyFill="1" applyBorder="1" applyAlignment="1">
      <alignment horizontal="right" vertical="center" wrapText="1"/>
    </xf>
    <xf numFmtId="179" fontId="23" fillId="15" borderId="58" xfId="3" applyNumberFormat="1" applyFont="1" applyFill="1" applyBorder="1" applyAlignment="1">
      <alignment horizontal="right" vertical="center" wrapText="1"/>
    </xf>
    <xf numFmtId="179" fontId="25" fillId="15" borderId="59" xfId="3" applyNumberFormat="1" applyFont="1" applyFill="1" applyBorder="1" applyAlignment="1">
      <alignment horizontal="right" vertical="center" wrapText="1"/>
    </xf>
    <xf numFmtId="0" fontId="26" fillId="16" borderId="55" xfId="3" applyFont="1" applyFill="1" applyBorder="1" applyAlignment="1">
      <alignment horizontal="center" vertical="center" wrapText="1"/>
    </xf>
    <xf numFmtId="179" fontId="23" fillId="16" borderId="56" xfId="3" applyNumberFormat="1" applyFont="1" applyFill="1" applyBorder="1" applyAlignment="1">
      <alignment horizontal="right" vertical="center" wrapText="1"/>
    </xf>
    <xf numFmtId="179" fontId="23" fillId="16" borderId="57" xfId="3" applyNumberFormat="1" applyFont="1" applyFill="1" applyBorder="1" applyAlignment="1">
      <alignment horizontal="right" vertical="center" wrapText="1"/>
    </xf>
    <xf numFmtId="179" fontId="23" fillId="16" borderId="58" xfId="3" applyNumberFormat="1" applyFont="1" applyFill="1" applyBorder="1" applyAlignment="1">
      <alignment horizontal="right" vertical="center" wrapText="1"/>
    </xf>
    <xf numFmtId="179" fontId="25" fillId="16" borderId="59" xfId="3" applyNumberFormat="1" applyFont="1" applyFill="1" applyBorder="1" applyAlignment="1">
      <alignment horizontal="right" vertical="center" wrapText="1"/>
    </xf>
    <xf numFmtId="0" fontId="26" fillId="15" borderId="35" xfId="3" applyFont="1" applyFill="1" applyBorder="1" applyAlignment="1">
      <alignment horizontal="center" vertical="center" wrapText="1"/>
    </xf>
    <xf numFmtId="179" fontId="23" fillId="15" borderId="36" xfId="3" applyNumberFormat="1" applyFont="1" applyFill="1" applyBorder="1" applyAlignment="1">
      <alignment horizontal="right" vertical="center" wrapText="1"/>
    </xf>
    <xf numFmtId="179" fontId="25" fillId="15" borderId="62" xfId="3" applyNumberFormat="1" applyFont="1" applyFill="1" applyBorder="1" applyAlignment="1">
      <alignment horizontal="right" vertical="center" wrapText="1"/>
    </xf>
    <xf numFmtId="0" fontId="26" fillId="16" borderId="35" xfId="3" applyFont="1" applyFill="1" applyBorder="1" applyAlignment="1">
      <alignment horizontal="center" vertical="center" wrapText="1"/>
    </xf>
    <xf numFmtId="179" fontId="23" fillId="16" borderId="36" xfId="3" applyNumberFormat="1" applyFont="1" applyFill="1" applyBorder="1" applyAlignment="1">
      <alignment horizontal="right" vertical="center" wrapText="1"/>
    </xf>
    <xf numFmtId="179" fontId="25" fillId="16" borderId="62" xfId="3" applyNumberFormat="1" applyFont="1" applyFill="1" applyBorder="1" applyAlignment="1">
      <alignment horizontal="right" vertical="center" wrapText="1"/>
    </xf>
    <xf numFmtId="0" fontId="26" fillId="15" borderId="40" xfId="3" applyFont="1" applyFill="1" applyBorder="1" applyAlignment="1">
      <alignment horizontal="center" vertical="center" wrapText="1"/>
    </xf>
    <xf numFmtId="179" fontId="23" fillId="15" borderId="41" xfId="3" applyNumberFormat="1" applyFont="1" applyFill="1" applyBorder="1" applyAlignment="1">
      <alignment horizontal="right" vertical="center" wrapText="1"/>
    </xf>
    <xf numFmtId="179" fontId="25" fillId="15" borderId="63" xfId="3" applyNumberFormat="1" applyFont="1" applyFill="1" applyBorder="1" applyAlignment="1">
      <alignment horizontal="right" vertical="center" wrapText="1"/>
    </xf>
    <xf numFmtId="0" fontId="26" fillId="16" borderId="40" xfId="3" applyFont="1" applyFill="1" applyBorder="1" applyAlignment="1">
      <alignment horizontal="center" vertical="center" wrapText="1"/>
    </xf>
    <xf numFmtId="179" fontId="23" fillId="16" borderId="41" xfId="3" applyNumberFormat="1" applyFont="1" applyFill="1" applyBorder="1" applyAlignment="1">
      <alignment horizontal="right" vertical="center" wrapText="1"/>
    </xf>
    <xf numFmtId="179" fontId="25" fillId="16" borderId="63" xfId="3" applyNumberFormat="1" applyFont="1" applyFill="1" applyBorder="1" applyAlignment="1">
      <alignment horizontal="right" vertical="center" wrapText="1"/>
    </xf>
    <xf numFmtId="180" fontId="23" fillId="15" borderId="41" xfId="4" applyNumberFormat="1" applyFont="1" applyFill="1" applyBorder="1" applyAlignment="1">
      <alignment horizontal="right" vertical="center" wrapText="1"/>
    </xf>
    <xf numFmtId="180" fontId="23" fillId="15" borderId="43" xfId="4" applyNumberFormat="1" applyFont="1" applyFill="1" applyBorder="1" applyAlignment="1">
      <alignment horizontal="right" vertical="center" wrapText="1"/>
    </xf>
    <xf numFmtId="180" fontId="25" fillId="15" borderId="63" xfId="4" applyNumberFormat="1" applyFont="1" applyFill="1" applyBorder="1" applyAlignment="1">
      <alignment horizontal="right" vertical="center" wrapText="1"/>
    </xf>
    <xf numFmtId="180" fontId="23" fillId="16" borderId="41" xfId="4" applyNumberFormat="1" applyFont="1" applyFill="1" applyBorder="1" applyAlignment="1">
      <alignment horizontal="right" vertical="center" wrapText="1"/>
    </xf>
    <xf numFmtId="180" fontId="23" fillId="16" borderId="43" xfId="4" applyNumberFormat="1" applyFont="1" applyFill="1" applyBorder="1" applyAlignment="1">
      <alignment horizontal="right" vertical="center" wrapText="1"/>
    </xf>
    <xf numFmtId="180" fontId="25" fillId="16" borderId="63" xfId="4" applyNumberFormat="1" applyFont="1" applyFill="1" applyBorder="1" applyAlignment="1">
      <alignment horizontal="right" vertical="center" wrapText="1"/>
    </xf>
    <xf numFmtId="49" fontId="23" fillId="8" borderId="64" xfId="3" applyNumberFormat="1" applyFont="1" applyFill="1" applyBorder="1" applyAlignment="1">
      <alignment horizontal="center" vertical="center" shrinkToFit="1"/>
    </xf>
    <xf numFmtId="0" fontId="26" fillId="15" borderId="67" xfId="3" applyFont="1" applyFill="1" applyBorder="1" applyAlignment="1">
      <alignment horizontal="center" vertical="center" wrapText="1"/>
    </xf>
    <xf numFmtId="180" fontId="23" fillId="15" borderId="68" xfId="4" applyNumberFormat="1" applyFont="1" applyFill="1" applyBorder="1" applyAlignment="1">
      <alignment horizontal="right" vertical="center" wrapText="1"/>
    </xf>
    <xf numFmtId="180" fontId="23" fillId="15" borderId="69" xfId="4" applyNumberFormat="1" applyFont="1" applyFill="1" applyBorder="1" applyAlignment="1">
      <alignment horizontal="right" vertical="center" wrapText="1"/>
    </xf>
    <xf numFmtId="180" fontId="25" fillId="15" borderId="70" xfId="4" applyNumberFormat="1" applyFont="1" applyFill="1" applyBorder="1" applyAlignment="1">
      <alignment horizontal="right" vertical="center" wrapText="1"/>
    </xf>
    <xf numFmtId="0" fontId="26" fillId="16" borderId="67" xfId="3" applyFont="1" applyFill="1" applyBorder="1" applyAlignment="1">
      <alignment horizontal="center" vertical="center" wrapText="1"/>
    </xf>
    <xf numFmtId="180" fontId="23" fillId="16" borderId="68" xfId="4" applyNumberFormat="1" applyFont="1" applyFill="1" applyBorder="1" applyAlignment="1">
      <alignment horizontal="right" vertical="center" wrapText="1"/>
    </xf>
    <xf numFmtId="180" fontId="23" fillId="16" borderId="69" xfId="4" applyNumberFormat="1" applyFont="1" applyFill="1" applyBorder="1" applyAlignment="1">
      <alignment horizontal="right" vertical="center" wrapText="1"/>
    </xf>
    <xf numFmtId="180" fontId="25" fillId="16" borderId="70" xfId="4" applyNumberFormat="1" applyFont="1" applyFill="1" applyBorder="1" applyAlignment="1">
      <alignment horizontal="right" vertical="center" wrapText="1"/>
    </xf>
    <xf numFmtId="49" fontId="29" fillId="8" borderId="0" xfId="3" applyNumberFormat="1" applyFont="1" applyFill="1" applyBorder="1" applyAlignment="1">
      <alignment horizontal="left" vertical="center"/>
    </xf>
    <xf numFmtId="180" fontId="23" fillId="15" borderId="68" xfId="3" applyNumberFormat="1" applyFont="1" applyFill="1" applyBorder="1" applyAlignment="1">
      <alignment horizontal="right" vertical="center" wrapText="1"/>
    </xf>
    <xf numFmtId="180" fontId="23" fillId="15" borderId="69" xfId="3" applyNumberFormat="1" applyFont="1" applyFill="1" applyBorder="1" applyAlignment="1">
      <alignment horizontal="right" vertical="center" wrapText="1"/>
    </xf>
    <xf numFmtId="180" fontId="25" fillId="15" borderId="70" xfId="3" applyNumberFormat="1" applyFont="1" applyFill="1" applyBorder="1" applyAlignment="1">
      <alignment horizontal="right" vertical="center" wrapText="1"/>
    </xf>
    <xf numFmtId="180" fontId="25" fillId="13" borderId="48" xfId="3" applyNumberFormat="1" applyFont="1" applyFill="1" applyBorder="1" applyAlignment="1" applyProtection="1">
      <alignment horizontal="right" vertical="center" wrapText="1"/>
      <protection locked="0"/>
    </xf>
    <xf numFmtId="180" fontId="23" fillId="16" borderId="68" xfId="3" applyNumberFormat="1" applyFont="1" applyFill="1" applyBorder="1" applyAlignment="1">
      <alignment horizontal="right" vertical="center" wrapText="1"/>
    </xf>
    <xf numFmtId="180" fontId="23" fillId="16" borderId="69" xfId="3" applyNumberFormat="1" applyFont="1" applyFill="1" applyBorder="1" applyAlignment="1">
      <alignment horizontal="right" vertical="center" wrapText="1"/>
    </xf>
    <xf numFmtId="180" fontId="25" fillId="16" borderId="70" xfId="3" applyNumberFormat="1" applyFont="1" applyFill="1" applyBorder="1" applyAlignment="1">
      <alignment horizontal="right" vertical="center" wrapText="1"/>
    </xf>
    <xf numFmtId="179" fontId="23" fillId="15" borderId="43" xfId="3" applyNumberFormat="1" applyFont="1" applyFill="1" applyBorder="1" applyAlignment="1">
      <alignment horizontal="right" vertical="center" wrapText="1"/>
    </xf>
    <xf numFmtId="179" fontId="23" fillId="16" borderId="43" xfId="3" applyNumberFormat="1" applyFont="1" applyFill="1" applyBorder="1" applyAlignment="1">
      <alignment horizontal="right" vertical="center" wrapText="1"/>
    </xf>
    <xf numFmtId="49" fontId="29" fillId="8" borderId="0" xfId="3" applyNumberFormat="1" applyFont="1" applyFill="1" applyBorder="1" applyAlignment="1">
      <alignment vertical="center"/>
    </xf>
    <xf numFmtId="49" fontId="24" fillId="8" borderId="0" xfId="3" applyNumberFormat="1" applyFont="1" applyFill="1" applyBorder="1" applyAlignment="1">
      <alignment horizontal="center" vertical="center" shrinkToFit="1"/>
    </xf>
    <xf numFmtId="0" fontId="26" fillId="17" borderId="74" xfId="3" applyFont="1" applyFill="1" applyBorder="1" applyAlignment="1">
      <alignment horizontal="center" vertical="center" wrapText="1"/>
    </xf>
    <xf numFmtId="179" fontId="23" fillId="17" borderId="75" xfId="3" applyNumberFormat="1" applyFont="1" applyFill="1" applyBorder="1" applyAlignment="1">
      <alignment horizontal="right" vertical="center" wrapText="1"/>
    </xf>
    <xf numFmtId="179" fontId="23" fillId="17" borderId="76" xfId="3" applyNumberFormat="1" applyFont="1" applyFill="1" applyBorder="1" applyAlignment="1">
      <alignment horizontal="right" vertical="center" wrapText="1"/>
    </xf>
    <xf numFmtId="179" fontId="23" fillId="17" borderId="77" xfId="3" applyNumberFormat="1" applyFont="1" applyFill="1" applyBorder="1" applyAlignment="1">
      <alignment horizontal="right" vertical="center" wrapText="1"/>
    </xf>
    <xf numFmtId="179" fontId="25" fillId="17" borderId="78" xfId="3" applyNumberFormat="1" applyFont="1" applyFill="1" applyBorder="1" applyAlignment="1">
      <alignment horizontal="right" vertical="center" wrapText="1"/>
    </xf>
    <xf numFmtId="0" fontId="26" fillId="18" borderId="74" xfId="3" applyFont="1" applyFill="1" applyBorder="1" applyAlignment="1">
      <alignment horizontal="center" vertical="center" wrapText="1"/>
    </xf>
    <xf numFmtId="179" fontId="23" fillId="18" borderId="75" xfId="3" applyNumberFormat="1" applyFont="1" applyFill="1" applyBorder="1" applyAlignment="1">
      <alignment horizontal="right" vertical="center" wrapText="1"/>
    </xf>
    <xf numFmtId="179" fontId="23" fillId="18" borderId="76" xfId="3" applyNumberFormat="1" applyFont="1" applyFill="1" applyBorder="1" applyAlignment="1">
      <alignment horizontal="right" vertical="center" wrapText="1"/>
    </xf>
    <xf numFmtId="179" fontId="23" fillId="18" borderId="77" xfId="3" applyNumberFormat="1" applyFont="1" applyFill="1" applyBorder="1" applyAlignment="1">
      <alignment horizontal="right" vertical="center" wrapText="1"/>
    </xf>
    <xf numFmtId="179" fontId="25" fillId="18" borderId="78" xfId="3" applyNumberFormat="1" applyFont="1" applyFill="1" applyBorder="1" applyAlignment="1">
      <alignment horizontal="right" vertical="center" wrapText="1"/>
    </xf>
    <xf numFmtId="0" fontId="26" fillId="17" borderId="35" xfId="3" applyFont="1" applyFill="1" applyBorder="1" applyAlignment="1">
      <alignment horizontal="center" vertical="center" wrapText="1"/>
    </xf>
    <xf numFmtId="179" fontId="23" fillId="17" borderId="36" xfId="3" applyNumberFormat="1" applyFont="1" applyFill="1" applyBorder="1" applyAlignment="1">
      <alignment horizontal="right" vertical="center" wrapText="1"/>
    </xf>
    <xf numFmtId="179" fontId="25" fillId="17" borderId="62" xfId="3" applyNumberFormat="1" applyFont="1" applyFill="1" applyBorder="1" applyAlignment="1">
      <alignment horizontal="right" vertical="center" wrapText="1"/>
    </xf>
    <xf numFmtId="0" fontId="26" fillId="18" borderId="35" xfId="3" applyFont="1" applyFill="1" applyBorder="1" applyAlignment="1">
      <alignment horizontal="center" vertical="center" wrapText="1"/>
    </xf>
    <xf numFmtId="179" fontId="23" fillId="18" borderId="36" xfId="3" applyNumberFormat="1" applyFont="1" applyFill="1" applyBorder="1" applyAlignment="1">
      <alignment horizontal="right" vertical="center" wrapText="1"/>
    </xf>
    <xf numFmtId="179" fontId="25" fillId="18" borderId="62" xfId="3" applyNumberFormat="1" applyFont="1" applyFill="1" applyBorder="1" applyAlignment="1">
      <alignment horizontal="right" vertical="center" wrapText="1"/>
    </xf>
    <xf numFmtId="0" fontId="26" fillId="17" borderId="40" xfId="3" applyFont="1" applyFill="1" applyBorder="1" applyAlignment="1">
      <alignment horizontal="center" vertical="center" wrapText="1"/>
    </xf>
    <xf numFmtId="179" fontId="23" fillId="17" borderId="38" xfId="3" applyNumberFormat="1" applyFont="1" applyFill="1" applyBorder="1" applyAlignment="1">
      <alignment horizontal="right" vertical="center" wrapText="1"/>
    </xf>
    <xf numFmtId="179" fontId="23" fillId="17" borderId="39" xfId="3" applyNumberFormat="1" applyFont="1" applyFill="1" applyBorder="1" applyAlignment="1">
      <alignment horizontal="right" vertical="center" wrapText="1"/>
    </xf>
    <xf numFmtId="0" fontId="26" fillId="18" borderId="40" xfId="3" applyFont="1" applyFill="1" applyBorder="1" applyAlignment="1">
      <alignment horizontal="center" vertical="center" wrapText="1"/>
    </xf>
    <xf numFmtId="179" fontId="23" fillId="18" borderId="38" xfId="3" applyNumberFormat="1" applyFont="1" applyFill="1" applyBorder="1" applyAlignment="1">
      <alignment horizontal="right" vertical="center" wrapText="1"/>
    </xf>
    <xf numFmtId="179" fontId="23" fillId="18" borderId="39" xfId="3" applyNumberFormat="1" applyFont="1" applyFill="1" applyBorder="1" applyAlignment="1">
      <alignment horizontal="right" vertical="center" wrapText="1"/>
    </xf>
    <xf numFmtId="180" fontId="23" fillId="17" borderId="41" xfId="4" applyNumberFormat="1" applyFont="1" applyFill="1" applyBorder="1" applyAlignment="1">
      <alignment horizontal="right" vertical="center" wrapText="1"/>
    </xf>
    <xf numFmtId="180" fontId="23" fillId="17" borderId="43" xfId="4" applyNumberFormat="1" applyFont="1" applyFill="1" applyBorder="1" applyAlignment="1">
      <alignment horizontal="right" vertical="center" wrapText="1"/>
    </xf>
    <xf numFmtId="180" fontId="25" fillId="17" borderId="63" xfId="4" applyNumberFormat="1" applyFont="1" applyFill="1" applyBorder="1" applyAlignment="1">
      <alignment horizontal="right" vertical="center" wrapText="1"/>
    </xf>
    <xf numFmtId="180" fontId="23" fillId="18" borderId="41" xfId="4" applyNumberFormat="1" applyFont="1" applyFill="1" applyBorder="1" applyAlignment="1">
      <alignment horizontal="right" vertical="center" wrapText="1"/>
    </xf>
    <xf numFmtId="180" fontId="23" fillId="18" borderId="43" xfId="4" applyNumberFormat="1" applyFont="1" applyFill="1" applyBorder="1" applyAlignment="1">
      <alignment horizontal="right" vertical="center" wrapText="1"/>
    </xf>
    <xf numFmtId="180" fontId="25" fillId="18" borderId="63" xfId="4" applyNumberFormat="1" applyFont="1" applyFill="1" applyBorder="1" applyAlignment="1">
      <alignment horizontal="right" vertical="center" wrapText="1"/>
    </xf>
    <xf numFmtId="0" fontId="26" fillId="17" borderId="83" xfId="3" applyFont="1" applyFill="1" applyBorder="1" applyAlignment="1">
      <alignment horizontal="center" vertical="center" wrapText="1"/>
    </xf>
    <xf numFmtId="180" fontId="23" fillId="17" borderId="84" xfId="3" applyNumberFormat="1" applyFont="1" applyFill="1" applyBorder="1" applyAlignment="1">
      <alignment horizontal="right" vertical="center" wrapText="1"/>
    </xf>
    <xf numFmtId="180" fontId="23" fillId="17" borderId="85" xfId="3" applyNumberFormat="1" applyFont="1" applyFill="1" applyBorder="1" applyAlignment="1">
      <alignment horizontal="right" vertical="center" wrapText="1"/>
    </xf>
    <xf numFmtId="180" fontId="25" fillId="17" borderId="86" xfId="3" applyNumberFormat="1" applyFont="1" applyFill="1" applyBorder="1" applyAlignment="1">
      <alignment horizontal="right" vertical="center" wrapText="1"/>
    </xf>
    <xf numFmtId="0" fontId="26" fillId="18" borderId="83" xfId="3" applyFont="1" applyFill="1" applyBorder="1" applyAlignment="1">
      <alignment horizontal="center" vertical="center" wrapText="1"/>
    </xf>
    <xf numFmtId="180" fontId="23" fillId="18" borderId="84" xfId="3" applyNumberFormat="1" applyFont="1" applyFill="1" applyBorder="1" applyAlignment="1">
      <alignment horizontal="right" vertical="center" wrapText="1"/>
    </xf>
    <xf numFmtId="180" fontId="23" fillId="18" borderId="85" xfId="3" applyNumberFormat="1" applyFont="1" applyFill="1" applyBorder="1" applyAlignment="1">
      <alignment horizontal="right" vertical="center" wrapText="1"/>
    </xf>
    <xf numFmtId="180" fontId="25" fillId="18" borderId="86" xfId="3" applyNumberFormat="1" applyFont="1" applyFill="1" applyBorder="1" applyAlignment="1">
      <alignment horizontal="right" vertical="center" wrapText="1"/>
    </xf>
    <xf numFmtId="0" fontId="26" fillId="19" borderId="74" xfId="3" applyFont="1" applyFill="1" applyBorder="1" applyAlignment="1">
      <alignment horizontal="center" vertical="center" wrapText="1"/>
    </xf>
    <xf numFmtId="179" fontId="23" fillId="19" borderId="75" xfId="3" applyNumberFormat="1" applyFont="1" applyFill="1" applyBorder="1" applyAlignment="1">
      <alignment horizontal="right" vertical="center" wrapText="1"/>
    </xf>
    <xf numFmtId="179" fontId="23" fillId="19" borderId="76" xfId="3" applyNumberFormat="1" applyFont="1" applyFill="1" applyBorder="1" applyAlignment="1">
      <alignment horizontal="right" vertical="center" wrapText="1"/>
    </xf>
    <xf numFmtId="179" fontId="23" fillId="19" borderId="77" xfId="3" applyNumberFormat="1" applyFont="1" applyFill="1" applyBorder="1" applyAlignment="1">
      <alignment horizontal="right" vertical="center" wrapText="1"/>
    </xf>
    <xf numFmtId="179" fontId="25" fillId="19" borderId="78" xfId="3" applyNumberFormat="1" applyFont="1" applyFill="1" applyBorder="1" applyAlignment="1">
      <alignment horizontal="right" vertical="center" wrapText="1"/>
    </xf>
    <xf numFmtId="0" fontId="26" fillId="19" borderId="35" xfId="3" applyFont="1" applyFill="1" applyBorder="1" applyAlignment="1">
      <alignment horizontal="center" vertical="center" wrapText="1"/>
    </xf>
    <xf numFmtId="179" fontId="23" fillId="19" borderId="36" xfId="3" applyNumberFormat="1" applyFont="1" applyFill="1" applyBorder="1" applyAlignment="1">
      <alignment horizontal="right" vertical="center" wrapText="1"/>
    </xf>
    <xf numFmtId="179" fontId="23" fillId="19" borderId="38" xfId="3" applyNumberFormat="1" applyFont="1" applyFill="1" applyBorder="1" applyAlignment="1">
      <alignment horizontal="right" vertical="center" wrapText="1"/>
    </xf>
    <xf numFmtId="179" fontId="23" fillId="19" borderId="39" xfId="3" applyNumberFormat="1" applyFont="1" applyFill="1" applyBorder="1" applyAlignment="1">
      <alignment horizontal="right" vertical="center" wrapText="1"/>
    </xf>
    <xf numFmtId="179" fontId="25" fillId="19" borderId="62" xfId="3" applyNumberFormat="1" applyFont="1" applyFill="1" applyBorder="1" applyAlignment="1">
      <alignment horizontal="right" vertical="center" wrapText="1"/>
    </xf>
    <xf numFmtId="179" fontId="24" fillId="8" borderId="0" xfId="3" applyNumberFormat="1" applyFont="1" applyFill="1" applyAlignment="1">
      <alignment vertical="center"/>
    </xf>
    <xf numFmtId="0" fontId="26" fillId="19" borderId="40" xfId="3" applyFont="1" applyFill="1" applyBorder="1" applyAlignment="1">
      <alignment horizontal="center" vertical="center" wrapText="1"/>
    </xf>
    <xf numFmtId="177" fontId="24" fillId="8" borderId="0" xfId="4" applyNumberFormat="1" applyFont="1" applyFill="1" applyAlignment="1">
      <alignment vertical="center"/>
    </xf>
    <xf numFmtId="180" fontId="23" fillId="19" borderId="41" xfId="4" applyNumberFormat="1" applyFont="1" applyFill="1" applyBorder="1" applyAlignment="1">
      <alignment horizontal="right" vertical="center" wrapText="1"/>
    </xf>
    <xf numFmtId="180" fontId="23" fillId="19" borderId="43" xfId="4" applyNumberFormat="1" applyFont="1" applyFill="1" applyBorder="1" applyAlignment="1">
      <alignment horizontal="right" vertical="center" wrapText="1"/>
    </xf>
    <xf numFmtId="180" fontId="25" fillId="19" borderId="63" xfId="4" applyNumberFormat="1" applyFont="1" applyFill="1" applyBorder="1" applyAlignment="1">
      <alignment horizontal="right" vertical="center" wrapText="1"/>
    </xf>
    <xf numFmtId="0" fontId="26" fillId="19" borderId="83" xfId="3" applyFont="1" applyFill="1" applyBorder="1" applyAlignment="1">
      <alignment horizontal="center" vertical="center" wrapText="1"/>
    </xf>
    <xf numFmtId="180" fontId="23" fillId="19" borderId="84" xfId="3" applyNumberFormat="1" applyFont="1" applyFill="1" applyBorder="1" applyAlignment="1">
      <alignment horizontal="right" vertical="center" wrapText="1"/>
    </xf>
    <xf numFmtId="180" fontId="23" fillId="19" borderId="85" xfId="3" applyNumberFormat="1" applyFont="1" applyFill="1" applyBorder="1" applyAlignment="1">
      <alignment horizontal="right" vertical="center" wrapText="1"/>
    </xf>
    <xf numFmtId="180" fontId="25" fillId="19" borderId="86" xfId="3" applyNumberFormat="1" applyFont="1" applyFill="1" applyBorder="1" applyAlignment="1">
      <alignment horizontal="right" vertical="center" wrapText="1"/>
    </xf>
    <xf numFmtId="176" fontId="24" fillId="8" borderId="0" xfId="5" applyFont="1" applyFill="1" applyAlignment="1">
      <alignment vertical="center"/>
    </xf>
    <xf numFmtId="0" fontId="24" fillId="8" borderId="0" xfId="3" applyFont="1" applyFill="1" applyAlignment="1">
      <alignment vertical="center" shrinkToFit="1"/>
    </xf>
    <xf numFmtId="0" fontId="25" fillId="8" borderId="0" xfId="3" applyFont="1" applyFill="1" applyAlignment="1">
      <alignment horizontal="right" vertical="center"/>
    </xf>
    <xf numFmtId="38" fontId="25" fillId="20" borderId="0" xfId="6" applyFont="1" applyFill="1" applyAlignment="1">
      <alignment vertical="center"/>
    </xf>
    <xf numFmtId="179" fontId="25" fillId="20" borderId="0" xfId="3" applyNumberFormat="1" applyFont="1" applyFill="1" applyAlignment="1">
      <alignment vertical="center"/>
    </xf>
    <xf numFmtId="179" fontId="23" fillId="8" borderId="0" xfId="3" applyNumberFormat="1" applyFont="1" applyFill="1" applyAlignment="1">
      <alignment vertical="center"/>
    </xf>
    <xf numFmtId="0" fontId="25" fillId="21" borderId="0" xfId="3" applyFont="1" applyFill="1" applyAlignment="1">
      <alignment vertical="center"/>
    </xf>
    <xf numFmtId="0" fontId="11" fillId="0" borderId="8" xfId="0" applyFont="1" applyBorder="1" applyAlignment="1">
      <alignment horizontal="center" vertical="top"/>
    </xf>
    <xf numFmtId="0" fontId="2" fillId="0" borderId="13" xfId="0" applyFont="1" applyBorder="1"/>
    <xf numFmtId="0" fontId="2" fillId="0" borderId="9" xfId="0" applyFont="1" applyBorder="1"/>
    <xf numFmtId="0" fontId="2" fillId="0" borderId="11" xfId="0" applyFont="1" applyBorder="1"/>
    <xf numFmtId="0" fontId="0" fillId="0" borderId="0" xfId="0" applyFont="1" applyAlignment="1">
      <alignment vertical="center"/>
    </xf>
    <xf numFmtId="0" fontId="2" fillId="0" borderId="14" xfId="0" applyFont="1" applyBorder="1"/>
    <xf numFmtId="0" fontId="2" fillId="0" borderId="6" xfId="0" applyFont="1" applyBorder="1"/>
    <xf numFmtId="0" fontId="2" fillId="0" borderId="1" xfId="0" applyFont="1" applyBorder="1"/>
    <xf numFmtId="0" fontId="2" fillId="0" borderId="7" xfId="0" applyFont="1" applyBorder="1"/>
    <xf numFmtId="0" fontId="10" fillId="6" borderId="8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2" fillId="0" borderId="4" xfId="0" applyFont="1" applyBorder="1"/>
    <xf numFmtId="0" fontId="12" fillId="4" borderId="1" xfId="0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2" fillId="0" borderId="3" xfId="0" applyFont="1" applyBorder="1"/>
    <xf numFmtId="0" fontId="10" fillId="0" borderId="2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1" fillId="0" borderId="11" xfId="0" applyFont="1" applyBorder="1" applyAlignment="1">
      <alignment vertical="center"/>
    </xf>
    <xf numFmtId="0" fontId="15" fillId="0" borderId="2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left" vertical="center" shrinkToFit="1"/>
    </xf>
    <xf numFmtId="0" fontId="13" fillId="4" borderId="2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 wrapText="1"/>
    </xf>
    <xf numFmtId="0" fontId="7" fillId="0" borderId="2" xfId="0" applyFont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left" vertical="center"/>
    </xf>
    <xf numFmtId="0" fontId="2" fillId="0" borderId="0" xfId="0" applyFont="1" applyBorder="1"/>
    <xf numFmtId="9" fontId="7" fillId="5" borderId="2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56" fontId="4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horizontal="center" vertical="center"/>
    </xf>
    <xf numFmtId="0" fontId="10" fillId="0" borderId="6" xfId="0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18" xfId="0" applyFont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16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2" fillId="0" borderId="18" xfId="0" applyFont="1" applyBorder="1"/>
    <xf numFmtId="0" fontId="10" fillId="0" borderId="19" xfId="0" applyFont="1" applyBorder="1" applyAlignment="1">
      <alignment vertical="center" wrapText="1"/>
    </xf>
    <xf numFmtId="0" fontId="10" fillId="0" borderId="20" xfId="0" applyFont="1" applyBorder="1" applyAlignment="1">
      <alignment vertical="center" wrapText="1"/>
    </xf>
    <xf numFmtId="0" fontId="10" fillId="0" borderId="21" xfId="0" applyFont="1" applyBorder="1" applyAlignment="1">
      <alignment vertical="center" wrapText="1"/>
    </xf>
    <xf numFmtId="0" fontId="31" fillId="19" borderId="71" xfId="3" applyFont="1" applyFill="1" applyBorder="1" applyAlignment="1">
      <alignment horizontal="center" vertical="center" wrapText="1" shrinkToFit="1"/>
    </xf>
    <xf numFmtId="0" fontId="31" fillId="19" borderId="72" xfId="3" applyFont="1" applyFill="1" applyBorder="1" applyAlignment="1">
      <alignment horizontal="center" vertical="center" wrapText="1" shrinkToFit="1"/>
    </xf>
    <xf numFmtId="0" fontId="31" fillId="19" borderId="73" xfId="3" applyFont="1" applyFill="1" applyBorder="1" applyAlignment="1">
      <alignment horizontal="center" vertical="center" wrapText="1" shrinkToFit="1"/>
    </xf>
    <xf numFmtId="0" fontId="31" fillId="19" borderId="79" xfId="3" applyFont="1" applyFill="1" applyBorder="1" applyAlignment="1">
      <alignment horizontal="center" vertical="center" wrapText="1" shrinkToFit="1"/>
    </xf>
    <xf numFmtId="0" fontId="31" fillId="19" borderId="0" xfId="3" applyFont="1" applyFill="1" applyBorder="1" applyAlignment="1">
      <alignment horizontal="center" vertical="center" wrapText="1" shrinkToFit="1"/>
    </xf>
    <xf numFmtId="0" fontId="31" fillId="19" borderId="61" xfId="3" applyFont="1" applyFill="1" applyBorder="1" applyAlignment="1">
      <alignment horizontal="center" vertical="center" wrapText="1" shrinkToFit="1"/>
    </xf>
    <xf numFmtId="0" fontId="31" fillId="19" borderId="80" xfId="3" applyFont="1" applyFill="1" applyBorder="1" applyAlignment="1">
      <alignment horizontal="center" vertical="center" wrapText="1" shrinkToFit="1"/>
    </xf>
    <xf numFmtId="0" fontId="31" fillId="19" borderId="81" xfId="3" applyFont="1" applyFill="1" applyBorder="1" applyAlignment="1">
      <alignment horizontal="center" vertical="center" wrapText="1" shrinkToFit="1"/>
    </xf>
    <xf numFmtId="0" fontId="31" fillId="19" borderId="82" xfId="3" applyFont="1" applyFill="1" applyBorder="1" applyAlignment="1">
      <alignment horizontal="center" vertical="center" wrapText="1" shrinkToFit="1"/>
    </xf>
    <xf numFmtId="0" fontId="28" fillId="15" borderId="53" xfId="3" applyFont="1" applyFill="1" applyBorder="1" applyAlignment="1">
      <alignment horizontal="center" vertical="center" wrapText="1"/>
    </xf>
    <xf numFmtId="0" fontId="28" fillId="15" borderId="54" xfId="3" applyFont="1" applyFill="1" applyBorder="1" applyAlignment="1">
      <alignment horizontal="center" vertical="center" wrapText="1"/>
    </xf>
    <xf numFmtId="0" fontId="28" fillId="15" borderId="60" xfId="3" applyFont="1" applyFill="1" applyBorder="1" applyAlignment="1">
      <alignment horizontal="center" vertical="center" wrapText="1"/>
    </xf>
    <xf numFmtId="0" fontId="28" fillId="15" borderId="61" xfId="3" applyFont="1" applyFill="1" applyBorder="1" applyAlignment="1">
      <alignment horizontal="center" vertical="center" wrapText="1"/>
    </xf>
    <xf numFmtId="0" fontId="28" fillId="15" borderId="65" xfId="3" applyFont="1" applyFill="1" applyBorder="1" applyAlignment="1">
      <alignment horizontal="center" vertical="center" wrapText="1"/>
    </xf>
    <xf numFmtId="0" fontId="28" fillId="15" borderId="66" xfId="3" applyFont="1" applyFill="1" applyBorder="1" applyAlignment="1">
      <alignment horizontal="center" vertical="center" wrapText="1"/>
    </xf>
    <xf numFmtId="0" fontId="28" fillId="16" borderId="53" xfId="3" applyFont="1" applyFill="1" applyBorder="1" applyAlignment="1">
      <alignment horizontal="center" vertical="center" wrapText="1"/>
    </xf>
    <xf numFmtId="0" fontId="28" fillId="16" borderId="54" xfId="3" applyFont="1" applyFill="1" applyBorder="1" applyAlignment="1">
      <alignment horizontal="center" vertical="center" wrapText="1"/>
    </xf>
    <xf numFmtId="0" fontId="28" fillId="16" borderId="60" xfId="3" applyFont="1" applyFill="1" applyBorder="1" applyAlignment="1">
      <alignment horizontal="center" vertical="center" wrapText="1"/>
    </xf>
    <xf numFmtId="0" fontId="28" fillId="16" borderId="61" xfId="3" applyFont="1" applyFill="1" applyBorder="1" applyAlignment="1">
      <alignment horizontal="center" vertical="center" wrapText="1"/>
    </xf>
    <xf numFmtId="0" fontId="28" fillId="16" borderId="65" xfId="3" applyFont="1" applyFill="1" applyBorder="1" applyAlignment="1">
      <alignment horizontal="center" vertical="center" wrapText="1"/>
    </xf>
    <xf numFmtId="0" fontId="28" fillId="16" borderId="66" xfId="3" applyFont="1" applyFill="1" applyBorder="1" applyAlignment="1">
      <alignment horizontal="center" vertical="center" wrapText="1"/>
    </xf>
    <xf numFmtId="0" fontId="28" fillId="15" borderId="53" xfId="3" applyFont="1" applyFill="1" applyBorder="1" applyAlignment="1">
      <alignment horizontal="center" vertical="center" wrapText="1" shrinkToFit="1"/>
    </xf>
    <xf numFmtId="0" fontId="28" fillId="15" borderId="54" xfId="3" applyFont="1" applyFill="1" applyBorder="1" applyAlignment="1">
      <alignment horizontal="center" vertical="center" wrapText="1" shrinkToFit="1"/>
    </xf>
    <xf numFmtId="0" fontId="28" fillId="15" borderId="60" xfId="3" applyFont="1" applyFill="1" applyBorder="1" applyAlignment="1">
      <alignment horizontal="center" vertical="center" wrapText="1" shrinkToFit="1"/>
    </xf>
    <xf numFmtId="0" fontId="28" fillId="15" borderId="61" xfId="3" applyFont="1" applyFill="1" applyBorder="1" applyAlignment="1">
      <alignment horizontal="center" vertical="center" wrapText="1" shrinkToFit="1"/>
    </xf>
    <xf numFmtId="0" fontId="28" fillId="15" borderId="65" xfId="3" applyFont="1" applyFill="1" applyBorder="1" applyAlignment="1">
      <alignment horizontal="center" vertical="center" wrapText="1" shrinkToFit="1"/>
    </xf>
    <xf numFmtId="0" fontId="28" fillId="15" borderId="66" xfId="3" applyFont="1" applyFill="1" applyBorder="1" applyAlignment="1">
      <alignment horizontal="center" vertical="center" wrapText="1" shrinkToFit="1"/>
    </xf>
    <xf numFmtId="0" fontId="28" fillId="16" borderId="53" xfId="3" applyFont="1" applyFill="1" applyBorder="1" applyAlignment="1">
      <alignment horizontal="center" vertical="center" wrapText="1" shrinkToFit="1"/>
    </xf>
    <xf numFmtId="0" fontId="28" fillId="16" borderId="54" xfId="3" applyFont="1" applyFill="1" applyBorder="1" applyAlignment="1">
      <alignment horizontal="center" vertical="center" wrapText="1" shrinkToFit="1"/>
    </xf>
    <xf numFmtId="0" fontId="28" fillId="16" borderId="60" xfId="3" applyFont="1" applyFill="1" applyBorder="1" applyAlignment="1">
      <alignment horizontal="center" vertical="center" wrapText="1" shrinkToFit="1"/>
    </xf>
    <xf numFmtId="0" fontId="28" fillId="16" borderId="61" xfId="3" applyFont="1" applyFill="1" applyBorder="1" applyAlignment="1">
      <alignment horizontal="center" vertical="center" wrapText="1" shrinkToFit="1"/>
    </xf>
    <xf numFmtId="0" fontId="28" fillId="16" borderId="65" xfId="3" applyFont="1" applyFill="1" applyBorder="1" applyAlignment="1">
      <alignment horizontal="center" vertical="center" wrapText="1" shrinkToFit="1"/>
    </xf>
    <xf numFmtId="0" fontId="28" fillId="16" borderId="66" xfId="3" applyFont="1" applyFill="1" applyBorder="1" applyAlignment="1">
      <alignment horizontal="center" vertical="center" wrapText="1" shrinkToFit="1"/>
    </xf>
    <xf numFmtId="0" fontId="30" fillId="17" borderId="71" xfId="3" applyFont="1" applyFill="1" applyBorder="1" applyAlignment="1">
      <alignment horizontal="center" vertical="center" wrapText="1"/>
    </xf>
    <xf numFmtId="0" fontId="30" fillId="17" borderId="72" xfId="3" applyFont="1" applyFill="1" applyBorder="1" applyAlignment="1">
      <alignment horizontal="center" vertical="center" wrapText="1"/>
    </xf>
    <xf numFmtId="0" fontId="30" fillId="17" borderId="73" xfId="3" applyFont="1" applyFill="1" applyBorder="1" applyAlignment="1">
      <alignment horizontal="center" vertical="center" wrapText="1"/>
    </xf>
    <xf numFmtId="0" fontId="30" fillId="17" borderId="79" xfId="3" applyFont="1" applyFill="1" applyBorder="1" applyAlignment="1">
      <alignment horizontal="center" vertical="center" wrapText="1"/>
    </xf>
    <xf numFmtId="0" fontId="30" fillId="17" borderId="0" xfId="3" applyFont="1" applyFill="1" applyBorder="1" applyAlignment="1">
      <alignment horizontal="center" vertical="center" wrapText="1"/>
    </xf>
    <xf numFmtId="0" fontId="30" fillId="17" borderId="61" xfId="3" applyFont="1" applyFill="1" applyBorder="1" applyAlignment="1">
      <alignment horizontal="center" vertical="center" wrapText="1"/>
    </xf>
    <xf numFmtId="0" fontId="30" fillId="17" borderId="80" xfId="3" applyFont="1" applyFill="1" applyBorder="1" applyAlignment="1">
      <alignment horizontal="center" vertical="center" wrapText="1"/>
    </xf>
    <xf numFmtId="0" fontId="30" fillId="17" borderId="81" xfId="3" applyFont="1" applyFill="1" applyBorder="1" applyAlignment="1">
      <alignment horizontal="center" vertical="center" wrapText="1"/>
    </xf>
    <xf numFmtId="0" fontId="30" fillId="17" borderId="82" xfId="3" applyFont="1" applyFill="1" applyBorder="1" applyAlignment="1">
      <alignment horizontal="center" vertical="center" wrapText="1"/>
    </xf>
    <xf numFmtId="0" fontId="30" fillId="18" borderId="71" xfId="3" applyFont="1" applyFill="1" applyBorder="1" applyAlignment="1">
      <alignment horizontal="center" vertical="center" wrapText="1"/>
    </xf>
    <xf numFmtId="0" fontId="30" fillId="18" borderId="72" xfId="3" applyFont="1" applyFill="1" applyBorder="1" applyAlignment="1">
      <alignment horizontal="center" vertical="center" wrapText="1"/>
    </xf>
    <xf numFmtId="0" fontId="30" fillId="18" borderId="73" xfId="3" applyFont="1" applyFill="1" applyBorder="1" applyAlignment="1">
      <alignment horizontal="center" vertical="center" wrapText="1"/>
    </xf>
    <xf numFmtId="0" fontId="30" fillId="18" borderId="79" xfId="3" applyFont="1" applyFill="1" applyBorder="1" applyAlignment="1">
      <alignment horizontal="center" vertical="center" wrapText="1"/>
    </xf>
    <xf numFmtId="0" fontId="30" fillId="18" borderId="0" xfId="3" applyFont="1" applyFill="1" applyBorder="1" applyAlignment="1">
      <alignment horizontal="center" vertical="center" wrapText="1"/>
    </xf>
    <xf numFmtId="0" fontId="30" fillId="18" borderId="61" xfId="3" applyFont="1" applyFill="1" applyBorder="1" applyAlignment="1">
      <alignment horizontal="center" vertical="center" wrapText="1"/>
    </xf>
    <xf numFmtId="0" fontId="30" fillId="18" borderId="80" xfId="3" applyFont="1" applyFill="1" applyBorder="1" applyAlignment="1">
      <alignment horizontal="center" vertical="center" wrapText="1"/>
    </xf>
    <xf numFmtId="0" fontId="30" fillId="18" borderId="81" xfId="3" applyFont="1" applyFill="1" applyBorder="1" applyAlignment="1">
      <alignment horizontal="center" vertical="center" wrapText="1"/>
    </xf>
    <xf numFmtId="0" fontId="30" fillId="18" borderId="82" xfId="3" applyFont="1" applyFill="1" applyBorder="1" applyAlignment="1">
      <alignment horizontal="center" vertical="center" wrapText="1"/>
    </xf>
    <xf numFmtId="49" fontId="23" fillId="9" borderId="22" xfId="3" applyNumberFormat="1" applyFont="1" applyFill="1" applyBorder="1" applyAlignment="1">
      <alignment horizontal="center" vertical="center" shrinkToFit="1"/>
    </xf>
    <xf numFmtId="49" fontId="23" fillId="9" borderId="23" xfId="3" applyNumberFormat="1" applyFont="1" applyFill="1" applyBorder="1" applyAlignment="1">
      <alignment horizontal="center" vertical="center" shrinkToFit="1"/>
    </xf>
  </cellXfs>
  <cellStyles count="7">
    <cellStyle name="パーセント 2" xfId="4"/>
    <cellStyle name="桁区切り" xfId="2" builtinId="6"/>
    <cellStyle name="桁区切り 2" xfId="6"/>
    <cellStyle name="通貨 2" xfId="5"/>
    <cellStyle name="標準" xfId="0" builtinId="0"/>
    <cellStyle name="標準 2" xfId="1"/>
    <cellStyle name="標準 3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kasfiles\groups3\NBKK_UL_Sales\NBKK\&#12522;&#12486;&#12540;&#12523;&#21942;&#26989;&#37096;\&#20104;&#31639;\&#20104;&#31639;_2020\&#20491;&#20154;&#20104;&#31639;&#34920;\&#26481;&#26085;&#26412;\jisseki\&#22770;&#19978;19-20Sales_Customer_012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&#12487;&#12491;&#12473;&#12472;&#12515;&#12497;&#12531;&#26666;&#24335;&#20250;&#31038;/nakamura/y&#20104;&#31639;_&#22770;&#19978;_&#12522;&#12486;&#12540;&#12523;/&#22770;&#19978;19-20Sales_Customer_&#36578;&#35352;&#29992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4"/>
      <sheetName val="編集用"/>
      <sheetName val="元データ"/>
      <sheetName val="Sheet1"/>
      <sheetName val="紐付け元データ"/>
      <sheetName val="Sheet6"/>
      <sheetName val="Sheet2"/>
      <sheetName val="perrier"/>
    </sheetNames>
    <sheetDataSet>
      <sheetData sheetId="0">
        <row r="3">
          <cell r="D3">
            <v>7864.0369999999966</v>
          </cell>
          <cell r="E3">
            <v>8738.9649999999947</v>
          </cell>
          <cell r="F3">
            <v>7252.8490000000083</v>
          </cell>
          <cell r="G3">
            <v>8972.8510000000024</v>
          </cell>
          <cell r="H3">
            <v>4822.4229999999898</v>
          </cell>
          <cell r="I3">
            <v>7516.9289999999928</v>
          </cell>
          <cell r="J3">
            <v>7257.7829999999922</v>
          </cell>
          <cell r="K3">
            <v>6274.0649999999941</v>
          </cell>
          <cell r="L3">
            <v>7168.7349999999979</v>
          </cell>
          <cell r="M3">
            <v>8545.2660000000014</v>
          </cell>
          <cell r="N3">
            <v>10553.302000000005</v>
          </cell>
          <cell r="O3">
            <v>9776.5070000000105</v>
          </cell>
        </row>
        <row r="5">
          <cell r="D5">
            <v>103.23200000000001</v>
          </cell>
          <cell r="E5">
            <v>736.48800000000006</v>
          </cell>
          <cell r="F5">
            <v>1066.7450000000008</v>
          </cell>
          <cell r="G5">
            <v>491.5899999999998</v>
          </cell>
          <cell r="H5">
            <v>698.34500000000048</v>
          </cell>
          <cell r="I5">
            <v>758.04500000000019</v>
          </cell>
          <cell r="J5">
            <v>1047.9909999999995</v>
          </cell>
          <cell r="K5">
            <v>1504.1769999999995</v>
          </cell>
          <cell r="L5">
            <v>949.548</v>
          </cell>
          <cell r="M5">
            <v>576.8929999999998</v>
          </cell>
          <cell r="N5">
            <v>772.11399999999969</v>
          </cell>
          <cell r="O5">
            <v>1086.403</v>
          </cell>
        </row>
        <row r="8">
          <cell r="D8">
            <v>-7.5080000000000027</v>
          </cell>
          <cell r="E8">
            <v>214.45099999999999</v>
          </cell>
          <cell r="F8">
            <v>307.77900000000005</v>
          </cell>
          <cell r="G8">
            <v>210.35900000000001</v>
          </cell>
          <cell r="H8">
            <v>94.558999999999969</v>
          </cell>
          <cell r="I8">
            <v>243.93099999999998</v>
          </cell>
          <cell r="J8">
            <v>127.22799999999999</v>
          </cell>
          <cell r="K8">
            <v>200.95900000000003</v>
          </cell>
          <cell r="L8">
            <v>210.95699999999999</v>
          </cell>
          <cell r="M8">
            <v>-2.1329999999999814</v>
          </cell>
          <cell r="N8">
            <v>322.952</v>
          </cell>
          <cell r="O8">
            <v>289.66099999999994</v>
          </cell>
        </row>
        <row r="9">
          <cell r="D9">
            <v>38.154000000000003</v>
          </cell>
          <cell r="E9">
            <v>27.783000000000001</v>
          </cell>
          <cell r="F9">
            <v>35.283999999999999</v>
          </cell>
          <cell r="G9">
            <v>17.955000000000002</v>
          </cell>
          <cell r="H9">
            <v>-218.62999999999977</v>
          </cell>
          <cell r="I9">
            <v>265.18299999999999</v>
          </cell>
          <cell r="J9">
            <v>410.67900000000003</v>
          </cell>
          <cell r="K9">
            <v>443.69000000000011</v>
          </cell>
          <cell r="L9">
            <v>364.57</v>
          </cell>
          <cell r="M9">
            <v>312.68400000000003</v>
          </cell>
          <cell r="N9">
            <v>520.91800000000001</v>
          </cell>
          <cell r="O9">
            <v>1669.9230000000002</v>
          </cell>
        </row>
        <row r="11">
          <cell r="D11">
            <v>212.56</v>
          </cell>
          <cell r="E11">
            <v>152.81300000000002</v>
          </cell>
          <cell r="F11">
            <v>151.80600000000001</v>
          </cell>
          <cell r="G11">
            <v>210.48699999999999</v>
          </cell>
          <cell r="H11">
            <v>118.92099999999999</v>
          </cell>
          <cell r="I11">
            <v>179.56000000000003</v>
          </cell>
          <cell r="J11">
            <v>191.34</v>
          </cell>
          <cell r="K11">
            <v>71.221000000000004</v>
          </cell>
          <cell r="L11">
            <v>303.19400000000002</v>
          </cell>
          <cell r="M11">
            <v>66.747</v>
          </cell>
          <cell r="N11">
            <v>206.89200000000002</v>
          </cell>
          <cell r="O11">
            <v>244.29400000000001</v>
          </cell>
        </row>
        <row r="12">
          <cell r="D12">
            <v>48.74</v>
          </cell>
          <cell r="E12">
            <v>189.99599999999998</v>
          </cell>
          <cell r="F12">
            <v>59.184000000000005</v>
          </cell>
          <cell r="G12">
            <v>182.30399999999997</v>
          </cell>
          <cell r="H12">
            <v>112.89700000000002</v>
          </cell>
          <cell r="I12">
            <v>108.39699999999999</v>
          </cell>
          <cell r="J12">
            <v>96.024000000000001</v>
          </cell>
          <cell r="K12">
            <v>119.89200000000002</v>
          </cell>
          <cell r="L12">
            <v>117.286</v>
          </cell>
          <cell r="M12">
            <v>83.736000000000018</v>
          </cell>
          <cell r="N12">
            <v>34.055999999999997</v>
          </cell>
          <cell r="O12">
            <v>29.847000000000001</v>
          </cell>
        </row>
        <row r="14">
          <cell r="D14">
            <v>4239.0399999999972</v>
          </cell>
          <cell r="E14">
            <v>4277.9180000000051</v>
          </cell>
          <cell r="F14">
            <v>4979.3820000000096</v>
          </cell>
          <cell r="G14">
            <v>4256.4130000000032</v>
          </cell>
          <cell r="H14">
            <v>5201.5400000000054</v>
          </cell>
          <cell r="I14">
            <v>4322.3589999999976</v>
          </cell>
          <cell r="J14">
            <v>5502.4820000000045</v>
          </cell>
          <cell r="K14">
            <v>3494.5540000000037</v>
          </cell>
          <cell r="L14">
            <v>5143.0389999999989</v>
          </cell>
          <cell r="M14">
            <v>3635.2520000000004</v>
          </cell>
          <cell r="N14">
            <v>4091.1689999999999</v>
          </cell>
          <cell r="O14">
            <v>4016.7970000000009</v>
          </cell>
        </row>
        <row r="15">
          <cell r="D15">
            <v>779.69400000000007</v>
          </cell>
          <cell r="E15">
            <v>641.33399999999961</v>
          </cell>
          <cell r="F15">
            <v>776.98799999999983</v>
          </cell>
          <cell r="G15">
            <v>745.8499999999998</v>
          </cell>
          <cell r="H15">
            <v>857.63399999999945</v>
          </cell>
          <cell r="I15">
            <v>727.20299999999929</v>
          </cell>
          <cell r="J15">
            <v>819.08199999999977</v>
          </cell>
          <cell r="K15">
            <v>967.04399999999896</v>
          </cell>
          <cell r="L15">
            <v>984.12899999999979</v>
          </cell>
          <cell r="M15">
            <v>730.90800000000047</v>
          </cell>
          <cell r="N15">
            <v>629.11999999999978</v>
          </cell>
          <cell r="O15">
            <v>786.16799999999967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17">
          <cell r="AF17">
            <v>300</v>
          </cell>
          <cell r="AG17">
            <v>450</v>
          </cell>
          <cell r="AH17">
            <v>450</v>
          </cell>
          <cell r="AI17">
            <v>550</v>
          </cell>
          <cell r="AJ17">
            <v>550</v>
          </cell>
          <cell r="AK17">
            <v>550</v>
          </cell>
          <cell r="AL17">
            <v>550</v>
          </cell>
          <cell r="AM17">
            <v>600</v>
          </cell>
          <cell r="AN17">
            <v>600</v>
          </cell>
          <cell r="AO17">
            <v>600</v>
          </cell>
          <cell r="AP17">
            <v>600</v>
          </cell>
          <cell r="AQ17">
            <v>700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4"/>
      <sheetName val="編集用"/>
      <sheetName val="元データ"/>
      <sheetName val="Sheet1"/>
      <sheetName val="紐付け元データ"/>
      <sheetName val="Sheet6"/>
      <sheetName val="Sheet2"/>
      <sheetName val="perrier"/>
      <sheetName val="perrier 実績"/>
    </sheetNames>
    <sheetDataSet>
      <sheetData sheetId="0">
        <row r="3">
          <cell r="BA3">
            <v>7446.5929999999953</v>
          </cell>
          <cell r="BB3">
            <v>8348.5099999999893</v>
          </cell>
          <cell r="BC3">
            <v>15141.65600000001</v>
          </cell>
          <cell r="BM3">
            <v>765.02399999999989</v>
          </cell>
          <cell r="BN3">
            <v>399.4919999999999</v>
          </cell>
          <cell r="BO3">
            <v>490.84799999999996</v>
          </cell>
        </row>
        <row r="4">
          <cell r="BA4">
            <v>8442.2570000000014</v>
          </cell>
          <cell r="BB4">
            <v>13440.058999999992</v>
          </cell>
          <cell r="BC4">
            <v>19504.600999999999</v>
          </cell>
          <cell r="BM4">
            <v>786.49199999999996</v>
          </cell>
          <cell r="BN4">
            <v>855.76800000000014</v>
          </cell>
          <cell r="BO4">
            <v>898.56600000000003</v>
          </cell>
        </row>
        <row r="5">
          <cell r="BA5">
            <v>681.548</v>
          </cell>
          <cell r="BB5">
            <v>1038.1889999999999</v>
          </cell>
          <cell r="BC5">
            <v>1813.6049999999998</v>
          </cell>
          <cell r="BM5">
            <v>59.207999999999998</v>
          </cell>
          <cell r="BN5">
            <v>14.795999999999999</v>
          </cell>
          <cell r="BO5">
            <v>30.492000000000001</v>
          </cell>
        </row>
        <row r="7">
          <cell r="BA7">
            <v>1391.115</v>
          </cell>
          <cell r="BB7">
            <v>1083.954</v>
          </cell>
          <cell r="BC7">
            <v>1522.423</v>
          </cell>
          <cell r="BM7">
            <v>54.480000000000004</v>
          </cell>
          <cell r="BN7">
            <v>39.840000000000003</v>
          </cell>
          <cell r="BO7">
            <v>77.28</v>
          </cell>
        </row>
        <row r="8">
          <cell r="BA8">
            <v>142.45300000000003</v>
          </cell>
          <cell r="BB8">
            <v>213.20400000000001</v>
          </cell>
          <cell r="BC8">
            <v>251.66200000000009</v>
          </cell>
          <cell r="BM8">
            <v>0</v>
          </cell>
          <cell r="BN8">
            <v>0</v>
          </cell>
          <cell r="BO8">
            <v>8.7840000000000007</v>
          </cell>
        </row>
        <row r="9">
          <cell r="BA9">
            <v>90.996000000000009</v>
          </cell>
          <cell r="BB9">
            <v>109.93199999999999</v>
          </cell>
          <cell r="BC9">
            <v>233.45299999999997</v>
          </cell>
          <cell r="BM9">
            <v>0</v>
          </cell>
          <cell r="BN9">
            <v>0</v>
          </cell>
          <cell r="BO9">
            <v>0</v>
          </cell>
        </row>
        <row r="11">
          <cell r="BA11">
            <v>54.338999999999999</v>
          </cell>
          <cell r="BB11">
            <v>157.09200000000001</v>
          </cell>
          <cell r="BC11">
            <v>171.30300000000003</v>
          </cell>
          <cell r="BM11">
            <v>0</v>
          </cell>
          <cell r="BN11">
            <v>0</v>
          </cell>
          <cell r="BO11">
            <v>0</v>
          </cell>
        </row>
        <row r="12">
          <cell r="BA12">
            <v>77.596000000000004</v>
          </cell>
          <cell r="BB12">
            <v>36.559000000000005</v>
          </cell>
          <cell r="BC12">
            <v>18.096</v>
          </cell>
          <cell r="BM12">
            <v>0</v>
          </cell>
          <cell r="BN12">
            <v>0</v>
          </cell>
          <cell r="BO12">
            <v>0</v>
          </cell>
        </row>
        <row r="14">
          <cell r="BA14">
            <v>4681.0000000000091</v>
          </cell>
          <cell r="BB14">
            <v>4502.7080000000042</v>
          </cell>
          <cell r="BC14">
            <v>4293.4749999999913</v>
          </cell>
          <cell r="BM14">
            <v>0</v>
          </cell>
          <cell r="BN14">
            <v>0</v>
          </cell>
          <cell r="BO14">
            <v>0</v>
          </cell>
        </row>
        <row r="15">
          <cell r="BA15">
            <v>846.25500000000011</v>
          </cell>
          <cell r="BB15">
            <v>1066.1759999999995</v>
          </cell>
          <cell r="BC15">
            <v>1887.9439999999965</v>
          </cell>
          <cell r="BM15">
            <v>0</v>
          </cell>
          <cell r="BN15">
            <v>0</v>
          </cell>
          <cell r="BO15">
            <v>0</v>
          </cell>
        </row>
        <row r="16">
          <cell r="BA16">
            <v>1035.1120000000003</v>
          </cell>
          <cell r="BB16">
            <v>869.93000000000018</v>
          </cell>
          <cell r="BC16">
            <v>1675.04</v>
          </cell>
          <cell r="BM16">
            <v>0</v>
          </cell>
          <cell r="BN16">
            <v>0</v>
          </cell>
          <cell r="BO16">
            <v>69.024000000000001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18">
          <cell r="AF18">
            <v>300</v>
          </cell>
          <cell r="AG18">
            <v>350</v>
          </cell>
          <cell r="AH18">
            <v>350</v>
          </cell>
          <cell r="AI18">
            <v>300</v>
          </cell>
          <cell r="AJ18">
            <v>450</v>
          </cell>
          <cell r="AK18">
            <v>350</v>
          </cell>
          <cell r="AL18">
            <v>350</v>
          </cell>
          <cell r="AM18">
            <v>450</v>
          </cell>
          <cell r="AN18">
            <v>450</v>
          </cell>
          <cell r="AO18">
            <v>550</v>
          </cell>
          <cell r="AP18">
            <v>550</v>
          </cell>
          <cell r="AQ18">
            <v>550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224"/>
  <sheetViews>
    <sheetView workbookViewId="0">
      <selection activeCell="G10" sqref="G10"/>
    </sheetView>
  </sheetViews>
  <sheetFormatPr defaultColWidth="15.109375" defaultRowHeight="15" customHeight="1"/>
  <cols>
    <col min="1" max="1" width="2.88671875" customWidth="1"/>
    <col min="2" max="2" width="5" customWidth="1"/>
    <col min="3" max="3" width="2.109375" customWidth="1"/>
    <col min="4" max="4" width="5.44140625" customWidth="1"/>
    <col min="5" max="5" width="11.77734375" customWidth="1"/>
    <col min="6" max="6" width="8" customWidth="1"/>
    <col min="7" max="7" width="2.109375" customWidth="1"/>
    <col min="8" max="9" width="2.21875" customWidth="1"/>
    <col min="10" max="11" width="8.33203125" customWidth="1"/>
    <col min="12" max="12" width="0.44140625" customWidth="1"/>
    <col min="13" max="13" width="7.88671875" customWidth="1"/>
    <col min="14" max="14" width="7.21875" customWidth="1"/>
    <col min="15" max="15" width="6.77734375" customWidth="1"/>
    <col min="16" max="16" width="4" customWidth="1"/>
    <col min="17" max="17" width="6.44140625" customWidth="1"/>
    <col min="18" max="18" width="9.44140625" customWidth="1"/>
    <col min="19" max="19" width="10.77734375" customWidth="1"/>
    <col min="20" max="20" width="4.33203125" customWidth="1"/>
    <col min="21" max="21" width="9" hidden="1" customWidth="1"/>
    <col min="22" max="22" width="7.88671875" hidden="1" customWidth="1"/>
    <col min="23" max="23" width="10" hidden="1" customWidth="1"/>
  </cols>
  <sheetData>
    <row r="1" spans="1:23" ht="27.75" customHeight="1">
      <c r="A1" s="267" t="s">
        <v>0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42767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3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3" ht="24.75" customHeight="1">
      <c r="A3" s="259" t="s">
        <v>6</v>
      </c>
      <c r="B3" s="254"/>
      <c r="C3" s="254"/>
      <c r="D3" s="251"/>
      <c r="E3" s="9"/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20</v>
      </c>
      <c r="O3" s="12"/>
      <c r="P3" s="13">
        <f>O3/N3</f>
        <v>0</v>
      </c>
      <c r="Q3" s="261" t="s">
        <v>9</v>
      </c>
      <c r="R3" s="251"/>
      <c r="S3" s="14"/>
      <c r="T3" s="15" t="s">
        <v>7</v>
      </c>
      <c r="U3" s="16">
        <v>114539000</v>
      </c>
      <c r="V3" s="17" t="s">
        <v>10</v>
      </c>
      <c r="W3" s="16">
        <v>114539000</v>
      </c>
    </row>
    <row r="4" spans="1:23" ht="24.75" customHeight="1">
      <c r="A4" s="258" t="s">
        <v>11</v>
      </c>
      <c r="B4" s="254"/>
      <c r="C4" s="254"/>
      <c r="D4" s="251"/>
      <c r="E4" s="18"/>
      <c r="F4" s="10" t="s">
        <v>7</v>
      </c>
      <c r="G4" s="266" t="e">
        <f>E4/E3</f>
        <v>#DIV/0!</v>
      </c>
      <c r="H4" s="251"/>
      <c r="I4" s="11"/>
      <c r="J4" s="263" t="s">
        <v>12</v>
      </c>
      <c r="K4" s="254"/>
      <c r="L4" s="254"/>
      <c r="M4" s="251"/>
      <c r="N4" s="12">
        <v>20</v>
      </c>
      <c r="O4" s="12"/>
      <c r="P4" s="13">
        <f>O4/N4</f>
        <v>0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3" ht="24.75" customHeight="1">
      <c r="A5" s="259" t="s">
        <v>14</v>
      </c>
      <c r="B5" s="254"/>
      <c r="C5" s="254"/>
      <c r="D5" s="251"/>
      <c r="E5" s="19">
        <f>E3-E4</f>
        <v>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10</v>
      </c>
      <c r="O5" s="12"/>
      <c r="P5" s="13">
        <f>O5/N5</f>
        <v>0</v>
      </c>
      <c r="Q5" s="260" t="s">
        <v>16</v>
      </c>
      <c r="R5" s="251"/>
      <c r="S5" s="20" t="e">
        <f>S4/S3</f>
        <v>#DIV/0!</v>
      </c>
      <c r="T5" s="15"/>
      <c r="U5" s="5"/>
      <c r="V5" s="5"/>
      <c r="W5" s="5"/>
    </row>
    <row r="6" spans="1:23" ht="27" customHeight="1">
      <c r="A6" s="252" t="s">
        <v>17</v>
      </c>
      <c r="B6" s="246"/>
      <c r="C6" s="246"/>
      <c r="D6" s="246"/>
      <c r="E6" s="21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60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0</v>
      </c>
      <c r="T6" s="10" t="s">
        <v>7</v>
      </c>
      <c r="U6" s="5"/>
      <c r="V6" s="5"/>
      <c r="W6" s="5"/>
    </row>
    <row r="7" spans="1:23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3" ht="82.5" customHeight="1">
      <c r="A8" s="22">
        <v>1</v>
      </c>
      <c r="B8" s="28">
        <v>0.35416666666666669</v>
      </c>
      <c r="C8" s="29" t="s">
        <v>29</v>
      </c>
      <c r="D8" s="30">
        <v>0.8125</v>
      </c>
      <c r="E8" s="31" t="s">
        <v>30</v>
      </c>
      <c r="F8" s="32"/>
      <c r="G8" s="10"/>
      <c r="H8" s="10"/>
      <c r="I8" s="10"/>
      <c r="J8" s="32"/>
      <c r="K8" s="256" t="s">
        <v>31</v>
      </c>
      <c r="L8" s="254"/>
      <c r="M8" s="254"/>
      <c r="N8" s="254"/>
      <c r="O8" s="254"/>
      <c r="P8" s="254"/>
      <c r="Q8" s="254"/>
      <c r="R8" s="254"/>
      <c r="S8" s="254"/>
      <c r="T8" s="251"/>
      <c r="U8" s="5"/>
      <c r="V8" s="5"/>
      <c r="W8" s="5"/>
    </row>
    <row r="9" spans="1:23" ht="79.5" customHeight="1">
      <c r="A9" s="22">
        <v>2</v>
      </c>
      <c r="B9" s="28"/>
      <c r="C9" s="29" t="s">
        <v>29</v>
      </c>
      <c r="D9" s="30"/>
      <c r="E9" s="33"/>
      <c r="F9" s="32"/>
      <c r="G9" s="10"/>
      <c r="H9" s="10"/>
      <c r="I9" s="10"/>
      <c r="J9" s="32"/>
      <c r="K9" s="256"/>
      <c r="L9" s="254"/>
      <c r="M9" s="254"/>
      <c r="N9" s="254"/>
      <c r="O9" s="254"/>
      <c r="P9" s="254"/>
      <c r="Q9" s="254"/>
      <c r="R9" s="254"/>
      <c r="S9" s="254"/>
      <c r="T9" s="251"/>
      <c r="U9" s="5"/>
      <c r="V9" s="5"/>
      <c r="W9" s="5"/>
    </row>
    <row r="10" spans="1:23" ht="79.5" customHeight="1">
      <c r="A10" s="22">
        <v>3</v>
      </c>
      <c r="B10" s="34"/>
      <c r="C10" s="29" t="s">
        <v>29</v>
      </c>
      <c r="D10" s="35"/>
      <c r="E10" s="32"/>
      <c r="F10" s="32"/>
      <c r="G10" s="10"/>
      <c r="H10" s="10"/>
      <c r="I10" s="10"/>
      <c r="J10" s="32"/>
      <c r="K10" s="256"/>
      <c r="L10" s="254"/>
      <c r="M10" s="254"/>
      <c r="N10" s="254"/>
      <c r="O10" s="254"/>
      <c r="P10" s="254"/>
      <c r="Q10" s="254"/>
      <c r="R10" s="254"/>
      <c r="S10" s="254"/>
      <c r="T10" s="251"/>
      <c r="U10" s="5"/>
      <c r="V10" s="5"/>
      <c r="W10" s="5"/>
    </row>
    <row r="11" spans="1:23" ht="79.5" customHeight="1">
      <c r="A11" s="22">
        <v>4</v>
      </c>
      <c r="B11" s="34"/>
      <c r="C11" s="29" t="s">
        <v>29</v>
      </c>
      <c r="D11" s="35"/>
      <c r="E11" s="32"/>
      <c r="F11" s="32"/>
      <c r="G11" s="10"/>
      <c r="H11" s="10"/>
      <c r="I11" s="10"/>
      <c r="J11" s="36"/>
      <c r="K11" s="256"/>
      <c r="L11" s="254"/>
      <c r="M11" s="254"/>
      <c r="N11" s="254"/>
      <c r="O11" s="254"/>
      <c r="P11" s="254"/>
      <c r="Q11" s="254"/>
      <c r="R11" s="254"/>
      <c r="S11" s="254"/>
      <c r="T11" s="251"/>
      <c r="U11" s="5"/>
      <c r="V11" s="5"/>
      <c r="W11" s="5"/>
    </row>
    <row r="12" spans="1:23" ht="79.5" customHeight="1">
      <c r="A12" s="22">
        <v>5</v>
      </c>
      <c r="B12" s="37"/>
      <c r="C12" s="29" t="s">
        <v>29</v>
      </c>
      <c r="D12" s="38"/>
      <c r="E12" s="39"/>
      <c r="F12" s="32"/>
      <c r="G12" s="10"/>
      <c r="H12" s="10"/>
      <c r="I12" s="10"/>
      <c r="J12" s="32"/>
      <c r="K12" s="256"/>
      <c r="L12" s="254"/>
      <c r="M12" s="254"/>
      <c r="N12" s="254"/>
      <c r="O12" s="254"/>
      <c r="P12" s="254"/>
      <c r="Q12" s="254"/>
      <c r="R12" s="254"/>
      <c r="S12" s="254"/>
      <c r="T12" s="251"/>
      <c r="U12" s="5"/>
      <c r="V12" s="5"/>
      <c r="W12" s="5"/>
    </row>
    <row r="13" spans="1:23" ht="79.5" customHeight="1">
      <c r="A13" s="22">
        <v>6</v>
      </c>
      <c r="B13" s="37"/>
      <c r="C13" s="29" t="s">
        <v>29</v>
      </c>
      <c r="D13" s="38"/>
      <c r="E13" s="39"/>
      <c r="F13" s="32"/>
      <c r="G13" s="10"/>
      <c r="H13" s="10"/>
      <c r="I13" s="10"/>
      <c r="J13" s="36"/>
      <c r="K13" s="256"/>
      <c r="L13" s="254"/>
      <c r="M13" s="254"/>
      <c r="N13" s="254"/>
      <c r="O13" s="254"/>
      <c r="P13" s="254"/>
      <c r="Q13" s="254"/>
      <c r="R13" s="254"/>
      <c r="S13" s="254"/>
      <c r="T13" s="251"/>
      <c r="U13" s="5"/>
      <c r="V13" s="5"/>
      <c r="W13" s="5"/>
    </row>
    <row r="14" spans="1:23" ht="79.5" customHeight="1">
      <c r="A14" s="22">
        <v>7</v>
      </c>
      <c r="B14" s="37"/>
      <c r="C14" s="29" t="s">
        <v>29</v>
      </c>
      <c r="D14" s="38"/>
      <c r="E14" s="39"/>
      <c r="F14" s="32"/>
      <c r="G14" s="10"/>
      <c r="H14" s="10"/>
      <c r="I14" s="10"/>
      <c r="J14" s="36"/>
      <c r="K14" s="256"/>
      <c r="L14" s="254"/>
      <c r="M14" s="254"/>
      <c r="N14" s="254"/>
      <c r="O14" s="254"/>
      <c r="P14" s="254"/>
      <c r="Q14" s="254"/>
      <c r="R14" s="254"/>
      <c r="S14" s="254"/>
      <c r="T14" s="251"/>
      <c r="U14" s="5"/>
      <c r="V14" s="5"/>
      <c r="W14" s="5"/>
    </row>
    <row r="15" spans="1:23" ht="79.5" customHeight="1">
      <c r="A15" s="22">
        <v>8</v>
      </c>
      <c r="B15" s="37"/>
      <c r="C15" s="29" t="s">
        <v>29</v>
      </c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3" ht="79.5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N1:O1"/>
    <mergeCell ref="G4:H4"/>
    <mergeCell ref="Q4:R4"/>
    <mergeCell ref="A5:D5"/>
    <mergeCell ref="A1:E1"/>
    <mergeCell ref="J1:K1"/>
    <mergeCell ref="F1:I1"/>
    <mergeCell ref="G2:I2"/>
    <mergeCell ref="K10:T10"/>
    <mergeCell ref="K11:T11"/>
    <mergeCell ref="K12:T12"/>
    <mergeCell ref="A4:D4"/>
    <mergeCell ref="A3:D3"/>
    <mergeCell ref="Q5:R5"/>
    <mergeCell ref="Q3:R3"/>
    <mergeCell ref="G3:H3"/>
    <mergeCell ref="J5:M5"/>
    <mergeCell ref="J3:M3"/>
    <mergeCell ref="J4:M4"/>
    <mergeCell ref="A25:T28"/>
    <mergeCell ref="A24:V24"/>
    <mergeCell ref="K6:M6"/>
    <mergeCell ref="Q6:R6"/>
    <mergeCell ref="A6:D6"/>
    <mergeCell ref="B7:D7"/>
    <mergeCell ref="K7:T7"/>
    <mergeCell ref="K8:T8"/>
    <mergeCell ref="M19:W23"/>
    <mergeCell ref="A19:K23"/>
    <mergeCell ref="K13:T13"/>
    <mergeCell ref="K16:T16"/>
    <mergeCell ref="K17:T17"/>
    <mergeCell ref="K15:T15"/>
    <mergeCell ref="K14:T14"/>
    <mergeCell ref="K9:T9"/>
  </mergeCells>
  <phoneticPr fontId="17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224"/>
  <sheetViews>
    <sheetView zoomScale="85" zoomScaleNormal="85" workbookViewId="0">
      <selection activeCell="E3" sqref="E3"/>
    </sheetView>
  </sheetViews>
  <sheetFormatPr defaultColWidth="15.109375" defaultRowHeight="15" customHeight="1"/>
  <cols>
    <col min="1" max="1" width="2.88671875" style="52" customWidth="1"/>
    <col min="2" max="2" width="6.5546875" style="52" customWidth="1"/>
    <col min="3" max="3" width="2.109375" style="52" customWidth="1"/>
    <col min="4" max="4" width="6.5546875" style="52" bestFit="1" customWidth="1"/>
    <col min="5" max="5" width="12.6640625" style="52" customWidth="1"/>
    <col min="6" max="6" width="8" style="52" customWidth="1"/>
    <col min="7" max="7" width="2.5546875" style="52" customWidth="1"/>
    <col min="8" max="8" width="3.6640625" style="52" customWidth="1"/>
    <col min="9" max="9" width="2.5546875" style="52" customWidth="1"/>
    <col min="10" max="11" width="8.33203125" style="52" customWidth="1"/>
    <col min="12" max="12" width="0.44140625" style="52" customWidth="1"/>
    <col min="13" max="13" width="7.88671875" style="52" customWidth="1"/>
    <col min="14" max="14" width="7.21875" style="52" customWidth="1"/>
    <col min="15" max="15" width="6.77734375" style="52" customWidth="1"/>
    <col min="16" max="16" width="4" style="52" customWidth="1"/>
    <col min="17" max="17" width="6.44140625" style="52" customWidth="1"/>
    <col min="18" max="18" width="9.44140625" style="52" customWidth="1"/>
    <col min="19" max="19" width="13.88671875" style="52" bestFit="1" customWidth="1"/>
    <col min="20" max="20" width="4.33203125" style="52" customWidth="1"/>
    <col min="21" max="21" width="9" style="52" hidden="1" customWidth="1"/>
    <col min="22" max="22" width="7.88671875" style="52" hidden="1" customWidth="1"/>
    <col min="23" max="23" width="10" style="52" hidden="1" customWidth="1"/>
    <col min="24" max="16384" width="15.109375" style="52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43922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0.79166666666666663</v>
      </c>
      <c r="E8" s="31" t="s">
        <v>38</v>
      </c>
      <c r="F8" s="32"/>
      <c r="G8" s="22"/>
      <c r="H8" s="10"/>
      <c r="I8" s="10"/>
      <c r="J8" s="32"/>
      <c r="K8" s="272" t="s">
        <v>39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Y224"/>
  <sheetViews>
    <sheetView tabSelected="1" zoomScale="85" zoomScaleNormal="85" workbookViewId="0">
      <selection activeCell="K10" sqref="K10:T10"/>
    </sheetView>
  </sheetViews>
  <sheetFormatPr defaultColWidth="15.109375" defaultRowHeight="15" customHeight="1"/>
  <cols>
    <col min="1" max="1" width="2.88671875" style="53" customWidth="1"/>
    <col min="2" max="2" width="6.5546875" style="53" customWidth="1"/>
    <col min="3" max="3" width="2.109375" style="53" customWidth="1"/>
    <col min="4" max="4" width="6.5546875" style="53" bestFit="1" customWidth="1"/>
    <col min="5" max="5" width="12.6640625" style="53" customWidth="1"/>
    <col min="6" max="6" width="8" style="53" customWidth="1"/>
    <col min="7" max="7" width="2.5546875" style="53" customWidth="1"/>
    <col min="8" max="8" width="3.6640625" style="53" customWidth="1"/>
    <col min="9" max="9" width="2.5546875" style="53" customWidth="1"/>
    <col min="10" max="11" width="8.33203125" style="53" customWidth="1"/>
    <col min="12" max="12" width="0.44140625" style="53" customWidth="1"/>
    <col min="13" max="13" width="7.88671875" style="53" customWidth="1"/>
    <col min="14" max="14" width="7.21875" style="53" customWidth="1"/>
    <col min="15" max="15" width="6.77734375" style="53" customWidth="1"/>
    <col min="16" max="16" width="4" style="53" customWidth="1"/>
    <col min="17" max="17" width="6.44140625" style="53" customWidth="1"/>
    <col min="18" max="18" width="9.44140625" style="53" customWidth="1"/>
    <col min="19" max="19" width="13.88671875" style="53" bestFit="1" customWidth="1"/>
    <col min="20" max="20" width="4.33203125" style="53" customWidth="1"/>
    <col min="21" max="21" width="9" style="53" hidden="1" customWidth="1"/>
    <col min="22" max="22" width="7.88671875" style="53" hidden="1" customWidth="1"/>
    <col min="23" max="23" width="10" style="53" hidden="1" customWidth="1"/>
    <col min="24" max="16384" width="15.109375" style="53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43923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176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/>
      <c r="E8" s="31" t="s">
        <v>38</v>
      </c>
      <c r="F8" s="32"/>
      <c r="G8" s="22"/>
      <c r="H8" s="10"/>
      <c r="I8" s="10"/>
      <c r="J8" s="32"/>
      <c r="K8" s="272" t="s">
        <v>40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224"/>
  <sheetViews>
    <sheetView zoomScale="85" zoomScaleNormal="85" workbookViewId="0">
      <selection activeCell="K9" sqref="K9:T9"/>
    </sheetView>
  </sheetViews>
  <sheetFormatPr defaultColWidth="15.109375" defaultRowHeight="15" customHeight="1"/>
  <cols>
    <col min="1" max="1" width="2.88671875" style="54" customWidth="1"/>
    <col min="2" max="2" width="6.5546875" style="54" customWidth="1"/>
    <col min="3" max="3" width="2.109375" style="54" customWidth="1"/>
    <col min="4" max="4" width="6.5546875" style="54" bestFit="1" customWidth="1"/>
    <col min="5" max="5" width="12.6640625" style="54" customWidth="1"/>
    <col min="6" max="6" width="8" style="54" customWidth="1"/>
    <col min="7" max="7" width="2.5546875" style="54" customWidth="1"/>
    <col min="8" max="8" width="3.6640625" style="54" customWidth="1"/>
    <col min="9" max="9" width="2.5546875" style="54" customWidth="1"/>
    <col min="10" max="11" width="8.33203125" style="54" customWidth="1"/>
    <col min="12" max="12" width="0.44140625" style="54" customWidth="1"/>
    <col min="13" max="13" width="7.88671875" style="54" customWidth="1"/>
    <col min="14" max="14" width="7.21875" style="54" customWidth="1"/>
    <col min="15" max="15" width="6.77734375" style="54" customWidth="1"/>
    <col min="16" max="16" width="4" style="54" customWidth="1"/>
    <col min="17" max="17" width="6.44140625" style="54" customWidth="1"/>
    <col min="18" max="18" width="9.44140625" style="54" customWidth="1"/>
    <col min="19" max="19" width="13.88671875" style="54" bestFit="1" customWidth="1"/>
    <col min="20" max="20" width="4.33203125" style="54" customWidth="1"/>
    <col min="21" max="21" width="9" style="54" hidden="1" customWidth="1"/>
    <col min="22" max="22" width="7.88671875" style="54" hidden="1" customWidth="1"/>
    <col min="23" max="23" width="10" style="54" hidden="1" customWidth="1"/>
    <col min="24" max="16384" width="15.109375" style="54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43924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/>
      <c r="E8" s="31" t="s">
        <v>38</v>
      </c>
      <c r="F8" s="32"/>
      <c r="G8" s="22"/>
      <c r="H8" s="10"/>
      <c r="I8" s="10"/>
      <c r="J8" s="32"/>
      <c r="K8" s="272" t="s">
        <v>41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Y224"/>
  <sheetViews>
    <sheetView zoomScale="85" zoomScaleNormal="85" workbookViewId="0">
      <selection activeCell="K8" sqref="K8:T8"/>
    </sheetView>
  </sheetViews>
  <sheetFormatPr defaultColWidth="15.109375" defaultRowHeight="15" customHeight="1"/>
  <cols>
    <col min="1" max="1" width="2.88671875" style="55" customWidth="1"/>
    <col min="2" max="2" width="6.5546875" style="55" customWidth="1"/>
    <col min="3" max="3" width="2.109375" style="55" customWidth="1"/>
    <col min="4" max="4" width="6.5546875" style="55" bestFit="1" customWidth="1"/>
    <col min="5" max="5" width="12.6640625" style="55" customWidth="1"/>
    <col min="6" max="6" width="8" style="55" customWidth="1"/>
    <col min="7" max="7" width="2.5546875" style="55" customWidth="1"/>
    <col min="8" max="8" width="3.6640625" style="55" customWidth="1"/>
    <col min="9" max="9" width="2.5546875" style="55" customWidth="1"/>
    <col min="10" max="11" width="8.33203125" style="55" customWidth="1"/>
    <col min="12" max="12" width="0.44140625" style="55" customWidth="1"/>
    <col min="13" max="13" width="7.88671875" style="55" customWidth="1"/>
    <col min="14" max="14" width="7.21875" style="55" customWidth="1"/>
    <col min="15" max="15" width="6.77734375" style="55" customWidth="1"/>
    <col min="16" max="16" width="4" style="55" customWidth="1"/>
    <col min="17" max="17" width="6.44140625" style="55" customWidth="1"/>
    <col min="18" max="18" width="9.44140625" style="55" customWidth="1"/>
    <col min="19" max="19" width="13.88671875" style="55" bestFit="1" customWidth="1"/>
    <col min="20" max="20" width="4.33203125" style="55" customWidth="1"/>
    <col min="21" max="21" width="9" style="55" hidden="1" customWidth="1"/>
    <col min="22" max="22" width="7.88671875" style="55" hidden="1" customWidth="1"/>
    <col min="23" max="23" width="10" style="55" hidden="1" customWidth="1"/>
    <col min="24" max="16384" width="15.109375" style="55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43927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0.77083333333333337</v>
      </c>
      <c r="E8" s="31" t="s">
        <v>38</v>
      </c>
      <c r="F8" s="32"/>
      <c r="G8" s="22"/>
      <c r="H8" s="10"/>
      <c r="I8" s="10"/>
      <c r="J8" s="32"/>
      <c r="K8" s="272" t="s">
        <v>42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24"/>
  <sheetViews>
    <sheetView zoomScale="85" zoomScaleNormal="85" workbookViewId="0">
      <selection activeCell="J2" sqref="J2"/>
    </sheetView>
  </sheetViews>
  <sheetFormatPr defaultColWidth="15.109375" defaultRowHeight="15" customHeight="1"/>
  <cols>
    <col min="1" max="1" width="2.88671875" style="56" customWidth="1"/>
    <col min="2" max="2" width="6.5546875" style="56" customWidth="1"/>
    <col min="3" max="3" width="2.109375" style="56" customWidth="1"/>
    <col min="4" max="4" width="6.5546875" style="56" bestFit="1" customWidth="1"/>
    <col min="5" max="5" width="12.6640625" style="56" customWidth="1"/>
    <col min="6" max="6" width="8" style="56" customWidth="1"/>
    <col min="7" max="7" width="2.5546875" style="56" customWidth="1"/>
    <col min="8" max="8" width="3.6640625" style="56" customWidth="1"/>
    <col min="9" max="9" width="2.5546875" style="56" customWidth="1"/>
    <col min="10" max="11" width="8.33203125" style="56" customWidth="1"/>
    <col min="12" max="12" width="0.44140625" style="56" customWidth="1"/>
    <col min="13" max="13" width="7.88671875" style="56" customWidth="1"/>
    <col min="14" max="14" width="7.21875" style="56" customWidth="1"/>
    <col min="15" max="15" width="6.77734375" style="56" customWidth="1"/>
    <col min="16" max="16" width="4" style="56" customWidth="1"/>
    <col min="17" max="17" width="6.44140625" style="56" customWidth="1"/>
    <col min="18" max="18" width="9.44140625" style="56" customWidth="1"/>
    <col min="19" max="19" width="13.88671875" style="56" bestFit="1" customWidth="1"/>
    <col min="20" max="20" width="4.33203125" style="56" customWidth="1"/>
    <col min="21" max="21" width="9" style="56" hidden="1" customWidth="1"/>
    <col min="22" max="22" width="7.88671875" style="56" hidden="1" customWidth="1"/>
    <col min="23" max="23" width="10" style="56" hidden="1" customWidth="1"/>
    <col min="24" max="16384" width="15.109375" style="56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43928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0.77083333333333337</v>
      </c>
      <c r="E8" s="31" t="s">
        <v>38</v>
      </c>
      <c r="F8" s="32"/>
      <c r="G8" s="22"/>
      <c r="H8" s="10"/>
      <c r="I8" s="10"/>
      <c r="J8" s="32"/>
      <c r="K8" s="272" t="s">
        <v>43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224"/>
  <sheetViews>
    <sheetView zoomScale="85" zoomScaleNormal="85" workbookViewId="0">
      <selection activeCell="K8" sqref="K8:T8"/>
    </sheetView>
  </sheetViews>
  <sheetFormatPr defaultColWidth="15.109375" defaultRowHeight="15" customHeight="1"/>
  <cols>
    <col min="1" max="1" width="2.88671875" style="56" customWidth="1"/>
    <col min="2" max="2" width="6.5546875" style="56" customWidth="1"/>
    <col min="3" max="3" width="2.109375" style="56" customWidth="1"/>
    <col min="4" max="4" width="6.5546875" style="56" bestFit="1" customWidth="1"/>
    <col min="5" max="5" width="12.6640625" style="56" customWidth="1"/>
    <col min="6" max="6" width="8" style="56" customWidth="1"/>
    <col min="7" max="7" width="2.5546875" style="56" customWidth="1"/>
    <col min="8" max="8" width="3.6640625" style="56" customWidth="1"/>
    <col min="9" max="9" width="2.5546875" style="56" customWidth="1"/>
    <col min="10" max="11" width="8.33203125" style="56" customWidth="1"/>
    <col min="12" max="12" width="0.44140625" style="56" customWidth="1"/>
    <col min="13" max="13" width="7.88671875" style="56" customWidth="1"/>
    <col min="14" max="14" width="7.21875" style="56" customWidth="1"/>
    <col min="15" max="15" width="6.77734375" style="56" customWidth="1"/>
    <col min="16" max="16" width="4" style="56" customWidth="1"/>
    <col min="17" max="17" width="6.44140625" style="56" customWidth="1"/>
    <col min="18" max="18" width="9.44140625" style="56" customWidth="1"/>
    <col min="19" max="19" width="13.88671875" style="56" bestFit="1" customWidth="1"/>
    <col min="20" max="20" width="4.33203125" style="56" customWidth="1"/>
    <col min="21" max="21" width="9" style="56" hidden="1" customWidth="1"/>
    <col min="22" max="22" width="7.88671875" style="56" hidden="1" customWidth="1"/>
    <col min="23" max="23" width="10" style="56" hidden="1" customWidth="1"/>
    <col min="24" max="16384" width="15.109375" style="56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43929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0.77083333333333337</v>
      </c>
      <c r="E8" s="31" t="s">
        <v>38</v>
      </c>
      <c r="F8" s="32"/>
      <c r="G8" s="22"/>
      <c r="H8" s="10"/>
      <c r="I8" s="10"/>
      <c r="J8" s="32"/>
      <c r="K8" s="272" t="s">
        <v>44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Y224"/>
  <sheetViews>
    <sheetView zoomScale="85" zoomScaleNormal="85" workbookViewId="0">
      <selection activeCell="K8" sqref="K8:T8"/>
    </sheetView>
  </sheetViews>
  <sheetFormatPr defaultColWidth="15.109375" defaultRowHeight="15" customHeight="1"/>
  <cols>
    <col min="1" max="1" width="2.88671875" style="57" customWidth="1"/>
    <col min="2" max="2" width="6.5546875" style="57" customWidth="1"/>
    <col min="3" max="3" width="2.109375" style="57" customWidth="1"/>
    <col min="4" max="4" width="6.5546875" style="57" bestFit="1" customWidth="1"/>
    <col min="5" max="5" width="12.6640625" style="57" customWidth="1"/>
    <col min="6" max="6" width="8" style="57" customWidth="1"/>
    <col min="7" max="7" width="2.5546875" style="57" customWidth="1"/>
    <col min="8" max="8" width="3.6640625" style="57" customWidth="1"/>
    <col min="9" max="9" width="2.5546875" style="57" customWidth="1"/>
    <col min="10" max="11" width="8.33203125" style="57" customWidth="1"/>
    <col min="12" max="12" width="0.44140625" style="57" customWidth="1"/>
    <col min="13" max="13" width="7.88671875" style="57" customWidth="1"/>
    <col min="14" max="14" width="7.21875" style="57" customWidth="1"/>
    <col min="15" max="15" width="6.77734375" style="57" customWidth="1"/>
    <col min="16" max="16" width="4" style="57" customWidth="1"/>
    <col min="17" max="17" width="6.44140625" style="57" customWidth="1"/>
    <col min="18" max="18" width="9.44140625" style="57" customWidth="1"/>
    <col min="19" max="19" width="13.88671875" style="57" bestFit="1" customWidth="1"/>
    <col min="20" max="20" width="4.33203125" style="57" customWidth="1"/>
    <col min="21" max="21" width="9" style="57" hidden="1" customWidth="1"/>
    <col min="22" max="22" width="7.88671875" style="57" hidden="1" customWidth="1"/>
    <col min="23" max="23" width="10" style="57" hidden="1" customWidth="1"/>
    <col min="24" max="16384" width="15.109375" style="57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43931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45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Y224"/>
  <sheetViews>
    <sheetView zoomScale="85" zoomScaleNormal="85" workbookViewId="0">
      <selection activeCell="K8" sqref="K8:T8"/>
    </sheetView>
  </sheetViews>
  <sheetFormatPr defaultColWidth="15.109375" defaultRowHeight="15" customHeight="1"/>
  <cols>
    <col min="1" max="1" width="2.88671875" style="58" customWidth="1"/>
    <col min="2" max="2" width="6.5546875" style="58" customWidth="1"/>
    <col min="3" max="3" width="2.109375" style="58" customWidth="1"/>
    <col min="4" max="4" width="6.5546875" style="58" bestFit="1" customWidth="1"/>
    <col min="5" max="5" width="12.6640625" style="58" customWidth="1"/>
    <col min="6" max="6" width="8" style="58" customWidth="1"/>
    <col min="7" max="7" width="2.5546875" style="58" customWidth="1"/>
    <col min="8" max="8" width="3.6640625" style="58" customWidth="1"/>
    <col min="9" max="9" width="2.5546875" style="58" customWidth="1"/>
    <col min="10" max="11" width="8.33203125" style="58" customWidth="1"/>
    <col min="12" max="12" width="0.44140625" style="58" customWidth="1"/>
    <col min="13" max="13" width="7.88671875" style="58" customWidth="1"/>
    <col min="14" max="14" width="7.21875" style="58" customWidth="1"/>
    <col min="15" max="15" width="6.77734375" style="58" customWidth="1"/>
    <col min="16" max="16" width="4" style="58" customWidth="1"/>
    <col min="17" max="17" width="6.44140625" style="58" customWidth="1"/>
    <col min="18" max="18" width="9.44140625" style="58" customWidth="1"/>
    <col min="19" max="19" width="13.88671875" style="58" bestFit="1" customWidth="1"/>
    <col min="20" max="20" width="4.33203125" style="58" customWidth="1"/>
    <col min="21" max="21" width="9" style="58" hidden="1" customWidth="1"/>
    <col min="22" max="22" width="7.88671875" style="58" hidden="1" customWidth="1"/>
    <col min="23" max="23" width="10" style="58" hidden="1" customWidth="1"/>
    <col min="24" max="16384" width="15.109375" style="58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43934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/>
      <c r="F4" s="10" t="s">
        <v>7</v>
      </c>
      <c r="G4" s="266">
        <f>E4/E3</f>
        <v>0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0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51850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312790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0.79166666666666663</v>
      </c>
      <c r="E8" s="31" t="s">
        <v>46</v>
      </c>
      <c r="F8" s="32"/>
      <c r="G8" s="22"/>
      <c r="H8" s="10"/>
      <c r="I8" s="10"/>
      <c r="J8" s="32"/>
      <c r="K8" s="272" t="s">
        <v>47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Y224"/>
  <sheetViews>
    <sheetView zoomScale="85" zoomScaleNormal="85" workbookViewId="0">
      <selection activeCell="K8" sqref="K8:T8"/>
    </sheetView>
  </sheetViews>
  <sheetFormatPr defaultColWidth="15.109375" defaultRowHeight="15" customHeight="1"/>
  <cols>
    <col min="1" max="1" width="2.88671875" style="59" customWidth="1"/>
    <col min="2" max="2" width="6.5546875" style="59" customWidth="1"/>
    <col min="3" max="3" width="2.109375" style="59" customWidth="1"/>
    <col min="4" max="4" width="6.5546875" style="59" bestFit="1" customWidth="1"/>
    <col min="5" max="5" width="12.6640625" style="59" customWidth="1"/>
    <col min="6" max="6" width="8" style="59" customWidth="1"/>
    <col min="7" max="7" width="2.5546875" style="59" customWidth="1"/>
    <col min="8" max="8" width="3.6640625" style="59" customWidth="1"/>
    <col min="9" max="9" width="2.5546875" style="59" customWidth="1"/>
    <col min="10" max="11" width="8.33203125" style="59" customWidth="1"/>
    <col min="12" max="12" width="0.44140625" style="59" customWidth="1"/>
    <col min="13" max="13" width="7.88671875" style="59" customWidth="1"/>
    <col min="14" max="14" width="7.21875" style="59" customWidth="1"/>
    <col min="15" max="15" width="6.77734375" style="59" customWidth="1"/>
    <col min="16" max="16" width="4" style="59" customWidth="1"/>
    <col min="17" max="17" width="6.44140625" style="59" customWidth="1"/>
    <col min="18" max="18" width="9.44140625" style="59" customWidth="1"/>
    <col min="19" max="19" width="13.88671875" style="59" bestFit="1" customWidth="1"/>
    <col min="20" max="20" width="4.33203125" style="59" customWidth="1"/>
    <col min="21" max="21" width="9" style="59" hidden="1" customWidth="1"/>
    <col min="22" max="22" width="7.88671875" style="59" hidden="1" customWidth="1"/>
    <col min="23" max="23" width="10" style="59" hidden="1" customWidth="1"/>
    <col min="24" max="16384" width="15.109375" style="59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43935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0.79166666666666663</v>
      </c>
      <c r="E8" s="31" t="s">
        <v>46</v>
      </c>
      <c r="F8" s="32"/>
      <c r="G8" s="22"/>
      <c r="H8" s="10"/>
      <c r="I8" s="10"/>
      <c r="J8" s="32"/>
      <c r="K8" s="272" t="s">
        <v>48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24"/>
  <sheetViews>
    <sheetView zoomScale="85" zoomScaleNormal="85" workbookViewId="0">
      <selection activeCell="J2" sqref="J2"/>
    </sheetView>
  </sheetViews>
  <sheetFormatPr defaultColWidth="15.109375" defaultRowHeight="15" customHeight="1"/>
  <cols>
    <col min="1" max="1" width="2.88671875" style="60" customWidth="1"/>
    <col min="2" max="2" width="6.5546875" style="60" customWidth="1"/>
    <col min="3" max="3" width="2.109375" style="60" customWidth="1"/>
    <col min="4" max="4" width="6.5546875" style="60" bestFit="1" customWidth="1"/>
    <col min="5" max="5" width="12.6640625" style="60" customWidth="1"/>
    <col min="6" max="6" width="8" style="60" customWidth="1"/>
    <col min="7" max="7" width="2.5546875" style="60" customWidth="1"/>
    <col min="8" max="8" width="3.6640625" style="60" customWidth="1"/>
    <col min="9" max="9" width="2.5546875" style="60" customWidth="1"/>
    <col min="10" max="11" width="8.33203125" style="60" customWidth="1"/>
    <col min="12" max="12" width="0.44140625" style="60" customWidth="1"/>
    <col min="13" max="13" width="7.88671875" style="60" customWidth="1"/>
    <col min="14" max="14" width="7.21875" style="60" customWidth="1"/>
    <col min="15" max="15" width="6.77734375" style="60" customWidth="1"/>
    <col min="16" max="16" width="4" style="60" customWidth="1"/>
    <col min="17" max="17" width="6.44140625" style="60" customWidth="1"/>
    <col min="18" max="18" width="9.44140625" style="60" customWidth="1"/>
    <col min="19" max="19" width="13.88671875" style="60" bestFit="1" customWidth="1"/>
    <col min="20" max="20" width="4.33203125" style="60" customWidth="1"/>
    <col min="21" max="21" width="9" style="60" hidden="1" customWidth="1"/>
    <col min="22" max="22" width="7.88671875" style="60" hidden="1" customWidth="1"/>
    <col min="23" max="23" width="10" style="60" hidden="1" customWidth="1"/>
    <col min="24" max="16384" width="15.109375" style="60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43936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0.79166666666666663</v>
      </c>
      <c r="E8" s="31" t="s">
        <v>46</v>
      </c>
      <c r="F8" s="32"/>
      <c r="G8" s="22"/>
      <c r="H8" s="10"/>
      <c r="I8" s="10"/>
      <c r="J8" s="32"/>
      <c r="K8" s="272" t="s">
        <v>49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24"/>
  <sheetViews>
    <sheetView zoomScale="85" zoomScaleNormal="85" workbookViewId="0">
      <selection activeCell="K9" sqref="K9:T9"/>
    </sheetView>
  </sheetViews>
  <sheetFormatPr defaultColWidth="15.109375" defaultRowHeight="15" customHeight="1"/>
  <cols>
    <col min="1" max="1" width="2.88671875" style="61" customWidth="1"/>
    <col min="2" max="2" width="6.5546875" style="61" customWidth="1"/>
    <col min="3" max="3" width="2.109375" style="61" customWidth="1"/>
    <col min="4" max="4" width="6.5546875" style="61" bestFit="1" customWidth="1"/>
    <col min="5" max="5" width="12.6640625" style="61" customWidth="1"/>
    <col min="6" max="6" width="8" style="61" customWidth="1"/>
    <col min="7" max="7" width="2.5546875" style="61" customWidth="1"/>
    <col min="8" max="8" width="3.6640625" style="61" customWidth="1"/>
    <col min="9" max="9" width="2.5546875" style="61" customWidth="1"/>
    <col min="10" max="11" width="8.33203125" style="61" customWidth="1"/>
    <col min="12" max="12" width="0.44140625" style="61" customWidth="1"/>
    <col min="13" max="13" width="7.88671875" style="61" customWidth="1"/>
    <col min="14" max="14" width="7.21875" style="61" customWidth="1"/>
    <col min="15" max="15" width="6.77734375" style="61" customWidth="1"/>
    <col min="16" max="16" width="4" style="61" customWidth="1"/>
    <col min="17" max="17" width="6.44140625" style="61" customWidth="1"/>
    <col min="18" max="18" width="9.44140625" style="61" customWidth="1"/>
    <col min="19" max="19" width="13.88671875" style="61" bestFit="1" customWidth="1"/>
    <col min="20" max="20" width="4.33203125" style="61" customWidth="1"/>
    <col min="21" max="21" width="9" style="61" hidden="1" customWidth="1"/>
    <col min="22" max="22" width="7.88671875" style="61" hidden="1" customWidth="1"/>
    <col min="23" max="23" width="10" style="61" hidden="1" customWidth="1"/>
    <col min="24" max="16384" width="15.109375" style="61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43937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0.77083333333333337</v>
      </c>
      <c r="E8" s="31" t="s">
        <v>38</v>
      </c>
      <c r="F8" s="32"/>
      <c r="G8" s="22"/>
      <c r="H8" s="10"/>
      <c r="I8" s="10"/>
      <c r="J8" s="32"/>
      <c r="K8" s="272" t="s">
        <v>50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Y224"/>
  <sheetViews>
    <sheetView zoomScale="85" zoomScaleNormal="85" workbookViewId="0">
      <selection activeCell="K9" sqref="K9:T9"/>
    </sheetView>
  </sheetViews>
  <sheetFormatPr defaultColWidth="15.109375" defaultRowHeight="15" customHeight="1"/>
  <cols>
    <col min="1" max="1" width="2.88671875" style="62" customWidth="1"/>
    <col min="2" max="2" width="6.5546875" style="62" customWidth="1"/>
    <col min="3" max="3" width="2.109375" style="62" customWidth="1"/>
    <col min="4" max="4" width="6.5546875" style="62" bestFit="1" customWidth="1"/>
    <col min="5" max="5" width="12.6640625" style="62" customWidth="1"/>
    <col min="6" max="6" width="8" style="62" customWidth="1"/>
    <col min="7" max="7" width="2.5546875" style="62" customWidth="1"/>
    <col min="8" max="8" width="3.6640625" style="62" customWidth="1"/>
    <col min="9" max="9" width="2.5546875" style="62" customWidth="1"/>
    <col min="10" max="11" width="8.33203125" style="62" customWidth="1"/>
    <col min="12" max="12" width="0.44140625" style="62" customWidth="1"/>
    <col min="13" max="13" width="7.88671875" style="62" customWidth="1"/>
    <col min="14" max="14" width="7.21875" style="62" customWidth="1"/>
    <col min="15" max="15" width="6.77734375" style="62" customWidth="1"/>
    <col min="16" max="16" width="4" style="62" customWidth="1"/>
    <col min="17" max="17" width="6.44140625" style="62" customWidth="1"/>
    <col min="18" max="18" width="9.44140625" style="62" customWidth="1"/>
    <col min="19" max="19" width="13.88671875" style="62" bestFit="1" customWidth="1"/>
    <col min="20" max="20" width="4.33203125" style="62" customWidth="1"/>
    <col min="21" max="21" width="9" style="62" hidden="1" customWidth="1"/>
    <col min="22" max="22" width="7.88671875" style="62" hidden="1" customWidth="1"/>
    <col min="23" max="23" width="10" style="62" hidden="1" customWidth="1"/>
    <col min="24" max="16384" width="15.109375" style="62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43938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51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Y224"/>
  <sheetViews>
    <sheetView zoomScale="85" zoomScaleNormal="85" workbookViewId="0">
      <selection activeCell="J9" sqref="J9"/>
    </sheetView>
  </sheetViews>
  <sheetFormatPr defaultColWidth="15.109375" defaultRowHeight="15" customHeight="1"/>
  <cols>
    <col min="1" max="1" width="2.88671875" style="63" customWidth="1"/>
    <col min="2" max="2" width="6.5546875" style="63" customWidth="1"/>
    <col min="3" max="3" width="2.109375" style="63" customWidth="1"/>
    <col min="4" max="4" width="6.5546875" style="63" bestFit="1" customWidth="1"/>
    <col min="5" max="5" width="12.6640625" style="63" customWidth="1"/>
    <col min="6" max="6" width="8" style="63" customWidth="1"/>
    <col min="7" max="7" width="2.5546875" style="63" customWidth="1"/>
    <col min="8" max="8" width="3.6640625" style="63" customWidth="1"/>
    <col min="9" max="9" width="2.5546875" style="63" customWidth="1"/>
    <col min="10" max="11" width="8.33203125" style="63" customWidth="1"/>
    <col min="12" max="12" width="0.44140625" style="63" customWidth="1"/>
    <col min="13" max="13" width="7.88671875" style="63" customWidth="1"/>
    <col min="14" max="14" width="7.21875" style="63" customWidth="1"/>
    <col min="15" max="15" width="6.77734375" style="63" customWidth="1"/>
    <col min="16" max="16" width="4" style="63" customWidth="1"/>
    <col min="17" max="17" width="6.44140625" style="63" customWidth="1"/>
    <col min="18" max="18" width="9.44140625" style="63" customWidth="1"/>
    <col min="19" max="19" width="13.88671875" style="63" bestFit="1" customWidth="1"/>
    <col min="20" max="20" width="4.33203125" style="63" customWidth="1"/>
    <col min="21" max="21" width="9" style="63" hidden="1" customWidth="1"/>
    <col min="22" max="22" width="7.88671875" style="63" hidden="1" customWidth="1"/>
    <col min="23" max="23" width="10" style="63" hidden="1" customWidth="1"/>
    <col min="24" max="16384" width="15.109375" style="63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43941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52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Y224"/>
  <sheetViews>
    <sheetView zoomScale="85" zoomScaleNormal="85" workbookViewId="0">
      <selection activeCell="K9" sqref="K9:T9"/>
    </sheetView>
  </sheetViews>
  <sheetFormatPr defaultColWidth="15.109375" defaultRowHeight="15" customHeight="1"/>
  <cols>
    <col min="1" max="1" width="2.88671875" style="65" customWidth="1"/>
    <col min="2" max="2" width="6.5546875" style="65" customWidth="1"/>
    <col min="3" max="3" width="2.109375" style="65" customWidth="1"/>
    <col min="4" max="4" width="6.5546875" style="65" bestFit="1" customWidth="1"/>
    <col min="5" max="5" width="12.6640625" style="65" customWidth="1"/>
    <col min="6" max="6" width="8" style="65" customWidth="1"/>
    <col min="7" max="7" width="2.5546875" style="65" customWidth="1"/>
    <col min="8" max="8" width="3.6640625" style="65" customWidth="1"/>
    <col min="9" max="9" width="2.5546875" style="65" customWidth="1"/>
    <col min="10" max="11" width="8.33203125" style="65" customWidth="1"/>
    <col min="12" max="12" width="0.44140625" style="65" customWidth="1"/>
    <col min="13" max="13" width="7.88671875" style="65" customWidth="1"/>
    <col min="14" max="14" width="7.21875" style="65" customWidth="1"/>
    <col min="15" max="15" width="6.77734375" style="65" customWidth="1"/>
    <col min="16" max="16" width="4" style="65" customWidth="1"/>
    <col min="17" max="17" width="6.44140625" style="65" customWidth="1"/>
    <col min="18" max="18" width="9.44140625" style="65" customWidth="1"/>
    <col min="19" max="19" width="13.88671875" style="65" bestFit="1" customWidth="1"/>
    <col min="20" max="20" width="4.33203125" style="65" customWidth="1"/>
    <col min="21" max="21" width="9" style="65" hidden="1" customWidth="1"/>
    <col min="22" max="22" width="7.88671875" style="65" hidden="1" customWidth="1"/>
    <col min="23" max="23" width="10" style="65" hidden="1" customWidth="1"/>
    <col min="24" max="16384" width="15.109375" style="65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43942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53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Y224"/>
  <sheetViews>
    <sheetView zoomScale="85" zoomScaleNormal="85" workbookViewId="0">
      <selection activeCell="K10" sqref="K10:T10"/>
    </sheetView>
  </sheetViews>
  <sheetFormatPr defaultColWidth="15.109375" defaultRowHeight="15" customHeight="1"/>
  <cols>
    <col min="1" max="1" width="2.88671875" style="64" customWidth="1"/>
    <col min="2" max="2" width="6.5546875" style="64" customWidth="1"/>
    <col min="3" max="3" width="2.109375" style="64" customWidth="1"/>
    <col min="4" max="4" width="6.5546875" style="64" bestFit="1" customWidth="1"/>
    <col min="5" max="5" width="12.6640625" style="64" customWidth="1"/>
    <col min="6" max="6" width="8" style="64" customWidth="1"/>
    <col min="7" max="7" width="2.5546875" style="64" customWidth="1"/>
    <col min="8" max="8" width="3.6640625" style="64" customWidth="1"/>
    <col min="9" max="9" width="2.5546875" style="64" customWidth="1"/>
    <col min="10" max="11" width="8.33203125" style="64" customWidth="1"/>
    <col min="12" max="12" width="0.44140625" style="64" customWidth="1"/>
    <col min="13" max="13" width="7.88671875" style="64" customWidth="1"/>
    <col min="14" max="14" width="7.21875" style="64" customWidth="1"/>
    <col min="15" max="15" width="6.77734375" style="64" customWidth="1"/>
    <col min="16" max="16" width="4" style="64" customWidth="1"/>
    <col min="17" max="17" width="6.44140625" style="64" customWidth="1"/>
    <col min="18" max="18" width="9.44140625" style="64" customWidth="1"/>
    <col min="19" max="19" width="13.88671875" style="64" bestFit="1" customWidth="1"/>
    <col min="20" max="20" width="4.33203125" style="64" customWidth="1"/>
    <col min="21" max="21" width="9" style="64" hidden="1" customWidth="1"/>
    <col min="22" max="22" width="7.88671875" style="64" hidden="1" customWidth="1"/>
    <col min="23" max="23" width="10" style="64" hidden="1" customWidth="1"/>
    <col min="24" max="16384" width="15.109375" style="64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43943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54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Y224"/>
  <sheetViews>
    <sheetView zoomScale="85" zoomScaleNormal="85" workbookViewId="0">
      <selection activeCell="K10" sqref="K10:T10"/>
    </sheetView>
  </sheetViews>
  <sheetFormatPr defaultColWidth="15.109375" defaultRowHeight="15" customHeight="1"/>
  <cols>
    <col min="1" max="1" width="2.88671875" style="66" customWidth="1"/>
    <col min="2" max="2" width="6.5546875" style="66" customWidth="1"/>
    <col min="3" max="3" width="2.109375" style="66" customWidth="1"/>
    <col min="4" max="4" width="6.5546875" style="66" bestFit="1" customWidth="1"/>
    <col min="5" max="5" width="12.6640625" style="66" customWidth="1"/>
    <col min="6" max="6" width="8" style="66" customWidth="1"/>
    <col min="7" max="7" width="2.5546875" style="66" customWidth="1"/>
    <col min="8" max="8" width="3.6640625" style="66" customWidth="1"/>
    <col min="9" max="9" width="2.5546875" style="66" customWidth="1"/>
    <col min="10" max="11" width="8.33203125" style="66" customWidth="1"/>
    <col min="12" max="12" width="0.44140625" style="66" customWidth="1"/>
    <col min="13" max="13" width="7.88671875" style="66" customWidth="1"/>
    <col min="14" max="14" width="7.21875" style="66" customWidth="1"/>
    <col min="15" max="15" width="6.77734375" style="66" customWidth="1"/>
    <col min="16" max="16" width="4" style="66" customWidth="1"/>
    <col min="17" max="17" width="6.44140625" style="66" customWidth="1"/>
    <col min="18" max="18" width="9.44140625" style="66" customWidth="1"/>
    <col min="19" max="19" width="13.88671875" style="66" bestFit="1" customWidth="1"/>
    <col min="20" max="20" width="4.33203125" style="66" customWidth="1"/>
    <col min="21" max="21" width="9" style="66" hidden="1" customWidth="1"/>
    <col min="22" max="22" width="7.88671875" style="66" hidden="1" customWidth="1"/>
    <col min="23" max="23" width="10" style="66" hidden="1" customWidth="1"/>
    <col min="24" max="16384" width="15.109375" style="66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43944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9" t="s">
        <v>55</v>
      </c>
      <c r="L8" s="280"/>
      <c r="M8" s="280"/>
      <c r="N8" s="280"/>
      <c r="O8" s="280"/>
      <c r="P8" s="280"/>
      <c r="Q8" s="280"/>
      <c r="R8" s="280"/>
      <c r="S8" s="280"/>
      <c r="T8" s="28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Y224"/>
  <sheetViews>
    <sheetView zoomScale="85" zoomScaleNormal="85" workbookViewId="0">
      <selection activeCell="K8" sqref="K8:T8"/>
    </sheetView>
  </sheetViews>
  <sheetFormatPr defaultColWidth="15.109375" defaultRowHeight="15" customHeight="1"/>
  <cols>
    <col min="1" max="1" width="2.88671875" style="67" customWidth="1"/>
    <col min="2" max="2" width="6.5546875" style="67" customWidth="1"/>
    <col min="3" max="3" width="2.109375" style="67" customWidth="1"/>
    <col min="4" max="4" width="6.5546875" style="67" bestFit="1" customWidth="1"/>
    <col min="5" max="5" width="12.6640625" style="67" customWidth="1"/>
    <col min="6" max="6" width="8" style="67" customWidth="1"/>
    <col min="7" max="7" width="2.5546875" style="67" customWidth="1"/>
    <col min="8" max="8" width="3.6640625" style="67" customWidth="1"/>
    <col min="9" max="9" width="2.5546875" style="67" customWidth="1"/>
    <col min="10" max="11" width="8.33203125" style="67" customWidth="1"/>
    <col min="12" max="12" width="0.44140625" style="67" customWidth="1"/>
    <col min="13" max="13" width="7.88671875" style="67" customWidth="1"/>
    <col min="14" max="14" width="7.21875" style="67" customWidth="1"/>
    <col min="15" max="15" width="6.77734375" style="67" customWidth="1"/>
    <col min="16" max="16" width="4" style="67" customWidth="1"/>
    <col min="17" max="17" width="6.44140625" style="67" customWidth="1"/>
    <col min="18" max="18" width="9.44140625" style="67" customWidth="1"/>
    <col min="19" max="19" width="13.88671875" style="67" bestFit="1" customWidth="1"/>
    <col min="20" max="20" width="4.33203125" style="67" customWidth="1"/>
    <col min="21" max="21" width="9" style="67" hidden="1" customWidth="1"/>
    <col min="22" max="22" width="7.88671875" style="67" hidden="1" customWidth="1"/>
    <col min="23" max="23" width="10" style="67" hidden="1" customWidth="1"/>
    <col min="24" max="16384" width="15.109375" style="67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43945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37202</v>
      </c>
      <c r="F4" s="10" t="s">
        <v>7</v>
      </c>
      <c r="G4" s="266">
        <f>E4/E3</f>
        <v>0.71749276759884284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37202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14648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0.11893602736660379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275588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56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Y224"/>
  <sheetViews>
    <sheetView zoomScale="85" zoomScaleNormal="85" workbookViewId="0">
      <selection activeCell="K11" sqref="K11:T11"/>
    </sheetView>
  </sheetViews>
  <sheetFormatPr defaultColWidth="15.109375" defaultRowHeight="15" customHeight="1"/>
  <cols>
    <col min="1" max="1" width="2.88671875" style="68" customWidth="1"/>
    <col min="2" max="2" width="6.5546875" style="68" customWidth="1"/>
    <col min="3" max="3" width="2.109375" style="68" customWidth="1"/>
    <col min="4" max="4" width="6.5546875" style="68" bestFit="1" customWidth="1"/>
    <col min="5" max="5" width="12.6640625" style="68" customWidth="1"/>
    <col min="6" max="6" width="8" style="68" customWidth="1"/>
    <col min="7" max="7" width="2.5546875" style="68" customWidth="1"/>
    <col min="8" max="8" width="3.6640625" style="68" customWidth="1"/>
    <col min="9" max="9" width="2.5546875" style="68" customWidth="1"/>
    <col min="10" max="11" width="8.33203125" style="68" customWidth="1"/>
    <col min="12" max="12" width="0.44140625" style="68" customWidth="1"/>
    <col min="13" max="13" width="7.88671875" style="68" customWidth="1"/>
    <col min="14" max="14" width="7.21875" style="68" customWidth="1"/>
    <col min="15" max="15" width="6.77734375" style="68" customWidth="1"/>
    <col min="16" max="16" width="4" style="68" customWidth="1"/>
    <col min="17" max="17" width="6.44140625" style="68" customWidth="1"/>
    <col min="18" max="18" width="9.44140625" style="68" customWidth="1"/>
    <col min="19" max="19" width="13.88671875" style="68" bestFit="1" customWidth="1"/>
    <col min="20" max="20" width="4.33203125" style="68" customWidth="1"/>
    <col min="21" max="21" width="9" style="68" hidden="1" customWidth="1"/>
    <col min="22" max="22" width="7.88671875" style="68" hidden="1" customWidth="1"/>
    <col min="23" max="23" width="10" style="68" hidden="1" customWidth="1"/>
    <col min="24" max="16384" width="15.109375" style="68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43948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50267</v>
      </c>
      <c r="F4" s="10" t="s">
        <v>7</v>
      </c>
      <c r="G4" s="266">
        <f>E4/E3</f>
        <v>0.9694696239151398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50267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1583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0.16070526551360337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262523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57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25:T28"/>
    <mergeCell ref="K15:T15"/>
    <mergeCell ref="K16:T16"/>
    <mergeCell ref="K17:T17"/>
    <mergeCell ref="A19:K23"/>
    <mergeCell ref="M19:W23"/>
    <mergeCell ref="A24:V2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</mergeCells>
  <phoneticPr fontId="1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Y224"/>
  <sheetViews>
    <sheetView zoomScale="85" zoomScaleNormal="85" workbookViewId="0">
      <selection activeCell="J1" sqref="J1:K1"/>
    </sheetView>
  </sheetViews>
  <sheetFormatPr defaultColWidth="15.109375" defaultRowHeight="15" customHeight="1"/>
  <cols>
    <col min="1" max="1" width="2.88671875" style="69" customWidth="1"/>
    <col min="2" max="2" width="6.5546875" style="69" customWidth="1"/>
    <col min="3" max="3" width="2.109375" style="69" customWidth="1"/>
    <col min="4" max="4" width="6.5546875" style="69" bestFit="1" customWidth="1"/>
    <col min="5" max="5" width="12.6640625" style="69" customWidth="1"/>
    <col min="6" max="6" width="8" style="69" customWidth="1"/>
    <col min="7" max="7" width="2.5546875" style="69" customWidth="1"/>
    <col min="8" max="8" width="3.6640625" style="69" customWidth="1"/>
    <col min="9" max="9" width="2.5546875" style="69" customWidth="1"/>
    <col min="10" max="11" width="8.33203125" style="69" customWidth="1"/>
    <col min="12" max="12" width="0.44140625" style="69" customWidth="1"/>
    <col min="13" max="13" width="7.88671875" style="69" customWidth="1"/>
    <col min="14" max="14" width="7.21875" style="69" customWidth="1"/>
    <col min="15" max="15" width="6.77734375" style="69" customWidth="1"/>
    <col min="16" max="16" width="4" style="69" customWidth="1"/>
    <col min="17" max="17" width="6.44140625" style="69" customWidth="1"/>
    <col min="18" max="18" width="9.44140625" style="69" customWidth="1"/>
    <col min="19" max="19" width="13.88671875" style="69" bestFit="1" customWidth="1"/>
    <col min="20" max="20" width="4.33203125" style="69" customWidth="1"/>
    <col min="21" max="21" width="9" style="69" hidden="1" customWidth="1"/>
    <col min="22" max="22" width="7.88671875" style="69" hidden="1" customWidth="1"/>
    <col min="23" max="23" width="10" style="69" hidden="1" customWidth="1"/>
    <col min="24" max="16384" width="15.109375" style="69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43949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50267</v>
      </c>
      <c r="F4" s="10" t="s">
        <v>7</v>
      </c>
      <c r="G4" s="266">
        <f>E4/E3</f>
        <v>0.9694696239151398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50267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1583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0.16070526551360337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262523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58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Y224"/>
  <sheetViews>
    <sheetView zoomScale="85" zoomScaleNormal="85" workbookViewId="0">
      <selection activeCell="Y8" sqref="Y8"/>
    </sheetView>
  </sheetViews>
  <sheetFormatPr defaultColWidth="15.109375" defaultRowHeight="15" customHeight="1"/>
  <cols>
    <col min="1" max="1" width="2.88671875" style="69" customWidth="1"/>
    <col min="2" max="2" width="6.5546875" style="69" customWidth="1"/>
    <col min="3" max="3" width="2.109375" style="69" customWidth="1"/>
    <col min="4" max="4" width="6.5546875" style="69" bestFit="1" customWidth="1"/>
    <col min="5" max="5" width="12.6640625" style="69" customWidth="1"/>
    <col min="6" max="6" width="8" style="69" customWidth="1"/>
    <col min="7" max="7" width="2.5546875" style="69" customWidth="1"/>
    <col min="8" max="8" width="3.6640625" style="69" customWidth="1"/>
    <col min="9" max="9" width="2.5546875" style="69" customWidth="1"/>
    <col min="10" max="11" width="8.33203125" style="69" customWidth="1"/>
    <col min="12" max="12" width="0.44140625" style="69" customWidth="1"/>
    <col min="13" max="13" width="7.88671875" style="69" customWidth="1"/>
    <col min="14" max="14" width="7.21875" style="69" customWidth="1"/>
    <col min="15" max="15" width="6.77734375" style="69" customWidth="1"/>
    <col min="16" max="16" width="4" style="69" customWidth="1"/>
    <col min="17" max="17" width="6.44140625" style="69" customWidth="1"/>
    <col min="18" max="18" width="9.44140625" style="69" customWidth="1"/>
    <col min="19" max="19" width="13.88671875" style="69" bestFit="1" customWidth="1"/>
    <col min="20" max="20" width="4.33203125" style="69" customWidth="1"/>
    <col min="21" max="21" width="9" style="69" hidden="1" customWidth="1"/>
    <col min="22" max="22" width="7.88671875" style="69" hidden="1" customWidth="1"/>
    <col min="23" max="23" width="10" style="69" hidden="1" customWidth="1"/>
    <col min="24" max="16384" width="15.109375" style="69"/>
  </cols>
  <sheetData>
    <row r="1" spans="1:25" ht="27.75" customHeight="1">
      <c r="A1" s="267" t="s">
        <v>37</v>
      </c>
      <c r="B1" s="265"/>
      <c r="C1" s="265"/>
      <c r="D1" s="265"/>
      <c r="E1" s="265"/>
      <c r="F1" s="269" t="s">
        <v>1</v>
      </c>
      <c r="G1" s="265"/>
      <c r="H1" s="265"/>
      <c r="I1" s="265"/>
      <c r="J1" s="268">
        <v>43951</v>
      </c>
      <c r="K1" s="265"/>
      <c r="L1" s="1"/>
      <c r="M1" s="2" t="s">
        <v>2</v>
      </c>
      <c r="N1" s="264" t="s">
        <v>3</v>
      </c>
      <c r="O1" s="265"/>
      <c r="P1" s="3"/>
      <c r="Q1" s="4"/>
      <c r="R1" s="3"/>
      <c r="S1" s="3"/>
      <c r="T1" s="3"/>
      <c r="U1" s="5"/>
      <c r="V1" s="5"/>
      <c r="W1" s="5"/>
    </row>
    <row r="2" spans="1:25" ht="15.75" customHeight="1">
      <c r="A2" s="6"/>
      <c r="B2" s="3"/>
      <c r="C2" s="3"/>
      <c r="D2" s="3"/>
      <c r="E2" s="3"/>
      <c r="F2" s="3"/>
      <c r="G2" s="270" t="s">
        <v>4</v>
      </c>
      <c r="H2" s="265"/>
      <c r="I2" s="265"/>
      <c r="J2" s="3"/>
      <c r="K2" s="3"/>
      <c r="L2" s="3"/>
      <c r="M2" s="3"/>
      <c r="N2" s="3"/>
      <c r="O2" s="7" t="s">
        <v>5</v>
      </c>
      <c r="P2" s="8" t="s">
        <v>4</v>
      </c>
      <c r="Q2" s="3"/>
      <c r="R2" s="3"/>
      <c r="S2" s="3"/>
      <c r="T2" s="3"/>
      <c r="U2" s="5"/>
      <c r="V2" s="5"/>
      <c r="W2" s="5"/>
    </row>
    <row r="3" spans="1:25" ht="24.75" customHeight="1">
      <c r="A3" s="259" t="s">
        <v>6</v>
      </c>
      <c r="B3" s="254"/>
      <c r="C3" s="254"/>
      <c r="D3" s="251"/>
      <c r="E3" s="9">
        <v>51850</v>
      </c>
      <c r="F3" s="10" t="s">
        <v>7</v>
      </c>
      <c r="G3" s="262"/>
      <c r="H3" s="251"/>
      <c r="I3" s="11"/>
      <c r="J3" s="263" t="s">
        <v>8</v>
      </c>
      <c r="K3" s="254"/>
      <c r="L3" s="254"/>
      <c r="M3" s="251"/>
      <c r="N3" s="12">
        <v>0</v>
      </c>
      <c r="O3" s="12"/>
      <c r="P3" s="13" t="e">
        <f>O3/N3</f>
        <v>#DIV/0!</v>
      </c>
      <c r="Q3" s="261" t="s">
        <v>36</v>
      </c>
      <c r="R3" s="251"/>
      <c r="S3" s="14">
        <v>312790</v>
      </c>
      <c r="T3" s="15" t="s">
        <v>7</v>
      </c>
      <c r="U3" s="16">
        <v>114539000</v>
      </c>
      <c r="V3" s="17" t="s">
        <v>10</v>
      </c>
      <c r="W3" s="16">
        <v>114539000</v>
      </c>
    </row>
    <row r="4" spans="1:25" ht="24.75" customHeight="1">
      <c r="A4" s="258" t="s">
        <v>11</v>
      </c>
      <c r="B4" s="254"/>
      <c r="C4" s="254"/>
      <c r="D4" s="251"/>
      <c r="E4" s="18">
        <v>50267</v>
      </c>
      <c r="F4" s="10" t="s">
        <v>7</v>
      </c>
      <c r="G4" s="266">
        <f>E4/E3</f>
        <v>0.9694696239151398</v>
      </c>
      <c r="H4" s="251"/>
      <c r="I4" s="11"/>
      <c r="J4" s="263" t="s">
        <v>12</v>
      </c>
      <c r="K4" s="254"/>
      <c r="L4" s="254"/>
      <c r="M4" s="251"/>
      <c r="N4" s="12">
        <v>0</v>
      </c>
      <c r="O4" s="12"/>
      <c r="P4" s="13" t="e">
        <f>O4/N4</f>
        <v>#DIV/0!</v>
      </c>
      <c r="Q4" s="260" t="s">
        <v>13</v>
      </c>
      <c r="R4" s="251"/>
      <c r="S4" s="14">
        <f>E4+E6</f>
        <v>50267</v>
      </c>
      <c r="T4" s="15" t="s">
        <v>7</v>
      </c>
      <c r="U4" s="5"/>
      <c r="V4" s="5"/>
      <c r="W4" s="5"/>
    </row>
    <row r="5" spans="1:25" ht="24.75" customHeight="1">
      <c r="A5" s="259" t="s">
        <v>14</v>
      </c>
      <c r="B5" s="254"/>
      <c r="C5" s="254"/>
      <c r="D5" s="251"/>
      <c r="E5" s="19">
        <f>E3-E4</f>
        <v>1583</v>
      </c>
      <c r="F5" s="10" t="s">
        <v>7</v>
      </c>
      <c r="G5" s="3"/>
      <c r="H5" s="3"/>
      <c r="I5" s="3"/>
      <c r="J5" s="263" t="s">
        <v>15</v>
      </c>
      <c r="K5" s="254"/>
      <c r="L5" s="254"/>
      <c r="M5" s="251"/>
      <c r="N5" s="12">
        <v>0</v>
      </c>
      <c r="O5" s="12"/>
      <c r="P5" s="13" t="e">
        <f>O5/N5</f>
        <v>#DIV/0!</v>
      </c>
      <c r="Q5" s="260" t="s">
        <v>16</v>
      </c>
      <c r="R5" s="251"/>
      <c r="S5" s="20">
        <f>S4/S3</f>
        <v>0.16070526551360337</v>
      </c>
      <c r="T5" s="15"/>
      <c r="U5" s="5"/>
      <c r="V5" s="5"/>
      <c r="W5" s="5"/>
    </row>
    <row r="6" spans="1:25" ht="27" customHeight="1">
      <c r="A6" s="252" t="s">
        <v>35</v>
      </c>
      <c r="B6" s="246"/>
      <c r="C6" s="246"/>
      <c r="D6" s="246"/>
      <c r="E6" s="14"/>
      <c r="F6" s="10" t="s">
        <v>7</v>
      </c>
      <c r="G6" s="3"/>
      <c r="H6" s="3"/>
      <c r="I6" s="3"/>
      <c r="J6" s="3"/>
      <c r="K6" s="249" t="s">
        <v>18</v>
      </c>
      <c r="L6" s="246"/>
      <c r="M6" s="247"/>
      <c r="N6" s="12">
        <v>30</v>
      </c>
      <c r="O6" s="12">
        <f>SUM(O3:O5)</f>
        <v>0</v>
      </c>
      <c r="P6" s="13">
        <f>O6/N6</f>
        <v>0</v>
      </c>
      <c r="Q6" s="250" t="s">
        <v>19</v>
      </c>
      <c r="R6" s="251"/>
      <c r="S6" s="14">
        <f>S3-S4</f>
        <v>262523</v>
      </c>
      <c r="T6" s="10" t="s">
        <v>7</v>
      </c>
      <c r="U6" s="5"/>
      <c r="V6" s="5"/>
      <c r="W6" s="5"/>
    </row>
    <row r="7" spans="1:25" ht="62.25" customHeight="1">
      <c r="A7" s="22" t="s">
        <v>20</v>
      </c>
      <c r="B7" s="253" t="s">
        <v>21</v>
      </c>
      <c r="C7" s="254"/>
      <c r="D7" s="251"/>
      <c r="E7" s="22" t="s">
        <v>22</v>
      </c>
      <c r="F7" s="22" t="s">
        <v>23</v>
      </c>
      <c r="G7" s="23" t="s">
        <v>24</v>
      </c>
      <c r="H7" s="24" t="s">
        <v>25</v>
      </c>
      <c r="I7" s="25" t="s">
        <v>26</v>
      </c>
      <c r="J7" s="26" t="s">
        <v>27</v>
      </c>
      <c r="K7" s="255" t="s">
        <v>28</v>
      </c>
      <c r="L7" s="254"/>
      <c r="M7" s="254"/>
      <c r="N7" s="254"/>
      <c r="O7" s="254"/>
      <c r="P7" s="254"/>
      <c r="Q7" s="254"/>
      <c r="R7" s="254"/>
      <c r="S7" s="254"/>
      <c r="T7" s="251"/>
      <c r="U7" s="27"/>
      <c r="V7" s="27"/>
      <c r="W7" s="27"/>
    </row>
    <row r="8" spans="1:25" ht="132.6" customHeight="1">
      <c r="A8" s="22">
        <v>1</v>
      </c>
      <c r="B8" s="45">
        <v>0.375</v>
      </c>
      <c r="C8" s="29"/>
      <c r="D8" s="46">
        <v>0.75</v>
      </c>
      <c r="E8" s="31" t="s">
        <v>38</v>
      </c>
      <c r="F8" s="32"/>
      <c r="G8" s="22"/>
      <c r="H8" s="10"/>
      <c r="I8" s="10"/>
      <c r="J8" s="32"/>
      <c r="K8" s="272" t="s">
        <v>59</v>
      </c>
      <c r="L8" s="240"/>
      <c r="M8" s="240"/>
      <c r="N8" s="240"/>
      <c r="O8" s="240"/>
      <c r="P8" s="240"/>
      <c r="Q8" s="240"/>
      <c r="R8" s="240"/>
      <c r="S8" s="240"/>
      <c r="T8" s="241"/>
      <c r="U8" s="5"/>
      <c r="V8" s="5"/>
      <c r="W8" s="5"/>
      <c r="Y8" s="48"/>
    </row>
    <row r="9" spans="1:25" ht="138" customHeight="1">
      <c r="A9" s="22">
        <v>2</v>
      </c>
      <c r="B9" s="45"/>
      <c r="C9" s="29"/>
      <c r="D9" s="46"/>
      <c r="E9" s="31"/>
      <c r="F9" s="32"/>
      <c r="G9" s="22"/>
      <c r="H9" s="10"/>
      <c r="I9" s="10"/>
      <c r="J9" s="32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5"/>
      <c r="V9" s="5"/>
      <c r="W9" s="5"/>
    </row>
    <row r="10" spans="1:25" ht="103.2" customHeight="1">
      <c r="A10" s="22">
        <v>3</v>
      </c>
      <c r="B10" s="45"/>
      <c r="C10" s="29"/>
      <c r="D10" s="46"/>
      <c r="E10" s="31"/>
      <c r="F10" s="32"/>
      <c r="G10" s="22"/>
      <c r="H10" s="10"/>
      <c r="I10" s="10"/>
      <c r="J10" s="32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5"/>
      <c r="V10" s="5"/>
      <c r="W10" s="5"/>
    </row>
    <row r="11" spans="1:25" ht="81.599999999999994" customHeight="1">
      <c r="A11" s="22">
        <v>4</v>
      </c>
      <c r="B11" s="34"/>
      <c r="C11" s="29"/>
      <c r="D11" s="35"/>
      <c r="E11" s="31"/>
      <c r="F11" s="32"/>
      <c r="G11" s="22"/>
      <c r="H11" s="47"/>
      <c r="I11" s="10"/>
      <c r="J11" s="49"/>
      <c r="K11" s="275"/>
      <c r="L11" s="276"/>
      <c r="M11" s="276"/>
      <c r="N11" s="276"/>
      <c r="O11" s="276"/>
      <c r="P11" s="276"/>
      <c r="Q11" s="276"/>
      <c r="R11" s="276"/>
      <c r="S11" s="276"/>
      <c r="T11" s="277"/>
      <c r="U11" s="5"/>
      <c r="V11" s="5"/>
      <c r="W11" s="5"/>
    </row>
    <row r="12" spans="1:25" ht="81.599999999999994" customHeight="1">
      <c r="A12" s="22">
        <v>5</v>
      </c>
      <c r="B12" s="37"/>
      <c r="C12" s="29"/>
      <c r="D12" s="38"/>
      <c r="E12" s="39"/>
      <c r="F12" s="32"/>
      <c r="G12" s="10"/>
      <c r="H12" s="10"/>
      <c r="I12" s="10"/>
      <c r="J12" s="50"/>
      <c r="K12" s="275"/>
      <c r="L12" s="276"/>
      <c r="M12" s="276"/>
      <c r="N12" s="276"/>
      <c r="O12" s="276"/>
      <c r="P12" s="276"/>
      <c r="Q12" s="276"/>
      <c r="R12" s="276"/>
      <c r="S12" s="276"/>
      <c r="T12" s="277"/>
      <c r="U12" s="5"/>
      <c r="V12" s="5"/>
      <c r="W12" s="5"/>
    </row>
    <row r="13" spans="1:25" ht="85.2" customHeight="1">
      <c r="A13" s="22">
        <v>6</v>
      </c>
      <c r="B13" s="37"/>
      <c r="C13" s="29"/>
      <c r="D13" s="38"/>
      <c r="E13" s="39"/>
      <c r="F13" s="32"/>
      <c r="G13" s="10"/>
      <c r="H13" s="10"/>
      <c r="I13" s="10"/>
      <c r="J13" s="51"/>
      <c r="K13" s="274"/>
      <c r="L13" s="278"/>
      <c r="M13" s="278"/>
      <c r="N13" s="278"/>
      <c r="O13" s="278"/>
      <c r="P13" s="278"/>
      <c r="Q13" s="278"/>
      <c r="R13" s="278"/>
      <c r="S13" s="278"/>
      <c r="T13" s="278"/>
      <c r="U13" s="5"/>
      <c r="V13" s="5"/>
      <c r="W13" s="5"/>
    </row>
    <row r="14" spans="1:25" ht="58.8" customHeight="1">
      <c r="A14" s="22">
        <v>7</v>
      </c>
      <c r="B14" s="37"/>
      <c r="C14" s="29"/>
      <c r="D14" s="38"/>
      <c r="E14" s="39"/>
      <c r="F14" s="32"/>
      <c r="G14" s="10"/>
      <c r="H14" s="10"/>
      <c r="I14" s="10"/>
      <c r="J14" s="36"/>
      <c r="K14" s="271"/>
      <c r="L14" s="246"/>
      <c r="M14" s="246"/>
      <c r="N14" s="246"/>
      <c r="O14" s="246"/>
      <c r="P14" s="246"/>
      <c r="Q14" s="246"/>
      <c r="R14" s="246"/>
      <c r="S14" s="246"/>
      <c r="T14" s="247"/>
      <c r="U14" s="5"/>
      <c r="V14" s="5"/>
      <c r="W14" s="5"/>
    </row>
    <row r="15" spans="1:25" ht="58.8" customHeight="1">
      <c r="A15" s="22">
        <v>8</v>
      </c>
      <c r="B15" s="37"/>
      <c r="C15" s="29"/>
      <c r="D15" s="38"/>
      <c r="E15" s="39"/>
      <c r="F15" s="32"/>
      <c r="G15" s="10"/>
      <c r="H15" s="10"/>
      <c r="I15" s="10"/>
      <c r="J15" s="36"/>
      <c r="K15" s="256"/>
      <c r="L15" s="254"/>
      <c r="M15" s="254"/>
      <c r="N15" s="254"/>
      <c r="O15" s="254"/>
      <c r="P15" s="254"/>
      <c r="Q15" s="254"/>
      <c r="R15" s="254"/>
      <c r="S15" s="254"/>
      <c r="T15" s="251"/>
      <c r="U15" s="5"/>
      <c r="V15" s="5"/>
      <c r="W15" s="5"/>
    </row>
    <row r="16" spans="1:25" ht="58.8" customHeight="1">
      <c r="A16" s="22">
        <v>9</v>
      </c>
      <c r="B16" s="37"/>
      <c r="C16" s="29" t="s">
        <v>29</v>
      </c>
      <c r="D16" s="38"/>
      <c r="E16" s="39"/>
      <c r="F16" s="32"/>
      <c r="G16" s="10"/>
      <c r="H16" s="10"/>
      <c r="I16" s="10"/>
      <c r="J16" s="36"/>
      <c r="K16" s="256"/>
      <c r="L16" s="254"/>
      <c r="M16" s="254"/>
      <c r="N16" s="254"/>
      <c r="O16" s="254"/>
      <c r="P16" s="254"/>
      <c r="Q16" s="254"/>
      <c r="R16" s="254"/>
      <c r="S16" s="254"/>
      <c r="T16" s="251"/>
      <c r="U16" s="5"/>
      <c r="V16" s="5"/>
      <c r="W16" s="5"/>
    </row>
    <row r="17" spans="1:23" ht="79.5" customHeight="1">
      <c r="A17" s="22">
        <v>10</v>
      </c>
      <c r="B17" s="37"/>
      <c r="C17" s="29" t="s">
        <v>29</v>
      </c>
      <c r="D17" s="38"/>
      <c r="E17" s="39"/>
      <c r="F17" s="32"/>
      <c r="G17" s="10"/>
      <c r="H17" s="10"/>
      <c r="I17" s="10"/>
      <c r="J17" s="36"/>
      <c r="K17" s="256"/>
      <c r="L17" s="254"/>
      <c r="M17" s="254"/>
      <c r="N17" s="254"/>
      <c r="O17" s="254"/>
      <c r="P17" s="254"/>
      <c r="Q17" s="254"/>
      <c r="R17" s="254"/>
      <c r="S17" s="254"/>
      <c r="T17" s="251"/>
      <c r="U17" s="5"/>
      <c r="V17" s="5"/>
      <c r="W17" s="5"/>
    </row>
    <row r="18" spans="1:23" ht="15.75" customHeight="1">
      <c r="A18" s="40" t="s">
        <v>32</v>
      </c>
      <c r="B18" s="41"/>
      <c r="C18" s="41"/>
      <c r="D18" s="42"/>
      <c r="E18" s="42"/>
      <c r="F18" s="42"/>
      <c r="G18" s="42"/>
      <c r="H18" s="42"/>
      <c r="I18" s="42"/>
      <c r="J18" s="42"/>
      <c r="K18" s="42"/>
      <c r="L18" s="43"/>
      <c r="M18" s="40" t="s">
        <v>33</v>
      </c>
      <c r="N18" s="41"/>
      <c r="O18" s="41"/>
      <c r="P18" s="42"/>
      <c r="Q18" s="42"/>
      <c r="R18" s="42"/>
      <c r="S18" s="42"/>
      <c r="T18" s="42"/>
      <c r="U18" s="42"/>
      <c r="V18" s="42"/>
      <c r="W18" s="42"/>
    </row>
    <row r="19" spans="1:23" ht="15.75" customHeight="1">
      <c r="A19" s="257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44"/>
      <c r="M19" s="257"/>
      <c r="N19" s="243"/>
      <c r="O19" s="243"/>
      <c r="P19" s="243"/>
      <c r="Q19" s="243"/>
      <c r="R19" s="243"/>
      <c r="S19" s="243"/>
      <c r="T19" s="243"/>
      <c r="U19" s="243"/>
      <c r="V19" s="243"/>
      <c r="W19" s="243"/>
    </row>
    <row r="20" spans="1:23" ht="15.75" customHeight="1">
      <c r="A20" s="242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44"/>
      <c r="M20" s="242"/>
      <c r="N20" s="243"/>
      <c r="O20" s="243"/>
      <c r="P20" s="243"/>
      <c r="Q20" s="243"/>
      <c r="R20" s="243"/>
      <c r="S20" s="243"/>
      <c r="T20" s="243"/>
      <c r="U20" s="243"/>
      <c r="V20" s="243"/>
      <c r="W20" s="243"/>
    </row>
    <row r="21" spans="1:23" ht="15.75" customHeight="1">
      <c r="A21" s="242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44"/>
      <c r="M21" s="242"/>
      <c r="N21" s="243"/>
      <c r="O21" s="243"/>
      <c r="P21" s="243"/>
      <c r="Q21" s="243"/>
      <c r="R21" s="243"/>
      <c r="S21" s="243"/>
      <c r="T21" s="243"/>
      <c r="U21" s="243"/>
      <c r="V21" s="243"/>
      <c r="W21" s="243"/>
    </row>
    <row r="22" spans="1:23" ht="15.75" customHeight="1">
      <c r="A22" s="242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44"/>
      <c r="M22" s="242"/>
      <c r="N22" s="243"/>
      <c r="O22" s="243"/>
      <c r="P22" s="243"/>
      <c r="Q22" s="243"/>
      <c r="R22" s="243"/>
      <c r="S22" s="243"/>
      <c r="T22" s="243"/>
      <c r="U22" s="243"/>
      <c r="V22" s="243"/>
      <c r="W22" s="243"/>
    </row>
    <row r="23" spans="1:23" ht="15.75" customHeight="1">
      <c r="A23" s="245"/>
      <c r="B23" s="246"/>
      <c r="C23" s="246"/>
      <c r="D23" s="246"/>
      <c r="E23" s="246"/>
      <c r="F23" s="246"/>
      <c r="G23" s="246"/>
      <c r="H23" s="246"/>
      <c r="I23" s="246"/>
      <c r="J23" s="246"/>
      <c r="K23" s="246"/>
      <c r="L23" s="44"/>
      <c r="M23" s="245"/>
      <c r="N23" s="246"/>
      <c r="O23" s="246"/>
      <c r="P23" s="246"/>
      <c r="Q23" s="246"/>
      <c r="R23" s="246"/>
      <c r="S23" s="246"/>
      <c r="T23" s="246"/>
      <c r="U23" s="246"/>
      <c r="V23" s="246"/>
      <c r="W23" s="246"/>
    </row>
    <row r="24" spans="1:23" ht="11.25" customHeight="1">
      <c r="A24" s="248" t="s">
        <v>34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5"/>
    </row>
    <row r="25" spans="1:23" ht="15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1"/>
      <c r="U25" s="5"/>
      <c r="V25" s="5"/>
      <c r="W25" s="5"/>
    </row>
    <row r="26" spans="1:23" ht="15.75" customHeight="1">
      <c r="A26" s="242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4"/>
      <c r="U26" s="5"/>
      <c r="V26" s="5"/>
      <c r="W26" s="5"/>
    </row>
    <row r="27" spans="1:23" ht="15.75" customHeight="1">
      <c r="A27" s="242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4"/>
      <c r="U27" s="5"/>
      <c r="V27" s="5"/>
      <c r="W27" s="5"/>
    </row>
    <row r="28" spans="1:23" ht="15.75" customHeight="1">
      <c r="A28" s="245"/>
      <c r="B28" s="246"/>
      <c r="C28" s="246"/>
      <c r="D28" s="246"/>
      <c r="E28" s="246"/>
      <c r="F28" s="246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246"/>
      <c r="T28" s="247"/>
      <c r="U28" s="5"/>
      <c r="V28" s="5"/>
      <c r="W28" s="5"/>
    </row>
    <row r="29" spans="1:23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</sheetData>
  <mergeCells count="35">
    <mergeCell ref="A5:D5"/>
    <mergeCell ref="J5:M5"/>
    <mergeCell ref="Q5:R5"/>
    <mergeCell ref="A1:E1"/>
    <mergeCell ref="F1:I1"/>
    <mergeCell ref="J1:K1"/>
    <mergeCell ref="N1:O1"/>
    <mergeCell ref="G2:I2"/>
    <mergeCell ref="A3:D3"/>
    <mergeCell ref="G3:H3"/>
    <mergeCell ref="J3:M3"/>
    <mergeCell ref="Q3:R3"/>
    <mergeCell ref="A4:D4"/>
    <mergeCell ref="G4:H4"/>
    <mergeCell ref="J4:M4"/>
    <mergeCell ref="Q4:R4"/>
    <mergeCell ref="K14:T14"/>
    <mergeCell ref="A6:D6"/>
    <mergeCell ref="K6:M6"/>
    <mergeCell ref="Q6:R6"/>
    <mergeCell ref="B7:D7"/>
    <mergeCell ref="K7:T7"/>
    <mergeCell ref="K8:T8"/>
    <mergeCell ref="K9:T9"/>
    <mergeCell ref="K10:T10"/>
    <mergeCell ref="K11:T11"/>
    <mergeCell ref="K12:T12"/>
    <mergeCell ref="K13:T13"/>
    <mergeCell ref="A25:T28"/>
    <mergeCell ref="K15:T15"/>
    <mergeCell ref="K16:T16"/>
    <mergeCell ref="K17:T17"/>
    <mergeCell ref="A19:K23"/>
    <mergeCell ref="M19:W23"/>
    <mergeCell ref="A24:V24"/>
  </mergeCells>
  <phoneticPr fontId="17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"/>
  <sheetViews>
    <sheetView topLeftCell="A2" workbookViewId="0">
      <selection activeCell="M29" sqref="M29"/>
    </sheetView>
  </sheetViews>
  <sheetFormatPr defaultRowHeight="13.2"/>
  <sheetData/>
  <phoneticPr fontId="1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theme="3" tint="0.79998168889431442"/>
  </sheetPr>
  <dimension ref="A1:AM1375"/>
  <sheetViews>
    <sheetView view="pageBreakPreview" topLeftCell="A4" zoomScale="70" zoomScaleNormal="80" zoomScaleSheetLayoutView="70" workbookViewId="0">
      <selection activeCell="J31" sqref="J31"/>
    </sheetView>
  </sheetViews>
  <sheetFormatPr defaultColWidth="9" defaultRowHeight="15"/>
  <cols>
    <col min="1" max="1" width="4.21875" style="70" bestFit="1" customWidth="1"/>
    <col min="2" max="2" width="11.77734375" style="71" bestFit="1" customWidth="1"/>
    <col min="3" max="3" width="22.21875" style="233" customWidth="1"/>
    <col min="4" max="4" width="11" style="73" customWidth="1"/>
    <col min="5" max="16" width="8.109375" style="74" customWidth="1"/>
    <col min="17" max="17" width="12.44140625" style="75" customWidth="1"/>
    <col min="18" max="18" width="11.109375" style="238" customWidth="1"/>
    <col min="19" max="19" width="5" style="76" customWidth="1"/>
    <col min="20" max="20" width="4.21875" style="70" bestFit="1" customWidth="1"/>
    <col min="21" max="21" width="11.77734375" style="71" bestFit="1" customWidth="1"/>
    <col min="22" max="22" width="22.21875" style="233" customWidth="1"/>
    <col min="23" max="23" width="11" style="73" customWidth="1"/>
    <col min="24" max="35" width="8.109375" style="74" customWidth="1"/>
    <col min="36" max="36" width="12.44140625" style="75" customWidth="1"/>
    <col min="37" max="37" width="11.109375" style="238" customWidth="1"/>
    <col min="38" max="38" width="14.44140625" style="76" customWidth="1"/>
    <col min="39" max="39" width="9.109375" style="76" bestFit="1" customWidth="1"/>
    <col min="40" max="16384" width="9" style="76"/>
  </cols>
  <sheetData>
    <row r="1" spans="1:38">
      <c r="C1" s="72" t="s">
        <v>60</v>
      </c>
      <c r="R1" s="75"/>
      <c r="V1" s="72" t="s">
        <v>61</v>
      </c>
      <c r="AK1" s="75"/>
    </row>
    <row r="2" spans="1:38">
      <c r="A2" s="333"/>
      <c r="B2" s="334"/>
      <c r="C2" s="77" t="s">
        <v>62</v>
      </c>
      <c r="D2" s="78"/>
      <c r="E2" s="79" t="s">
        <v>63</v>
      </c>
      <c r="F2" s="80" t="s">
        <v>64</v>
      </c>
      <c r="G2" s="80" t="s">
        <v>65</v>
      </c>
      <c r="H2" s="80" t="s">
        <v>66</v>
      </c>
      <c r="I2" s="80" t="s">
        <v>67</v>
      </c>
      <c r="J2" s="80" t="s">
        <v>68</v>
      </c>
      <c r="K2" s="80" t="s">
        <v>69</v>
      </c>
      <c r="L2" s="80" t="s">
        <v>70</v>
      </c>
      <c r="M2" s="80" t="s">
        <v>71</v>
      </c>
      <c r="N2" s="80" t="s">
        <v>72</v>
      </c>
      <c r="O2" s="80" t="s">
        <v>73</v>
      </c>
      <c r="P2" s="81" t="s">
        <v>74</v>
      </c>
      <c r="Q2" s="82" t="s">
        <v>75</v>
      </c>
      <c r="R2" s="83" t="s">
        <v>76</v>
      </c>
      <c r="S2" s="73"/>
      <c r="T2" s="333"/>
      <c r="U2" s="334"/>
      <c r="V2" s="77" t="s">
        <v>62</v>
      </c>
      <c r="W2" s="78"/>
      <c r="X2" s="79" t="s">
        <v>63</v>
      </c>
      <c r="Y2" s="80" t="s">
        <v>64</v>
      </c>
      <c r="Z2" s="80" t="s">
        <v>65</v>
      </c>
      <c r="AA2" s="80" t="s">
        <v>77</v>
      </c>
      <c r="AB2" s="80" t="s">
        <v>78</v>
      </c>
      <c r="AC2" s="80" t="s">
        <v>79</v>
      </c>
      <c r="AD2" s="80" t="s">
        <v>80</v>
      </c>
      <c r="AE2" s="80" t="s">
        <v>70</v>
      </c>
      <c r="AF2" s="80" t="s">
        <v>81</v>
      </c>
      <c r="AG2" s="80" t="s">
        <v>82</v>
      </c>
      <c r="AH2" s="80" t="s">
        <v>83</v>
      </c>
      <c r="AI2" s="81" t="s">
        <v>84</v>
      </c>
      <c r="AJ2" s="82" t="s">
        <v>85</v>
      </c>
      <c r="AK2" s="83" t="s">
        <v>86</v>
      </c>
      <c r="AL2" s="73"/>
    </row>
    <row r="3" spans="1:38">
      <c r="A3" s="84" t="s">
        <v>87</v>
      </c>
      <c r="B3" s="85" t="s">
        <v>88</v>
      </c>
      <c r="C3" s="86" t="s">
        <v>89</v>
      </c>
      <c r="D3" s="87">
        <v>2019</v>
      </c>
      <c r="E3" s="88">
        <f>X3</f>
        <v>7864.0369999999966</v>
      </c>
      <c r="F3" s="88">
        <f t="shared" ref="F3:P3" si="0">Y3</f>
        <v>8738.9649999999947</v>
      </c>
      <c r="G3" s="88">
        <f t="shared" si="0"/>
        <v>7252.8490000000083</v>
      </c>
      <c r="H3" s="88">
        <f t="shared" si="0"/>
        <v>8972.8510000000024</v>
      </c>
      <c r="I3" s="88">
        <f t="shared" si="0"/>
        <v>4822.4229999999898</v>
      </c>
      <c r="J3" s="88">
        <f t="shared" si="0"/>
        <v>7516.9289999999928</v>
      </c>
      <c r="K3" s="88">
        <f t="shared" si="0"/>
        <v>7257.7829999999922</v>
      </c>
      <c r="L3" s="88">
        <f t="shared" si="0"/>
        <v>6274.0649999999941</v>
      </c>
      <c r="M3" s="88">
        <f t="shared" si="0"/>
        <v>7168.7349999999979</v>
      </c>
      <c r="N3" s="88">
        <f t="shared" si="0"/>
        <v>8545.2660000000014</v>
      </c>
      <c r="O3" s="88">
        <f t="shared" si="0"/>
        <v>10553.302000000005</v>
      </c>
      <c r="P3" s="88">
        <f t="shared" si="0"/>
        <v>9776.5070000000105</v>
      </c>
      <c r="Q3" s="89">
        <f>SUM(E3:P3)</f>
        <v>94743.712</v>
      </c>
      <c r="R3" s="90">
        <f>SUM(E3:M3)</f>
        <v>65868.636999999973</v>
      </c>
      <c r="T3" s="84" t="s">
        <v>87</v>
      </c>
      <c r="U3" s="85" t="s">
        <v>88</v>
      </c>
      <c r="V3" s="86" t="str">
        <f>C3</f>
        <v>三井食品</v>
      </c>
      <c r="W3" s="87">
        <v>2019</v>
      </c>
      <c r="X3" s="88">
        <f>[1]Sheet4!D3</f>
        <v>7864.0369999999966</v>
      </c>
      <c r="Y3" s="88">
        <f>[1]Sheet4!E3</f>
        <v>8738.9649999999947</v>
      </c>
      <c r="Z3" s="88">
        <f>[1]Sheet4!F3</f>
        <v>7252.8490000000083</v>
      </c>
      <c r="AA3" s="88">
        <f>[1]Sheet4!G3</f>
        <v>8972.8510000000024</v>
      </c>
      <c r="AB3" s="88">
        <f>[1]Sheet4!H3</f>
        <v>4822.4229999999898</v>
      </c>
      <c r="AC3" s="88">
        <f>[1]Sheet4!I3</f>
        <v>7516.9289999999928</v>
      </c>
      <c r="AD3" s="88">
        <f>[1]Sheet4!J3</f>
        <v>7257.7829999999922</v>
      </c>
      <c r="AE3" s="88">
        <f>[1]Sheet4!K3</f>
        <v>6274.0649999999941</v>
      </c>
      <c r="AF3" s="88">
        <f>[1]Sheet4!L3</f>
        <v>7168.7349999999979</v>
      </c>
      <c r="AG3" s="88">
        <f>[1]Sheet4!M3</f>
        <v>8545.2660000000014</v>
      </c>
      <c r="AH3" s="88">
        <f>[1]Sheet4!N3</f>
        <v>10553.302000000005</v>
      </c>
      <c r="AI3" s="88">
        <f>[1]Sheet4!O3</f>
        <v>9776.5070000000105</v>
      </c>
      <c r="AJ3" s="89">
        <f>SUM(X3:AI3)</f>
        <v>94743.712</v>
      </c>
      <c r="AK3" s="90">
        <f>SUM(X3:AF3)</f>
        <v>65868.636999999973</v>
      </c>
    </row>
    <row r="4" spans="1:38">
      <c r="A4" s="91"/>
      <c r="B4" s="85" t="s">
        <v>90</v>
      </c>
      <c r="C4" s="92" t="s">
        <v>91</v>
      </c>
      <c r="D4" s="93" t="s">
        <v>92</v>
      </c>
      <c r="E4" s="94">
        <f>X4+[1]perrier!AF17</f>
        <v>6580</v>
      </c>
      <c r="F4" s="94">
        <f>Y4+[1]perrier!AG17</f>
        <v>6890</v>
      </c>
      <c r="G4" s="94">
        <f>Z4+[1]perrier!AH17</f>
        <v>8390</v>
      </c>
      <c r="H4" s="94">
        <f>AA4+[1]perrier!AI17</f>
        <v>9390</v>
      </c>
      <c r="I4" s="94">
        <f>AB4+[1]perrier!AJ17</f>
        <v>8290</v>
      </c>
      <c r="J4" s="94">
        <f>AC4+[1]perrier!AK17</f>
        <v>9390</v>
      </c>
      <c r="K4" s="94">
        <f>AD4+[1]perrier!AL17</f>
        <v>9790</v>
      </c>
      <c r="L4" s="94">
        <f>AE4+[1]perrier!AM17</f>
        <v>8340</v>
      </c>
      <c r="M4" s="94">
        <f>AF4+[1]perrier!AN17</f>
        <v>10040</v>
      </c>
      <c r="N4" s="94">
        <f>AG4+[1]perrier!AO17</f>
        <v>11640</v>
      </c>
      <c r="O4" s="94">
        <f>AH4+[1]perrier!AP17</f>
        <v>13040</v>
      </c>
      <c r="P4" s="94">
        <f>AI4+[1]perrier!AQ17</f>
        <v>12940</v>
      </c>
      <c r="Q4" s="95">
        <f>SUM(E4:P4)</f>
        <v>114720</v>
      </c>
      <c r="R4" s="96">
        <f t="shared" ref="R4:R5" si="1">SUM(E4:M4)</f>
        <v>77100</v>
      </c>
      <c r="T4" s="91"/>
      <c r="U4" s="85" t="s">
        <v>93</v>
      </c>
      <c r="V4" s="92" t="str">
        <f>C4</f>
        <v>MITSUI SHOKUHIN KOURI</v>
      </c>
      <c r="W4" s="93" t="s">
        <v>92</v>
      </c>
      <c r="X4" s="94">
        <v>6280</v>
      </c>
      <c r="Y4" s="97">
        <v>6440</v>
      </c>
      <c r="Z4" s="97">
        <v>7940</v>
      </c>
      <c r="AA4" s="97">
        <v>8840</v>
      </c>
      <c r="AB4" s="97">
        <v>7740</v>
      </c>
      <c r="AC4" s="97">
        <v>8840</v>
      </c>
      <c r="AD4" s="97">
        <v>9240</v>
      </c>
      <c r="AE4" s="97">
        <v>7740</v>
      </c>
      <c r="AF4" s="98">
        <v>9440</v>
      </c>
      <c r="AG4" s="98">
        <v>11040</v>
      </c>
      <c r="AH4" s="98">
        <v>12440</v>
      </c>
      <c r="AI4" s="99">
        <v>12240</v>
      </c>
      <c r="AJ4" s="95">
        <f>SUM(X4:AI4)</f>
        <v>108220</v>
      </c>
      <c r="AK4" s="96">
        <f t="shared" ref="AK4:AK5" si="2">SUM(X4:AF4)</f>
        <v>72500</v>
      </c>
    </row>
    <row r="5" spans="1:38">
      <c r="A5" s="91"/>
      <c r="B5" s="100"/>
      <c r="C5" s="92" t="s">
        <v>94</v>
      </c>
      <c r="D5" s="101">
        <v>2020</v>
      </c>
      <c r="E5" s="102">
        <f>[2]Sheet4!BA3</f>
        <v>7446.5929999999953</v>
      </c>
      <c r="F5" s="102">
        <f>[2]Sheet4!BB3</f>
        <v>8348.5099999999893</v>
      </c>
      <c r="G5" s="102">
        <f>[2]Sheet4!BC3</f>
        <v>15141.65600000001</v>
      </c>
      <c r="H5" s="102">
        <f>[2]Sheet4!BD3</f>
        <v>0</v>
      </c>
      <c r="I5" s="102">
        <f>[2]Sheet4!BE3</f>
        <v>0</v>
      </c>
      <c r="J5" s="102">
        <f>[2]Sheet4!BF3</f>
        <v>0</v>
      </c>
      <c r="K5" s="102">
        <f>[2]Sheet4!BG3</f>
        <v>0</v>
      </c>
      <c r="L5" s="102">
        <f>[2]Sheet4!BH3</f>
        <v>0</v>
      </c>
      <c r="M5" s="102">
        <f>[2]Sheet4!BI3</f>
        <v>0</v>
      </c>
      <c r="N5" s="102">
        <f>[2]Sheet4!BJ3</f>
        <v>0</v>
      </c>
      <c r="O5" s="102">
        <f>[2]Sheet4!BK3</f>
        <v>0</v>
      </c>
      <c r="P5" s="102">
        <f>[2]Sheet4!BL3</f>
        <v>0</v>
      </c>
      <c r="Q5" s="103">
        <f>SUM(E5:P5)</f>
        <v>30936.758999999995</v>
      </c>
      <c r="R5" s="104">
        <f t="shared" si="1"/>
        <v>30936.758999999995</v>
      </c>
      <c r="S5" s="105"/>
      <c r="T5" s="91"/>
      <c r="U5" s="100"/>
      <c r="V5" s="92" t="s">
        <v>94</v>
      </c>
      <c r="W5" s="101">
        <v>2020</v>
      </c>
      <c r="X5" s="102">
        <f>E5-[2]Sheet4!BM3</f>
        <v>6681.5689999999959</v>
      </c>
      <c r="Y5" s="102">
        <f>F5-[2]Sheet4!BN3</f>
        <v>7949.0179999999891</v>
      </c>
      <c r="Z5" s="102">
        <f>G5-[2]Sheet4!BO3</f>
        <v>14650.80800000001</v>
      </c>
      <c r="AA5" s="102">
        <f>H5-[2]Sheet4!BP3</f>
        <v>0</v>
      </c>
      <c r="AB5" s="102">
        <f>I5-[2]Sheet4!BQ3</f>
        <v>0</v>
      </c>
      <c r="AC5" s="102">
        <f>J5-[2]Sheet4!BR3</f>
        <v>0</v>
      </c>
      <c r="AD5" s="102">
        <f>K5-[2]Sheet4!BS3</f>
        <v>0</v>
      </c>
      <c r="AE5" s="102">
        <f>L5-[2]Sheet4!BT3</f>
        <v>0</v>
      </c>
      <c r="AF5" s="102">
        <f>M5-[2]Sheet4!BU3</f>
        <v>0</v>
      </c>
      <c r="AG5" s="102">
        <f>N5-[2]Sheet4!BV3</f>
        <v>0</v>
      </c>
      <c r="AH5" s="102">
        <f>O5-[2]Sheet4!BW3</f>
        <v>0</v>
      </c>
      <c r="AI5" s="102">
        <f>P5-[2]Sheet4!BX3</f>
        <v>0</v>
      </c>
      <c r="AJ5" s="103">
        <f>SUM(X5:AI5)</f>
        <v>29281.394999999997</v>
      </c>
      <c r="AK5" s="104">
        <f t="shared" si="2"/>
        <v>29281.394999999997</v>
      </c>
      <c r="AL5" s="105"/>
    </row>
    <row r="6" spans="1:38">
      <c r="A6" s="91"/>
      <c r="B6" s="100"/>
      <c r="C6" s="92" t="s">
        <v>95</v>
      </c>
      <c r="D6" s="101" t="s">
        <v>96</v>
      </c>
      <c r="E6" s="106">
        <f>E5/E4</f>
        <v>1.1317010638297864</v>
      </c>
      <c r="F6" s="106">
        <f t="shared" ref="F6:Q6" si="3">F5/F4</f>
        <v>1.2116850507982568</v>
      </c>
      <c r="G6" s="106">
        <f t="shared" si="3"/>
        <v>1.8047265792610263</v>
      </c>
      <c r="H6" s="106">
        <f t="shared" si="3"/>
        <v>0</v>
      </c>
      <c r="I6" s="106">
        <f t="shared" si="3"/>
        <v>0</v>
      </c>
      <c r="J6" s="106">
        <f t="shared" si="3"/>
        <v>0</v>
      </c>
      <c r="K6" s="106">
        <f t="shared" si="3"/>
        <v>0</v>
      </c>
      <c r="L6" s="106">
        <f t="shared" si="3"/>
        <v>0</v>
      </c>
      <c r="M6" s="107">
        <f t="shared" si="3"/>
        <v>0</v>
      </c>
      <c r="N6" s="107">
        <f t="shared" si="3"/>
        <v>0</v>
      </c>
      <c r="O6" s="107">
        <f t="shared" si="3"/>
        <v>0</v>
      </c>
      <c r="P6" s="108">
        <f t="shared" si="3"/>
        <v>0</v>
      </c>
      <c r="Q6" s="109">
        <f t="shared" si="3"/>
        <v>0.26967188807531378</v>
      </c>
      <c r="R6" s="110">
        <f>R5/R4</f>
        <v>0.40125498054474701</v>
      </c>
      <c r="S6" s="105"/>
      <c r="T6" s="91"/>
      <c r="U6" s="100"/>
      <c r="V6" s="92" t="s">
        <v>95</v>
      </c>
      <c r="W6" s="101" t="s">
        <v>96</v>
      </c>
      <c r="X6" s="106">
        <f>X5/X4</f>
        <v>1.0639441082802541</v>
      </c>
      <c r="Y6" s="106">
        <f t="shared" ref="Y6:AJ6" si="4">Y5/Y4</f>
        <v>1.2343195652173897</v>
      </c>
      <c r="Z6" s="106">
        <f t="shared" si="4"/>
        <v>1.8451899244332506</v>
      </c>
      <c r="AA6" s="106">
        <f t="shared" si="4"/>
        <v>0</v>
      </c>
      <c r="AB6" s="106">
        <f t="shared" si="4"/>
        <v>0</v>
      </c>
      <c r="AC6" s="106">
        <f t="shared" si="4"/>
        <v>0</v>
      </c>
      <c r="AD6" s="106">
        <f t="shared" si="4"/>
        <v>0</v>
      </c>
      <c r="AE6" s="106">
        <f t="shared" si="4"/>
        <v>0</v>
      </c>
      <c r="AF6" s="107">
        <f t="shared" si="4"/>
        <v>0</v>
      </c>
      <c r="AG6" s="107">
        <f t="shared" si="4"/>
        <v>0</v>
      </c>
      <c r="AH6" s="107">
        <f t="shared" si="4"/>
        <v>0</v>
      </c>
      <c r="AI6" s="108">
        <f t="shared" si="4"/>
        <v>0</v>
      </c>
      <c r="AJ6" s="109">
        <f t="shared" si="4"/>
        <v>0.27057286083903159</v>
      </c>
      <c r="AK6" s="110">
        <f>AK5/AK4</f>
        <v>0.40388131034482755</v>
      </c>
      <c r="AL6" s="105"/>
    </row>
    <row r="7" spans="1:38">
      <c r="A7" s="91"/>
      <c r="B7" s="100"/>
      <c r="C7" s="111"/>
      <c r="D7" s="112" t="s">
        <v>97</v>
      </c>
      <c r="E7" s="113">
        <f>E5/E3</f>
        <v>0.94691734029226959</v>
      </c>
      <c r="F7" s="113">
        <f t="shared" ref="F7:Q7" si="5">F5/F3</f>
        <v>0.95532022384801796</v>
      </c>
      <c r="G7" s="113">
        <f t="shared" si="5"/>
        <v>2.0876838880831508</v>
      </c>
      <c r="H7" s="113">
        <f t="shared" si="5"/>
        <v>0</v>
      </c>
      <c r="I7" s="113">
        <f t="shared" si="5"/>
        <v>0</v>
      </c>
      <c r="J7" s="113">
        <f t="shared" si="5"/>
        <v>0</v>
      </c>
      <c r="K7" s="113">
        <f t="shared" si="5"/>
        <v>0</v>
      </c>
      <c r="L7" s="113">
        <f t="shared" si="5"/>
        <v>0</v>
      </c>
      <c r="M7" s="113">
        <f t="shared" si="5"/>
        <v>0</v>
      </c>
      <c r="N7" s="113">
        <f t="shared" si="5"/>
        <v>0</v>
      </c>
      <c r="O7" s="113">
        <f t="shared" si="5"/>
        <v>0</v>
      </c>
      <c r="P7" s="114">
        <f t="shared" si="5"/>
        <v>0</v>
      </c>
      <c r="Q7" s="115">
        <f t="shared" si="5"/>
        <v>0.32653099975647981</v>
      </c>
      <c r="R7" s="116">
        <f>R5/R3</f>
        <v>0.46967358683921162</v>
      </c>
      <c r="T7" s="91"/>
      <c r="U7" s="100"/>
      <c r="V7" s="111"/>
      <c r="W7" s="112" t="s">
        <v>97</v>
      </c>
      <c r="X7" s="113">
        <f>X5/X3</f>
        <v>0.84963600756201918</v>
      </c>
      <c r="Y7" s="113">
        <f t="shared" ref="Y7:AJ7" si="6">Y5/Y3</f>
        <v>0.90960634354297032</v>
      </c>
      <c r="Z7" s="113">
        <f t="shared" si="6"/>
        <v>2.0200073102307785</v>
      </c>
      <c r="AA7" s="113">
        <f t="shared" si="6"/>
        <v>0</v>
      </c>
      <c r="AB7" s="113">
        <f t="shared" si="6"/>
        <v>0</v>
      </c>
      <c r="AC7" s="113">
        <f t="shared" si="6"/>
        <v>0</v>
      </c>
      <c r="AD7" s="113">
        <f t="shared" si="6"/>
        <v>0</v>
      </c>
      <c r="AE7" s="113">
        <f t="shared" si="6"/>
        <v>0</v>
      </c>
      <c r="AF7" s="113">
        <f t="shared" si="6"/>
        <v>0</v>
      </c>
      <c r="AG7" s="113">
        <f t="shared" si="6"/>
        <v>0</v>
      </c>
      <c r="AH7" s="113">
        <f t="shared" si="6"/>
        <v>0</v>
      </c>
      <c r="AI7" s="114">
        <f t="shared" si="6"/>
        <v>0</v>
      </c>
      <c r="AJ7" s="115">
        <f t="shared" si="6"/>
        <v>0.30905898008302646</v>
      </c>
      <c r="AK7" s="116">
        <f>AK5/AK3</f>
        <v>0.44454229408147627</v>
      </c>
    </row>
    <row r="8" spans="1:38">
      <c r="A8" s="91"/>
      <c r="B8" s="100"/>
      <c r="C8" s="117" t="s">
        <v>98</v>
      </c>
      <c r="D8" s="87">
        <v>2019</v>
      </c>
      <c r="E8" s="88">
        <v>5631.2760000000007</v>
      </c>
      <c r="F8" s="88">
        <v>7689.7229999999963</v>
      </c>
      <c r="G8" s="88">
        <v>7732.7889999999943</v>
      </c>
      <c r="H8" s="88">
        <v>8960.9649999999947</v>
      </c>
      <c r="I8" s="88">
        <v>5998.1199999999963</v>
      </c>
      <c r="J8" s="88">
        <v>6931.5739999999987</v>
      </c>
      <c r="K8" s="88">
        <v>7653.8269999999993</v>
      </c>
      <c r="L8" s="88">
        <v>4931.1059999999979</v>
      </c>
      <c r="M8" s="88">
        <v>7321.0809999999965</v>
      </c>
      <c r="N8" s="88">
        <v>8599.9829999999965</v>
      </c>
      <c r="O8" s="88">
        <v>5916.7279999999964</v>
      </c>
      <c r="P8" s="88">
        <v>9039.7989999999972</v>
      </c>
      <c r="Q8" s="89">
        <f>SUM(E8:P8)</f>
        <v>86406.970999999976</v>
      </c>
      <c r="R8" s="90">
        <f t="shared" ref="R8:R70" si="7">SUM(E8:M8)</f>
        <v>62850.460999999974</v>
      </c>
      <c r="T8" s="91"/>
      <c r="U8" s="100"/>
      <c r="V8" s="86" t="str">
        <f t="shared" ref="V8:V9" si="8">C8</f>
        <v>三菱食品</v>
      </c>
      <c r="W8" s="87">
        <v>2019</v>
      </c>
      <c r="X8" s="88">
        <f>E8</f>
        <v>5631.2760000000007</v>
      </c>
      <c r="Y8" s="88">
        <f t="shared" ref="Y8:AI8" si="9">F8</f>
        <v>7689.7229999999963</v>
      </c>
      <c r="Z8" s="88">
        <f t="shared" si="9"/>
        <v>7732.7889999999943</v>
      </c>
      <c r="AA8" s="88">
        <f t="shared" si="9"/>
        <v>8960.9649999999947</v>
      </c>
      <c r="AB8" s="88">
        <f t="shared" si="9"/>
        <v>5998.1199999999963</v>
      </c>
      <c r="AC8" s="88">
        <f t="shared" si="9"/>
        <v>6931.5739999999987</v>
      </c>
      <c r="AD8" s="88">
        <f t="shared" si="9"/>
        <v>7653.8269999999993</v>
      </c>
      <c r="AE8" s="88">
        <f t="shared" si="9"/>
        <v>4931.1059999999979</v>
      </c>
      <c r="AF8" s="88">
        <f t="shared" si="9"/>
        <v>7321.0809999999965</v>
      </c>
      <c r="AG8" s="88">
        <f t="shared" si="9"/>
        <v>8599.9829999999965</v>
      </c>
      <c r="AH8" s="88">
        <f t="shared" si="9"/>
        <v>5916.7279999999964</v>
      </c>
      <c r="AI8" s="88">
        <f t="shared" si="9"/>
        <v>9039.7989999999972</v>
      </c>
      <c r="AJ8" s="89">
        <f>SUM(X8:AI8)</f>
        <v>86406.970999999976</v>
      </c>
      <c r="AK8" s="90">
        <f t="shared" ref="AK8:AK10" si="10">SUM(X8:AF8)</f>
        <v>62850.460999999974</v>
      </c>
    </row>
    <row r="9" spans="1:38">
      <c r="A9" s="91"/>
      <c r="B9" s="100"/>
      <c r="C9" s="118" t="s">
        <v>99</v>
      </c>
      <c r="D9" s="93" t="s">
        <v>92</v>
      </c>
      <c r="E9" s="94">
        <v>4900</v>
      </c>
      <c r="F9" s="94">
        <v>7900</v>
      </c>
      <c r="G9" s="94">
        <v>7900</v>
      </c>
      <c r="H9" s="94">
        <v>10000</v>
      </c>
      <c r="I9" s="94">
        <v>6900</v>
      </c>
      <c r="J9" s="94">
        <v>7400</v>
      </c>
      <c r="K9" s="94">
        <v>8500</v>
      </c>
      <c r="L9" s="94">
        <v>8000</v>
      </c>
      <c r="M9" s="94">
        <v>8000</v>
      </c>
      <c r="N9" s="94">
        <v>8000</v>
      </c>
      <c r="O9" s="94">
        <v>7600</v>
      </c>
      <c r="P9" s="94">
        <v>11900</v>
      </c>
      <c r="Q9" s="95">
        <f>SUM(E9:P9)</f>
        <v>97000</v>
      </c>
      <c r="R9" s="96">
        <f t="shared" si="7"/>
        <v>69500</v>
      </c>
      <c r="T9" s="91"/>
      <c r="U9" s="100"/>
      <c r="V9" s="92" t="str">
        <f t="shared" si="8"/>
        <v>MITSUBISHI SHOKUHIN</v>
      </c>
      <c r="W9" s="93" t="s">
        <v>92</v>
      </c>
      <c r="X9" s="94">
        <f>E9-[2]perrier!AF18</f>
        <v>4600</v>
      </c>
      <c r="Y9" s="94">
        <f>F9-[2]perrier!AG18</f>
        <v>7550</v>
      </c>
      <c r="Z9" s="94">
        <f>G9-[2]perrier!AH18</f>
        <v>7550</v>
      </c>
      <c r="AA9" s="94">
        <f>H9-[2]perrier!AI18</f>
        <v>9700</v>
      </c>
      <c r="AB9" s="94">
        <f>I9-[2]perrier!AJ18</f>
        <v>6450</v>
      </c>
      <c r="AC9" s="94">
        <f>J9-[2]perrier!AK18</f>
        <v>7050</v>
      </c>
      <c r="AD9" s="94">
        <f>K9-[2]perrier!AL18</f>
        <v>8150</v>
      </c>
      <c r="AE9" s="94">
        <f>L9-[2]perrier!AM18</f>
        <v>7550</v>
      </c>
      <c r="AF9" s="94">
        <f>M9-[2]perrier!AN18</f>
        <v>7550</v>
      </c>
      <c r="AG9" s="94">
        <f>N9-[2]perrier!AO18</f>
        <v>7450</v>
      </c>
      <c r="AH9" s="94">
        <f>O9-[2]perrier!AP18</f>
        <v>7050</v>
      </c>
      <c r="AI9" s="94">
        <f>P9-[2]perrier!AQ18</f>
        <v>11350</v>
      </c>
      <c r="AJ9" s="95">
        <f>SUM(X9:AI9)</f>
        <v>92000</v>
      </c>
      <c r="AK9" s="96">
        <f t="shared" si="10"/>
        <v>66150</v>
      </c>
    </row>
    <row r="10" spans="1:38">
      <c r="A10" s="91"/>
      <c r="B10" s="100"/>
      <c r="C10" s="118" t="s">
        <v>100</v>
      </c>
      <c r="D10" s="101">
        <v>2020</v>
      </c>
      <c r="E10" s="102">
        <f>[2]Sheet4!BA4</f>
        <v>8442.2570000000014</v>
      </c>
      <c r="F10" s="102">
        <f>[2]Sheet4!BB4</f>
        <v>13440.058999999992</v>
      </c>
      <c r="G10" s="102">
        <f>[2]Sheet4!BC4</f>
        <v>19504.600999999999</v>
      </c>
      <c r="H10" s="102">
        <f>[2]Sheet4!BD4</f>
        <v>0</v>
      </c>
      <c r="I10" s="102">
        <f>[2]Sheet4!BE4</f>
        <v>0</v>
      </c>
      <c r="J10" s="102">
        <f>[2]Sheet4!BF4</f>
        <v>0</v>
      </c>
      <c r="K10" s="102">
        <f>[2]Sheet4!BG4</f>
        <v>0</v>
      </c>
      <c r="L10" s="102">
        <f>[2]Sheet4!BH4</f>
        <v>0</v>
      </c>
      <c r="M10" s="102">
        <f>[2]Sheet4!BI4</f>
        <v>0</v>
      </c>
      <c r="N10" s="102">
        <f>[2]Sheet4!BJ4</f>
        <v>0</v>
      </c>
      <c r="O10" s="102">
        <f>[2]Sheet4!BK4</f>
        <v>0</v>
      </c>
      <c r="P10" s="102">
        <f>[2]Sheet4!BL4</f>
        <v>0</v>
      </c>
      <c r="Q10" s="103">
        <f>SUM(E10:P10)</f>
        <v>41386.916999999987</v>
      </c>
      <c r="R10" s="104">
        <f t="shared" si="7"/>
        <v>41386.916999999987</v>
      </c>
      <c r="S10" s="105"/>
      <c r="T10" s="91"/>
      <c r="U10" s="100"/>
      <c r="V10" s="92" t="s">
        <v>100</v>
      </c>
      <c r="W10" s="101">
        <v>2020</v>
      </c>
      <c r="X10" s="102">
        <f>E10-[2]Sheet4!BM4</f>
        <v>7655.7650000000012</v>
      </c>
      <c r="Y10" s="102">
        <f>F10-[2]Sheet4!BN4</f>
        <v>12584.290999999992</v>
      </c>
      <c r="Z10" s="102">
        <f>G10-[2]Sheet4!BO4</f>
        <v>18606.035</v>
      </c>
      <c r="AA10" s="102">
        <f>H10-[2]Sheet4!BP4</f>
        <v>0</v>
      </c>
      <c r="AB10" s="102">
        <f>I10-[2]Sheet4!BQ4</f>
        <v>0</v>
      </c>
      <c r="AC10" s="102">
        <f>J10-[2]Sheet4!BR4</f>
        <v>0</v>
      </c>
      <c r="AD10" s="102">
        <f>K10-[2]Sheet4!BS4</f>
        <v>0</v>
      </c>
      <c r="AE10" s="102">
        <f>L10-[2]Sheet4!BT4</f>
        <v>0</v>
      </c>
      <c r="AF10" s="102">
        <f>M10-[2]Sheet4!BU4</f>
        <v>0</v>
      </c>
      <c r="AG10" s="102">
        <f>N10-[2]Sheet4!BV4</f>
        <v>0</v>
      </c>
      <c r="AH10" s="102">
        <f>O10-[2]Sheet4!BW4</f>
        <v>0</v>
      </c>
      <c r="AI10" s="102">
        <f>P10-[2]Sheet4!BX4</f>
        <v>0</v>
      </c>
      <c r="AJ10" s="103">
        <f>SUM(X10:AI10)</f>
        <v>38846.090999999993</v>
      </c>
      <c r="AK10" s="104">
        <f t="shared" si="10"/>
        <v>38846.090999999993</v>
      </c>
      <c r="AL10" s="105"/>
    </row>
    <row r="11" spans="1:38">
      <c r="A11" s="91"/>
      <c r="B11" s="100"/>
      <c r="C11" s="118" t="s">
        <v>101</v>
      </c>
      <c r="D11" s="101" t="s">
        <v>102</v>
      </c>
      <c r="E11" s="106">
        <f>E10/E9</f>
        <v>1.722909591836735</v>
      </c>
      <c r="F11" s="106">
        <f t="shared" ref="F11:R11" si="11">F10/F9</f>
        <v>1.7012732911392394</v>
      </c>
      <c r="G11" s="106">
        <f t="shared" si="11"/>
        <v>2.4689368354430377</v>
      </c>
      <c r="H11" s="106">
        <f t="shared" si="11"/>
        <v>0</v>
      </c>
      <c r="I11" s="106">
        <f t="shared" si="11"/>
        <v>0</v>
      </c>
      <c r="J11" s="106">
        <f t="shared" si="11"/>
        <v>0</v>
      </c>
      <c r="K11" s="106">
        <f t="shared" si="11"/>
        <v>0</v>
      </c>
      <c r="L11" s="106">
        <f t="shared" si="11"/>
        <v>0</v>
      </c>
      <c r="M11" s="107">
        <f t="shared" si="11"/>
        <v>0</v>
      </c>
      <c r="N11" s="107">
        <f t="shared" si="11"/>
        <v>0</v>
      </c>
      <c r="O11" s="107">
        <f t="shared" si="11"/>
        <v>0</v>
      </c>
      <c r="P11" s="108">
        <f t="shared" si="11"/>
        <v>0</v>
      </c>
      <c r="Q11" s="109">
        <f t="shared" si="11"/>
        <v>0.42666924742268025</v>
      </c>
      <c r="R11" s="110">
        <f t="shared" si="11"/>
        <v>0.59549520863309335</v>
      </c>
      <c r="S11" s="105"/>
      <c r="T11" s="91"/>
      <c r="U11" s="100"/>
      <c r="V11" s="92" t="s">
        <v>101</v>
      </c>
      <c r="W11" s="101" t="s">
        <v>102</v>
      </c>
      <c r="X11" s="106">
        <f>X10/X9</f>
        <v>1.6642967391304351</v>
      </c>
      <c r="Y11" s="106">
        <f t="shared" ref="Y11:AK11" si="12">Y10/Y9</f>
        <v>1.6667935099337738</v>
      </c>
      <c r="Z11" s="106">
        <f t="shared" si="12"/>
        <v>2.4643754966887417</v>
      </c>
      <c r="AA11" s="106">
        <f t="shared" si="12"/>
        <v>0</v>
      </c>
      <c r="AB11" s="106">
        <f t="shared" si="12"/>
        <v>0</v>
      </c>
      <c r="AC11" s="106">
        <f t="shared" si="12"/>
        <v>0</v>
      </c>
      <c r="AD11" s="106">
        <f t="shared" si="12"/>
        <v>0</v>
      </c>
      <c r="AE11" s="106">
        <f t="shared" si="12"/>
        <v>0</v>
      </c>
      <c r="AF11" s="107">
        <f t="shared" si="12"/>
        <v>0</v>
      </c>
      <c r="AG11" s="107">
        <f t="shared" si="12"/>
        <v>0</v>
      </c>
      <c r="AH11" s="107">
        <f t="shared" si="12"/>
        <v>0</v>
      </c>
      <c r="AI11" s="108">
        <f t="shared" si="12"/>
        <v>0</v>
      </c>
      <c r="AJ11" s="109">
        <f t="shared" si="12"/>
        <v>0.42224011956521734</v>
      </c>
      <c r="AK11" s="110">
        <f t="shared" si="12"/>
        <v>0.58724249433106568</v>
      </c>
      <c r="AL11" s="105"/>
    </row>
    <row r="12" spans="1:38">
      <c r="A12" s="91"/>
      <c r="B12" s="100"/>
      <c r="C12" s="119">
        <v>8.65045034031028E+29</v>
      </c>
      <c r="D12" s="112" t="s">
        <v>103</v>
      </c>
      <c r="E12" s="113">
        <f>E10/E8</f>
        <v>1.4991730115874271</v>
      </c>
      <c r="F12" s="113">
        <f t="shared" ref="F12:R12" si="13">F10/F8</f>
        <v>1.7477949465800002</v>
      </c>
      <c r="G12" s="113">
        <f t="shared" si="13"/>
        <v>2.5223242222178843</v>
      </c>
      <c r="H12" s="113">
        <f t="shared" si="13"/>
        <v>0</v>
      </c>
      <c r="I12" s="113">
        <f t="shared" si="13"/>
        <v>0</v>
      </c>
      <c r="J12" s="113">
        <f t="shared" si="13"/>
        <v>0</v>
      </c>
      <c r="K12" s="113">
        <f t="shared" si="13"/>
        <v>0</v>
      </c>
      <c r="L12" s="113">
        <f t="shared" si="13"/>
        <v>0</v>
      </c>
      <c r="M12" s="113">
        <f t="shared" si="13"/>
        <v>0</v>
      </c>
      <c r="N12" s="113">
        <f t="shared" si="13"/>
        <v>0</v>
      </c>
      <c r="O12" s="113">
        <f t="shared" si="13"/>
        <v>0</v>
      </c>
      <c r="P12" s="114">
        <f t="shared" si="13"/>
        <v>0</v>
      </c>
      <c r="Q12" s="115">
        <f t="shared" si="13"/>
        <v>0.47897659784880087</v>
      </c>
      <c r="R12" s="116">
        <f t="shared" si="13"/>
        <v>0.65849822485788934</v>
      </c>
      <c r="T12" s="91"/>
      <c r="U12" s="100"/>
      <c r="V12" s="111">
        <v>8.65045034031028E+29</v>
      </c>
      <c r="W12" s="112" t="s">
        <v>103</v>
      </c>
      <c r="X12" s="113">
        <f>X10/X8</f>
        <v>1.3595080404512228</v>
      </c>
      <c r="Y12" s="113">
        <f t="shared" ref="Y12:AK12" si="14">Y10/Y8</f>
        <v>1.6365077129566303</v>
      </c>
      <c r="Z12" s="113">
        <f t="shared" si="14"/>
        <v>2.4061221636850578</v>
      </c>
      <c r="AA12" s="113">
        <f t="shared" si="14"/>
        <v>0</v>
      </c>
      <c r="AB12" s="113">
        <f t="shared" si="14"/>
        <v>0</v>
      </c>
      <c r="AC12" s="113">
        <f t="shared" si="14"/>
        <v>0</v>
      </c>
      <c r="AD12" s="113">
        <f t="shared" si="14"/>
        <v>0</v>
      </c>
      <c r="AE12" s="113">
        <f t="shared" si="14"/>
        <v>0</v>
      </c>
      <c r="AF12" s="113">
        <f t="shared" si="14"/>
        <v>0</v>
      </c>
      <c r="AG12" s="113">
        <f t="shared" si="14"/>
        <v>0</v>
      </c>
      <c r="AH12" s="113">
        <f t="shared" si="14"/>
        <v>0</v>
      </c>
      <c r="AI12" s="114">
        <f t="shared" si="14"/>
        <v>0</v>
      </c>
      <c r="AJ12" s="115">
        <f t="shared" si="14"/>
        <v>0.44957126202236625</v>
      </c>
      <c r="AK12" s="116">
        <f t="shared" si="14"/>
        <v>0.61807169560776987</v>
      </c>
    </row>
    <row r="13" spans="1:38">
      <c r="A13" s="91"/>
      <c r="B13" s="100"/>
      <c r="C13" s="86" t="s">
        <v>104</v>
      </c>
      <c r="D13" s="87">
        <v>2019</v>
      </c>
      <c r="E13" s="88">
        <f>X13</f>
        <v>103.23200000000001</v>
      </c>
      <c r="F13" s="88">
        <f t="shared" ref="F13:P14" si="15">Y13</f>
        <v>736.48800000000006</v>
      </c>
      <c r="G13" s="88">
        <f t="shared" si="15"/>
        <v>1066.7450000000008</v>
      </c>
      <c r="H13" s="88">
        <f t="shared" si="15"/>
        <v>491.5899999999998</v>
      </c>
      <c r="I13" s="88">
        <f t="shared" si="15"/>
        <v>698.34500000000048</v>
      </c>
      <c r="J13" s="88">
        <f t="shared" si="15"/>
        <v>758.04500000000019</v>
      </c>
      <c r="K13" s="88">
        <f t="shared" si="15"/>
        <v>1047.9909999999995</v>
      </c>
      <c r="L13" s="88">
        <f t="shared" si="15"/>
        <v>1504.1769999999995</v>
      </c>
      <c r="M13" s="88">
        <f t="shared" si="15"/>
        <v>949.548</v>
      </c>
      <c r="N13" s="88">
        <f t="shared" si="15"/>
        <v>576.8929999999998</v>
      </c>
      <c r="O13" s="88">
        <f t="shared" si="15"/>
        <v>772.11399999999969</v>
      </c>
      <c r="P13" s="88">
        <f t="shared" si="15"/>
        <v>1086.403</v>
      </c>
      <c r="Q13" s="89">
        <f>SUM(E13:P13)</f>
        <v>9791.5710000000017</v>
      </c>
      <c r="R13" s="90">
        <f t="shared" ref="R13" si="16">SUM(E13:M13)</f>
        <v>7356.161000000001</v>
      </c>
      <c r="T13" s="91"/>
      <c r="U13" s="100"/>
      <c r="V13" s="86" t="str">
        <f t="shared" ref="V13:V14" si="17">C13</f>
        <v>三菱食品㈱加食(401NCｴﾘｱG)</v>
      </c>
      <c r="W13" s="87">
        <v>2019</v>
      </c>
      <c r="X13" s="88">
        <f>[1]Sheet4!D5</f>
        <v>103.23200000000001</v>
      </c>
      <c r="Y13" s="88">
        <f>[1]Sheet4!E5</f>
        <v>736.48800000000006</v>
      </c>
      <c r="Z13" s="88">
        <f>[1]Sheet4!F5</f>
        <v>1066.7450000000008</v>
      </c>
      <c r="AA13" s="88">
        <f>[1]Sheet4!G5</f>
        <v>491.5899999999998</v>
      </c>
      <c r="AB13" s="88">
        <f>[1]Sheet4!H5</f>
        <v>698.34500000000048</v>
      </c>
      <c r="AC13" s="88">
        <f>[1]Sheet4!I5</f>
        <v>758.04500000000019</v>
      </c>
      <c r="AD13" s="88">
        <f>[1]Sheet4!J5</f>
        <v>1047.9909999999995</v>
      </c>
      <c r="AE13" s="88">
        <f>[1]Sheet4!K5</f>
        <v>1504.1769999999995</v>
      </c>
      <c r="AF13" s="88">
        <f>[1]Sheet4!L5</f>
        <v>949.548</v>
      </c>
      <c r="AG13" s="88">
        <f>[1]Sheet4!M5</f>
        <v>576.8929999999998</v>
      </c>
      <c r="AH13" s="88">
        <f>[1]Sheet4!N5</f>
        <v>772.11399999999969</v>
      </c>
      <c r="AI13" s="88">
        <f>[1]Sheet4!O5</f>
        <v>1086.403</v>
      </c>
      <c r="AJ13" s="89">
        <f>SUM(X13:AI13)</f>
        <v>9791.5710000000017</v>
      </c>
      <c r="AK13" s="90">
        <f t="shared" ref="AK13:AK15" si="18">SUM(X13:AF13)</f>
        <v>7356.161000000001</v>
      </c>
    </row>
    <row r="14" spans="1:38">
      <c r="A14" s="91"/>
      <c r="B14" s="100"/>
      <c r="C14" s="92" t="s">
        <v>99</v>
      </c>
      <c r="D14" s="93" t="s">
        <v>92</v>
      </c>
      <c r="E14" s="94">
        <f>X14</f>
        <v>100</v>
      </c>
      <c r="F14" s="94">
        <f t="shared" si="15"/>
        <v>800</v>
      </c>
      <c r="G14" s="94">
        <f t="shared" si="15"/>
        <v>1000</v>
      </c>
      <c r="H14" s="94">
        <f t="shared" si="15"/>
        <v>500</v>
      </c>
      <c r="I14" s="94">
        <f t="shared" si="15"/>
        <v>700</v>
      </c>
      <c r="J14" s="94">
        <f t="shared" si="15"/>
        <v>800</v>
      </c>
      <c r="K14" s="94">
        <f t="shared" si="15"/>
        <v>1100</v>
      </c>
      <c r="L14" s="94">
        <f t="shared" si="15"/>
        <v>1600</v>
      </c>
      <c r="M14" s="94">
        <f t="shared" si="15"/>
        <v>1000</v>
      </c>
      <c r="N14" s="94">
        <f t="shared" si="15"/>
        <v>600</v>
      </c>
      <c r="O14" s="94">
        <f t="shared" si="15"/>
        <v>800</v>
      </c>
      <c r="P14" s="94">
        <f t="shared" si="15"/>
        <v>1100</v>
      </c>
      <c r="Q14" s="95">
        <f>SUM(E14:P14)</f>
        <v>10100</v>
      </c>
      <c r="R14" s="96">
        <f t="shared" si="7"/>
        <v>7600</v>
      </c>
      <c r="T14" s="91"/>
      <c r="U14" s="100"/>
      <c r="V14" s="92" t="str">
        <f t="shared" si="17"/>
        <v>MITSUBISHI SHOKUHIN</v>
      </c>
      <c r="W14" s="93" t="s">
        <v>92</v>
      </c>
      <c r="X14" s="94">
        <v>100</v>
      </c>
      <c r="Y14" s="94">
        <v>800</v>
      </c>
      <c r="Z14" s="94">
        <v>1000</v>
      </c>
      <c r="AA14" s="94">
        <v>500</v>
      </c>
      <c r="AB14" s="94">
        <v>700</v>
      </c>
      <c r="AC14" s="94">
        <v>800</v>
      </c>
      <c r="AD14" s="94">
        <v>1100</v>
      </c>
      <c r="AE14" s="94">
        <v>1600</v>
      </c>
      <c r="AF14" s="94">
        <v>1000</v>
      </c>
      <c r="AG14" s="94">
        <v>600</v>
      </c>
      <c r="AH14" s="94">
        <v>800</v>
      </c>
      <c r="AI14" s="94">
        <v>1100</v>
      </c>
      <c r="AJ14" s="95">
        <f>SUM(X14:AI14)</f>
        <v>10100</v>
      </c>
      <c r="AK14" s="96">
        <f t="shared" si="18"/>
        <v>7600</v>
      </c>
    </row>
    <row r="15" spans="1:38">
      <c r="A15" s="91"/>
      <c r="B15" s="100"/>
      <c r="C15" s="92" t="s">
        <v>105</v>
      </c>
      <c r="D15" s="101">
        <v>2020</v>
      </c>
      <c r="E15" s="102">
        <f>[2]Sheet4!BA5</f>
        <v>681.548</v>
      </c>
      <c r="F15" s="102">
        <f>[2]Sheet4!BB5</f>
        <v>1038.1889999999999</v>
      </c>
      <c r="G15" s="102">
        <f>[2]Sheet4!BC5</f>
        <v>1813.6049999999998</v>
      </c>
      <c r="H15" s="102">
        <f>[2]Sheet4!BD5</f>
        <v>0</v>
      </c>
      <c r="I15" s="102">
        <f>[2]Sheet4!BE5</f>
        <v>0</v>
      </c>
      <c r="J15" s="102">
        <f>[2]Sheet4!BF5</f>
        <v>0</v>
      </c>
      <c r="K15" s="102">
        <f>[2]Sheet4!BG5</f>
        <v>0</v>
      </c>
      <c r="L15" s="102">
        <f>[2]Sheet4!BH5</f>
        <v>0</v>
      </c>
      <c r="M15" s="102">
        <f>[2]Sheet4!BI5</f>
        <v>0</v>
      </c>
      <c r="N15" s="102">
        <f>[2]Sheet4!BJ5</f>
        <v>0</v>
      </c>
      <c r="O15" s="102">
        <f>[2]Sheet4!BK5</f>
        <v>0</v>
      </c>
      <c r="P15" s="102">
        <f>[2]Sheet4!BL5</f>
        <v>0</v>
      </c>
      <c r="Q15" s="103">
        <f>SUM(E15:P15)</f>
        <v>3533.3419999999996</v>
      </c>
      <c r="R15" s="104">
        <f t="shared" si="7"/>
        <v>3533.3419999999996</v>
      </c>
      <c r="S15" s="105"/>
      <c r="T15" s="91"/>
      <c r="U15" s="100"/>
      <c r="V15" s="92"/>
      <c r="W15" s="101">
        <v>2020</v>
      </c>
      <c r="X15" s="102">
        <f>E15-[2]Sheet4!BM5</f>
        <v>622.34</v>
      </c>
      <c r="Y15" s="102">
        <f>F15-[2]Sheet4!BN5</f>
        <v>1023.3929999999998</v>
      </c>
      <c r="Z15" s="102">
        <f>G15-[2]Sheet4!BO5</f>
        <v>1783.1129999999998</v>
      </c>
      <c r="AA15" s="102">
        <f>H15-[2]Sheet4!BP5</f>
        <v>0</v>
      </c>
      <c r="AB15" s="102">
        <f>I15-[2]Sheet4!BQ5</f>
        <v>0</v>
      </c>
      <c r="AC15" s="102">
        <f>J15-[2]Sheet4!BR5</f>
        <v>0</v>
      </c>
      <c r="AD15" s="102">
        <f>K15-[2]Sheet4!BS5</f>
        <v>0</v>
      </c>
      <c r="AE15" s="102">
        <f>L15-[2]Sheet4!BT5</f>
        <v>0</v>
      </c>
      <c r="AF15" s="102">
        <f>M15-[2]Sheet4!BU5</f>
        <v>0</v>
      </c>
      <c r="AG15" s="102">
        <f>N15-[2]Sheet4!BV5</f>
        <v>0</v>
      </c>
      <c r="AH15" s="102">
        <f>O15-[2]Sheet4!BW5</f>
        <v>0</v>
      </c>
      <c r="AI15" s="102">
        <f>P15-[2]Sheet4!BX5</f>
        <v>0</v>
      </c>
      <c r="AJ15" s="103">
        <f>SUM(X15:AI15)</f>
        <v>3428.8459999999995</v>
      </c>
      <c r="AK15" s="104">
        <f t="shared" si="18"/>
        <v>3428.8459999999995</v>
      </c>
      <c r="AL15" s="105"/>
    </row>
    <row r="16" spans="1:38">
      <c r="A16" s="91"/>
      <c r="B16" s="100"/>
      <c r="C16" s="92" t="s">
        <v>106</v>
      </c>
      <c r="D16" s="101" t="s">
        <v>102</v>
      </c>
      <c r="E16" s="106">
        <f>E15/E14</f>
        <v>6.81548</v>
      </c>
      <c r="F16" s="106">
        <f t="shared" ref="F16:R16" si="19">F15/F14</f>
        <v>1.2977362499999998</v>
      </c>
      <c r="G16" s="106">
        <f t="shared" si="19"/>
        <v>1.8136049999999997</v>
      </c>
      <c r="H16" s="106">
        <f t="shared" si="19"/>
        <v>0</v>
      </c>
      <c r="I16" s="106">
        <f t="shared" si="19"/>
        <v>0</v>
      </c>
      <c r="J16" s="106">
        <f t="shared" si="19"/>
        <v>0</v>
      </c>
      <c r="K16" s="106">
        <f t="shared" si="19"/>
        <v>0</v>
      </c>
      <c r="L16" s="106">
        <f t="shared" si="19"/>
        <v>0</v>
      </c>
      <c r="M16" s="107">
        <f t="shared" si="19"/>
        <v>0</v>
      </c>
      <c r="N16" s="107">
        <f t="shared" si="19"/>
        <v>0</v>
      </c>
      <c r="O16" s="107">
        <f t="shared" si="19"/>
        <v>0</v>
      </c>
      <c r="P16" s="108">
        <f t="shared" si="19"/>
        <v>0</v>
      </c>
      <c r="Q16" s="109">
        <f t="shared" si="19"/>
        <v>0.34983584158415837</v>
      </c>
      <c r="R16" s="110">
        <f t="shared" si="19"/>
        <v>0.46491342105263156</v>
      </c>
      <c r="S16" s="105"/>
      <c r="T16" s="91"/>
      <c r="U16" s="100"/>
      <c r="V16" s="92"/>
      <c r="W16" s="101" t="s">
        <v>102</v>
      </c>
      <c r="X16" s="106">
        <f>X15/X14</f>
        <v>6.2234000000000007</v>
      </c>
      <c r="Y16" s="106">
        <f t="shared" ref="Y16:AK16" si="20">Y15/Y14</f>
        <v>1.2792412499999997</v>
      </c>
      <c r="Z16" s="106">
        <f t="shared" si="20"/>
        <v>1.7831129999999997</v>
      </c>
      <c r="AA16" s="106">
        <f t="shared" si="20"/>
        <v>0</v>
      </c>
      <c r="AB16" s="106">
        <f t="shared" si="20"/>
        <v>0</v>
      </c>
      <c r="AC16" s="106">
        <f t="shared" si="20"/>
        <v>0</v>
      </c>
      <c r="AD16" s="106">
        <f t="shared" si="20"/>
        <v>0</v>
      </c>
      <c r="AE16" s="106">
        <f t="shared" si="20"/>
        <v>0</v>
      </c>
      <c r="AF16" s="107">
        <f t="shared" si="20"/>
        <v>0</v>
      </c>
      <c r="AG16" s="107">
        <f t="shared" si="20"/>
        <v>0</v>
      </c>
      <c r="AH16" s="107">
        <f t="shared" si="20"/>
        <v>0</v>
      </c>
      <c r="AI16" s="108">
        <f t="shared" si="20"/>
        <v>0</v>
      </c>
      <c r="AJ16" s="109">
        <f t="shared" si="20"/>
        <v>0.33948970297029696</v>
      </c>
      <c r="AK16" s="110">
        <f t="shared" si="20"/>
        <v>0.45116394736842097</v>
      </c>
      <c r="AL16" s="105"/>
    </row>
    <row r="17" spans="1:38">
      <c r="A17" s="91"/>
      <c r="B17" s="100"/>
      <c r="C17" s="111"/>
      <c r="D17" s="112" t="s">
        <v>103</v>
      </c>
      <c r="E17" s="113">
        <f>E15/E13</f>
        <v>6.6021001239925594</v>
      </c>
      <c r="F17" s="113">
        <f t="shared" ref="F17:R17" si="21">F15/F13</f>
        <v>1.409648222374295</v>
      </c>
      <c r="G17" s="113">
        <f t="shared" si="21"/>
        <v>1.7001298342152984</v>
      </c>
      <c r="H17" s="113">
        <f t="shared" si="21"/>
        <v>0</v>
      </c>
      <c r="I17" s="113">
        <f t="shared" si="21"/>
        <v>0</v>
      </c>
      <c r="J17" s="113">
        <f t="shared" si="21"/>
        <v>0</v>
      </c>
      <c r="K17" s="113">
        <f t="shared" si="21"/>
        <v>0</v>
      </c>
      <c r="L17" s="113">
        <f t="shared" si="21"/>
        <v>0</v>
      </c>
      <c r="M17" s="113">
        <f t="shared" si="21"/>
        <v>0</v>
      </c>
      <c r="N17" s="113">
        <f t="shared" si="21"/>
        <v>0</v>
      </c>
      <c r="O17" s="113">
        <f t="shared" si="21"/>
        <v>0</v>
      </c>
      <c r="P17" s="114">
        <f t="shared" si="21"/>
        <v>0</v>
      </c>
      <c r="Q17" s="115">
        <f t="shared" si="21"/>
        <v>0.36085547457093442</v>
      </c>
      <c r="R17" s="116">
        <f t="shared" si="21"/>
        <v>0.48032417996289084</v>
      </c>
      <c r="T17" s="91"/>
      <c r="U17" s="100"/>
      <c r="V17" s="111"/>
      <c r="W17" s="112" t="s">
        <v>103</v>
      </c>
      <c r="X17" s="113">
        <f>X15/X13</f>
        <v>6.028557036577805</v>
      </c>
      <c r="Y17" s="113">
        <f t="shared" ref="Y17:AK17" si="22">Y15/Y13</f>
        <v>1.3895582820086678</v>
      </c>
      <c r="Z17" s="113">
        <f t="shared" si="22"/>
        <v>1.6715456833638767</v>
      </c>
      <c r="AA17" s="113">
        <f t="shared" si="22"/>
        <v>0</v>
      </c>
      <c r="AB17" s="113">
        <f t="shared" si="22"/>
        <v>0</v>
      </c>
      <c r="AC17" s="113">
        <f t="shared" si="22"/>
        <v>0</v>
      </c>
      <c r="AD17" s="113">
        <f t="shared" si="22"/>
        <v>0</v>
      </c>
      <c r="AE17" s="113">
        <f t="shared" si="22"/>
        <v>0</v>
      </c>
      <c r="AF17" s="113">
        <f t="shared" si="22"/>
        <v>0</v>
      </c>
      <c r="AG17" s="113">
        <f t="shared" si="22"/>
        <v>0</v>
      </c>
      <c r="AH17" s="113">
        <f t="shared" si="22"/>
        <v>0</v>
      </c>
      <c r="AI17" s="114">
        <f t="shared" si="22"/>
        <v>0</v>
      </c>
      <c r="AJ17" s="115">
        <f t="shared" si="22"/>
        <v>0.35018343838797666</v>
      </c>
      <c r="AK17" s="116">
        <f t="shared" si="22"/>
        <v>0.46611894437873219</v>
      </c>
    </row>
    <row r="18" spans="1:38">
      <c r="A18" s="91"/>
      <c r="B18" s="100"/>
      <c r="C18" s="86"/>
      <c r="D18" s="87">
        <v>2019</v>
      </c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9">
        <f>SUM(E18:P18)</f>
        <v>0</v>
      </c>
      <c r="R18" s="90">
        <f t="shared" ref="R18" si="23">SUM(E18:M18)</f>
        <v>0</v>
      </c>
      <c r="T18" s="91"/>
      <c r="U18" s="100"/>
      <c r="V18" s="86">
        <f t="shared" ref="V18:V19" si="24">C18</f>
        <v>0</v>
      </c>
      <c r="W18" s="87">
        <v>2019</v>
      </c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9">
        <f>SUM(X18:AI18)</f>
        <v>0</v>
      </c>
      <c r="AK18" s="90">
        <f t="shared" ref="AK18:AK20" si="25">SUM(X18:AF18)</f>
        <v>0</v>
      </c>
    </row>
    <row r="19" spans="1:38">
      <c r="A19" s="91"/>
      <c r="B19" s="100"/>
      <c r="C19" s="92"/>
      <c r="D19" s="93" t="s">
        <v>92</v>
      </c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5">
        <f>SUM(E19:P19)</f>
        <v>0</v>
      </c>
      <c r="R19" s="96">
        <f t="shared" si="7"/>
        <v>0</v>
      </c>
      <c r="T19" s="91"/>
      <c r="U19" s="100"/>
      <c r="V19" s="92">
        <f t="shared" si="24"/>
        <v>0</v>
      </c>
      <c r="W19" s="93" t="s">
        <v>92</v>
      </c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5">
        <f>SUM(X19:AI19)</f>
        <v>0</v>
      </c>
      <c r="AK19" s="96">
        <f t="shared" si="25"/>
        <v>0</v>
      </c>
    </row>
    <row r="20" spans="1:38">
      <c r="A20" s="91"/>
      <c r="B20" s="100"/>
      <c r="C20" s="92"/>
      <c r="D20" s="101">
        <v>2020</v>
      </c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3">
        <f>SUM(E20:P20)</f>
        <v>0</v>
      </c>
      <c r="R20" s="104">
        <f t="shared" si="7"/>
        <v>0</v>
      </c>
      <c r="S20" s="105"/>
      <c r="T20" s="91"/>
      <c r="U20" s="100"/>
      <c r="V20" s="92"/>
      <c r="W20" s="101">
        <v>2020</v>
      </c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3">
        <f>SUM(X20:AI20)</f>
        <v>0</v>
      </c>
      <c r="AK20" s="104">
        <f t="shared" si="25"/>
        <v>0</v>
      </c>
      <c r="AL20" s="105"/>
    </row>
    <row r="21" spans="1:38">
      <c r="A21" s="91"/>
      <c r="B21" s="100"/>
      <c r="C21" s="92"/>
      <c r="D21" s="101" t="s">
        <v>102</v>
      </c>
      <c r="E21" s="106" t="e">
        <f>E20/E19</f>
        <v>#DIV/0!</v>
      </c>
      <c r="F21" s="106" t="e">
        <f t="shared" ref="F21:R21" si="26">F20/F19</f>
        <v>#DIV/0!</v>
      </c>
      <c r="G21" s="106" t="e">
        <f t="shared" si="26"/>
        <v>#DIV/0!</v>
      </c>
      <c r="H21" s="106" t="e">
        <f t="shared" si="26"/>
        <v>#DIV/0!</v>
      </c>
      <c r="I21" s="106" t="e">
        <f t="shared" si="26"/>
        <v>#DIV/0!</v>
      </c>
      <c r="J21" s="106" t="e">
        <f t="shared" si="26"/>
        <v>#DIV/0!</v>
      </c>
      <c r="K21" s="106" t="e">
        <f t="shared" si="26"/>
        <v>#DIV/0!</v>
      </c>
      <c r="L21" s="106" t="e">
        <f t="shared" si="26"/>
        <v>#DIV/0!</v>
      </c>
      <c r="M21" s="107" t="e">
        <f t="shared" si="26"/>
        <v>#DIV/0!</v>
      </c>
      <c r="N21" s="107" t="e">
        <f t="shared" si="26"/>
        <v>#DIV/0!</v>
      </c>
      <c r="O21" s="107" t="e">
        <f t="shared" si="26"/>
        <v>#DIV/0!</v>
      </c>
      <c r="P21" s="108" t="e">
        <f t="shared" si="26"/>
        <v>#DIV/0!</v>
      </c>
      <c r="Q21" s="109" t="e">
        <f t="shared" si="26"/>
        <v>#DIV/0!</v>
      </c>
      <c r="R21" s="110" t="e">
        <f t="shared" si="26"/>
        <v>#DIV/0!</v>
      </c>
      <c r="S21" s="105"/>
      <c r="T21" s="91"/>
      <c r="U21" s="100"/>
      <c r="V21" s="92"/>
      <c r="W21" s="101" t="s">
        <v>102</v>
      </c>
      <c r="X21" s="106" t="e">
        <f>X20/X19</f>
        <v>#DIV/0!</v>
      </c>
      <c r="Y21" s="106" t="e">
        <f t="shared" ref="Y21:AK21" si="27">Y20/Y19</f>
        <v>#DIV/0!</v>
      </c>
      <c r="Z21" s="106" t="e">
        <f t="shared" si="27"/>
        <v>#DIV/0!</v>
      </c>
      <c r="AA21" s="106" t="e">
        <f t="shared" si="27"/>
        <v>#DIV/0!</v>
      </c>
      <c r="AB21" s="106" t="e">
        <f t="shared" si="27"/>
        <v>#DIV/0!</v>
      </c>
      <c r="AC21" s="106" t="e">
        <f t="shared" si="27"/>
        <v>#DIV/0!</v>
      </c>
      <c r="AD21" s="106" t="e">
        <f t="shared" si="27"/>
        <v>#DIV/0!</v>
      </c>
      <c r="AE21" s="106" t="e">
        <f t="shared" si="27"/>
        <v>#DIV/0!</v>
      </c>
      <c r="AF21" s="107" t="e">
        <f t="shared" si="27"/>
        <v>#DIV/0!</v>
      </c>
      <c r="AG21" s="107" t="e">
        <f t="shared" si="27"/>
        <v>#DIV/0!</v>
      </c>
      <c r="AH21" s="107" t="e">
        <f t="shared" si="27"/>
        <v>#DIV/0!</v>
      </c>
      <c r="AI21" s="108" t="e">
        <f t="shared" si="27"/>
        <v>#DIV/0!</v>
      </c>
      <c r="AJ21" s="109" t="e">
        <f t="shared" si="27"/>
        <v>#DIV/0!</v>
      </c>
      <c r="AK21" s="110" t="e">
        <f t="shared" si="27"/>
        <v>#DIV/0!</v>
      </c>
      <c r="AL21" s="105"/>
    </row>
    <row r="22" spans="1:38">
      <c r="A22" s="91"/>
      <c r="B22" s="100"/>
      <c r="C22" s="111"/>
      <c r="D22" s="112" t="s">
        <v>103</v>
      </c>
      <c r="E22" s="113" t="e">
        <f>E20/E18</f>
        <v>#DIV/0!</v>
      </c>
      <c r="F22" s="113" t="e">
        <f t="shared" ref="F22:R22" si="28">F20/F18</f>
        <v>#DIV/0!</v>
      </c>
      <c r="G22" s="113" t="e">
        <f t="shared" si="28"/>
        <v>#DIV/0!</v>
      </c>
      <c r="H22" s="113" t="e">
        <f t="shared" si="28"/>
        <v>#DIV/0!</v>
      </c>
      <c r="I22" s="113" t="e">
        <f t="shared" si="28"/>
        <v>#DIV/0!</v>
      </c>
      <c r="J22" s="113" t="e">
        <f t="shared" si="28"/>
        <v>#DIV/0!</v>
      </c>
      <c r="K22" s="113" t="e">
        <f t="shared" si="28"/>
        <v>#DIV/0!</v>
      </c>
      <c r="L22" s="113" t="e">
        <f t="shared" si="28"/>
        <v>#DIV/0!</v>
      </c>
      <c r="M22" s="113" t="e">
        <f t="shared" si="28"/>
        <v>#DIV/0!</v>
      </c>
      <c r="N22" s="113" t="e">
        <f t="shared" si="28"/>
        <v>#DIV/0!</v>
      </c>
      <c r="O22" s="113" t="e">
        <f t="shared" si="28"/>
        <v>#DIV/0!</v>
      </c>
      <c r="P22" s="114" t="e">
        <f t="shared" si="28"/>
        <v>#DIV/0!</v>
      </c>
      <c r="Q22" s="115" t="e">
        <f t="shared" si="28"/>
        <v>#DIV/0!</v>
      </c>
      <c r="R22" s="116" t="e">
        <f t="shared" si="28"/>
        <v>#DIV/0!</v>
      </c>
      <c r="T22" s="91"/>
      <c r="U22" s="100"/>
      <c r="V22" s="111"/>
      <c r="W22" s="112" t="s">
        <v>103</v>
      </c>
      <c r="X22" s="113" t="e">
        <f>X20/X18</f>
        <v>#DIV/0!</v>
      </c>
      <c r="Y22" s="113" t="e">
        <f t="shared" ref="Y22:AK22" si="29">Y20/Y18</f>
        <v>#DIV/0!</v>
      </c>
      <c r="Z22" s="113" t="e">
        <f t="shared" si="29"/>
        <v>#DIV/0!</v>
      </c>
      <c r="AA22" s="113" t="e">
        <f t="shared" si="29"/>
        <v>#DIV/0!</v>
      </c>
      <c r="AB22" s="113" t="e">
        <f t="shared" si="29"/>
        <v>#DIV/0!</v>
      </c>
      <c r="AC22" s="113" t="e">
        <f t="shared" si="29"/>
        <v>#DIV/0!</v>
      </c>
      <c r="AD22" s="113" t="e">
        <f t="shared" si="29"/>
        <v>#DIV/0!</v>
      </c>
      <c r="AE22" s="113" t="e">
        <f t="shared" si="29"/>
        <v>#DIV/0!</v>
      </c>
      <c r="AF22" s="113" t="e">
        <f t="shared" si="29"/>
        <v>#DIV/0!</v>
      </c>
      <c r="AG22" s="113" t="e">
        <f t="shared" si="29"/>
        <v>#DIV/0!</v>
      </c>
      <c r="AH22" s="113" t="e">
        <f t="shared" si="29"/>
        <v>#DIV/0!</v>
      </c>
      <c r="AI22" s="114" t="e">
        <f t="shared" si="29"/>
        <v>#DIV/0!</v>
      </c>
      <c r="AJ22" s="115" t="e">
        <f t="shared" si="29"/>
        <v>#DIV/0!</v>
      </c>
      <c r="AK22" s="116" t="e">
        <f t="shared" si="29"/>
        <v>#DIV/0!</v>
      </c>
    </row>
    <row r="23" spans="1:38">
      <c r="A23" s="91"/>
      <c r="B23" s="100"/>
      <c r="C23" s="117" t="s">
        <v>98</v>
      </c>
      <c r="D23" s="87">
        <v>2019</v>
      </c>
      <c r="E23" s="88">
        <v>477.59600000000017</v>
      </c>
      <c r="F23" s="88">
        <v>684.62800000000004</v>
      </c>
      <c r="G23" s="88">
        <v>1063.4439999999995</v>
      </c>
      <c r="H23" s="88">
        <v>1783.2880000000007</v>
      </c>
      <c r="I23" s="88">
        <v>789.85200000000009</v>
      </c>
      <c r="J23" s="88">
        <v>630.59999999999991</v>
      </c>
      <c r="K23" s="88">
        <v>1032.9199999999996</v>
      </c>
      <c r="L23" s="88">
        <v>967.29599999999982</v>
      </c>
      <c r="M23" s="88">
        <v>875.33999999999958</v>
      </c>
      <c r="N23" s="88">
        <v>876.5999999999998</v>
      </c>
      <c r="O23" s="88">
        <v>887.61600000000033</v>
      </c>
      <c r="P23" s="88">
        <v>1209.1760000000002</v>
      </c>
      <c r="Q23" s="89">
        <f>SUM(E23:P23)</f>
        <v>11278.356</v>
      </c>
      <c r="R23" s="90">
        <f t="shared" ref="R23" si="30">SUM(E23:M23)</f>
        <v>8304.9639999999999</v>
      </c>
      <c r="T23" s="91"/>
      <c r="U23" s="100"/>
      <c r="V23" s="86" t="str">
        <f t="shared" ref="V23:V24" si="31">C23</f>
        <v>三菱食品</v>
      </c>
      <c r="W23" s="87">
        <v>2019</v>
      </c>
      <c r="X23" s="88">
        <v>477.59600000000017</v>
      </c>
      <c r="Y23" s="88">
        <v>684.62800000000004</v>
      </c>
      <c r="Z23" s="88">
        <v>1063.4439999999995</v>
      </c>
      <c r="AA23" s="88">
        <v>1783.2880000000007</v>
      </c>
      <c r="AB23" s="88">
        <v>789.85200000000009</v>
      </c>
      <c r="AC23" s="88">
        <v>630.59999999999991</v>
      </c>
      <c r="AD23" s="88">
        <v>1032.9199999999996</v>
      </c>
      <c r="AE23" s="88">
        <v>967.29599999999982</v>
      </c>
      <c r="AF23" s="88">
        <v>875.33999999999958</v>
      </c>
      <c r="AG23" s="88">
        <v>876.5999999999998</v>
      </c>
      <c r="AH23" s="88">
        <v>887.61600000000033</v>
      </c>
      <c r="AI23" s="88">
        <v>1209.1760000000002</v>
      </c>
      <c r="AJ23" s="89">
        <f>SUM(X23:AI23)</f>
        <v>11278.356</v>
      </c>
      <c r="AK23" s="90">
        <f t="shared" ref="AK23:AK25" si="32">SUM(X23:AF23)</f>
        <v>8304.9639999999999</v>
      </c>
    </row>
    <row r="24" spans="1:38">
      <c r="A24" s="91"/>
      <c r="B24" s="100"/>
      <c r="C24" s="118" t="s">
        <v>99</v>
      </c>
      <c r="D24" s="93" t="s">
        <v>92</v>
      </c>
      <c r="E24" s="94">
        <v>500</v>
      </c>
      <c r="F24" s="94">
        <v>850</v>
      </c>
      <c r="G24" s="94">
        <v>1300</v>
      </c>
      <c r="H24" s="94">
        <v>1700</v>
      </c>
      <c r="I24" s="94">
        <v>900</v>
      </c>
      <c r="J24" s="94">
        <v>950</v>
      </c>
      <c r="K24" s="94">
        <v>1400</v>
      </c>
      <c r="L24" s="94">
        <v>1300</v>
      </c>
      <c r="M24" s="94">
        <v>1200</v>
      </c>
      <c r="N24" s="94">
        <v>1100</v>
      </c>
      <c r="O24" s="94">
        <v>1100</v>
      </c>
      <c r="P24" s="94">
        <v>1300</v>
      </c>
      <c r="Q24" s="95">
        <f>SUM(E24:P24)</f>
        <v>13600</v>
      </c>
      <c r="R24" s="96">
        <f t="shared" si="7"/>
        <v>10100</v>
      </c>
      <c r="T24" s="91"/>
      <c r="U24" s="100"/>
      <c r="V24" s="92" t="str">
        <f t="shared" si="31"/>
        <v>MITSUBISHI SHOKUHIN</v>
      </c>
      <c r="W24" s="93" t="s">
        <v>92</v>
      </c>
      <c r="X24" s="94">
        <f>E24</f>
        <v>500</v>
      </c>
      <c r="Y24" s="94">
        <f t="shared" ref="Y24:AI24" si="33">F24</f>
        <v>850</v>
      </c>
      <c r="Z24" s="94">
        <f t="shared" si="33"/>
        <v>1300</v>
      </c>
      <c r="AA24" s="94">
        <f t="shared" si="33"/>
        <v>1700</v>
      </c>
      <c r="AB24" s="94">
        <f t="shared" si="33"/>
        <v>900</v>
      </c>
      <c r="AC24" s="94">
        <f t="shared" si="33"/>
        <v>950</v>
      </c>
      <c r="AD24" s="94">
        <f t="shared" si="33"/>
        <v>1400</v>
      </c>
      <c r="AE24" s="94">
        <f t="shared" si="33"/>
        <v>1300</v>
      </c>
      <c r="AF24" s="94">
        <f t="shared" si="33"/>
        <v>1200</v>
      </c>
      <c r="AG24" s="94">
        <f t="shared" si="33"/>
        <v>1100</v>
      </c>
      <c r="AH24" s="94">
        <f t="shared" si="33"/>
        <v>1100</v>
      </c>
      <c r="AI24" s="94">
        <f t="shared" si="33"/>
        <v>1300</v>
      </c>
      <c r="AJ24" s="95">
        <f>SUM(X24:AI24)</f>
        <v>13600</v>
      </c>
      <c r="AK24" s="96">
        <f t="shared" si="32"/>
        <v>10100</v>
      </c>
    </row>
    <row r="25" spans="1:38">
      <c r="A25" s="91"/>
      <c r="B25" s="100"/>
      <c r="C25" s="118" t="s">
        <v>107</v>
      </c>
      <c r="D25" s="101">
        <v>2020</v>
      </c>
      <c r="E25" s="102">
        <f>[2]Sheet4!BA7</f>
        <v>1391.115</v>
      </c>
      <c r="F25" s="102">
        <f>[2]Sheet4!BB7</f>
        <v>1083.954</v>
      </c>
      <c r="G25" s="102">
        <f>[2]Sheet4!BC7</f>
        <v>1522.423</v>
      </c>
      <c r="H25" s="102">
        <f>[2]Sheet4!BD7</f>
        <v>0</v>
      </c>
      <c r="I25" s="102">
        <f>[2]Sheet4!BE7</f>
        <v>0</v>
      </c>
      <c r="J25" s="102">
        <f>[2]Sheet4!BF7</f>
        <v>0</v>
      </c>
      <c r="K25" s="102">
        <f>[2]Sheet4!BG7</f>
        <v>0</v>
      </c>
      <c r="L25" s="102">
        <f>[2]Sheet4!BH7</f>
        <v>0</v>
      </c>
      <c r="M25" s="102">
        <f>[2]Sheet4!BI7</f>
        <v>0</v>
      </c>
      <c r="N25" s="102">
        <f>[2]Sheet4!BJ7</f>
        <v>0</v>
      </c>
      <c r="O25" s="102">
        <f>[2]Sheet4!BK7</f>
        <v>0</v>
      </c>
      <c r="P25" s="102">
        <f>[2]Sheet4!BL7</f>
        <v>0</v>
      </c>
      <c r="Q25" s="103">
        <f>SUM(E25:P25)</f>
        <v>3997.4920000000002</v>
      </c>
      <c r="R25" s="104">
        <f t="shared" si="7"/>
        <v>3997.4920000000002</v>
      </c>
      <c r="S25" s="105"/>
      <c r="T25" s="91"/>
      <c r="U25" s="100"/>
      <c r="V25" s="92" t="s">
        <v>107</v>
      </c>
      <c r="W25" s="101">
        <v>2020</v>
      </c>
      <c r="X25" s="102">
        <f>E25-[2]Sheet4!BM7</f>
        <v>1336.635</v>
      </c>
      <c r="Y25" s="102">
        <f>F25-[2]Sheet4!BN7</f>
        <v>1044.114</v>
      </c>
      <c r="Z25" s="102">
        <f>G25-[2]Sheet4!BO7</f>
        <v>1445.143</v>
      </c>
      <c r="AA25" s="102">
        <f>H25-[2]Sheet4!BP7</f>
        <v>0</v>
      </c>
      <c r="AB25" s="102">
        <f>I25-[2]Sheet4!BQ7</f>
        <v>0</v>
      </c>
      <c r="AC25" s="102">
        <f>J25-[2]Sheet4!BR7</f>
        <v>0</v>
      </c>
      <c r="AD25" s="102">
        <f>K25-[2]Sheet4!BS7</f>
        <v>0</v>
      </c>
      <c r="AE25" s="102">
        <f>L25-[2]Sheet4!BT7</f>
        <v>0</v>
      </c>
      <c r="AF25" s="102">
        <f>M25-[2]Sheet4!BU7</f>
        <v>0</v>
      </c>
      <c r="AG25" s="102">
        <f>N25-[2]Sheet4!BV7</f>
        <v>0</v>
      </c>
      <c r="AH25" s="102">
        <f>O25-[2]Sheet4!BW7</f>
        <v>0</v>
      </c>
      <c r="AI25" s="102">
        <f>P25-[2]Sheet4!BX7</f>
        <v>0</v>
      </c>
      <c r="AJ25" s="103">
        <f>SUM(X25:AI25)</f>
        <v>3825.8919999999998</v>
      </c>
      <c r="AK25" s="104">
        <f t="shared" si="32"/>
        <v>3825.8919999999998</v>
      </c>
      <c r="AL25" s="105"/>
    </row>
    <row r="26" spans="1:38">
      <c r="A26" s="91"/>
      <c r="B26" s="100"/>
      <c r="C26" s="118" t="s">
        <v>108</v>
      </c>
      <c r="D26" s="101" t="s">
        <v>102</v>
      </c>
      <c r="E26" s="106">
        <f>E25/E24</f>
        <v>2.7822300000000002</v>
      </c>
      <c r="F26" s="106">
        <f t="shared" ref="F26:R26" si="34">F25/F24</f>
        <v>1.2752399999999999</v>
      </c>
      <c r="G26" s="106">
        <f t="shared" si="34"/>
        <v>1.1710946153846153</v>
      </c>
      <c r="H26" s="106">
        <f t="shared" si="34"/>
        <v>0</v>
      </c>
      <c r="I26" s="106">
        <f t="shared" si="34"/>
        <v>0</v>
      </c>
      <c r="J26" s="106">
        <f t="shared" si="34"/>
        <v>0</v>
      </c>
      <c r="K26" s="106">
        <f t="shared" si="34"/>
        <v>0</v>
      </c>
      <c r="L26" s="106">
        <f t="shared" si="34"/>
        <v>0</v>
      </c>
      <c r="M26" s="107">
        <f t="shared" si="34"/>
        <v>0</v>
      </c>
      <c r="N26" s="107">
        <f t="shared" si="34"/>
        <v>0</v>
      </c>
      <c r="O26" s="107">
        <f t="shared" si="34"/>
        <v>0</v>
      </c>
      <c r="P26" s="108">
        <f t="shared" si="34"/>
        <v>0</v>
      </c>
      <c r="Q26" s="109">
        <f t="shared" si="34"/>
        <v>0.29393323529411763</v>
      </c>
      <c r="R26" s="110">
        <f t="shared" si="34"/>
        <v>0.39579128712871287</v>
      </c>
      <c r="S26" s="105"/>
      <c r="T26" s="91"/>
      <c r="U26" s="100"/>
      <c r="V26" s="92" t="s">
        <v>108</v>
      </c>
      <c r="W26" s="101" t="s">
        <v>102</v>
      </c>
      <c r="X26" s="106">
        <f>X25/X24</f>
        <v>2.67327</v>
      </c>
      <c r="Y26" s="106">
        <f t="shared" ref="Y26:AK26" si="35">Y25/Y24</f>
        <v>1.2283694117647059</v>
      </c>
      <c r="Z26" s="106">
        <f t="shared" si="35"/>
        <v>1.1116484615384616</v>
      </c>
      <c r="AA26" s="106">
        <f t="shared" si="35"/>
        <v>0</v>
      </c>
      <c r="AB26" s="106">
        <f t="shared" si="35"/>
        <v>0</v>
      </c>
      <c r="AC26" s="106">
        <f t="shared" si="35"/>
        <v>0</v>
      </c>
      <c r="AD26" s="106">
        <f t="shared" si="35"/>
        <v>0</v>
      </c>
      <c r="AE26" s="106">
        <f t="shared" si="35"/>
        <v>0</v>
      </c>
      <c r="AF26" s="107">
        <f t="shared" si="35"/>
        <v>0</v>
      </c>
      <c r="AG26" s="107">
        <f t="shared" si="35"/>
        <v>0</v>
      </c>
      <c r="AH26" s="107">
        <f t="shared" si="35"/>
        <v>0</v>
      </c>
      <c r="AI26" s="108">
        <f t="shared" si="35"/>
        <v>0</v>
      </c>
      <c r="AJ26" s="109">
        <f t="shared" si="35"/>
        <v>0.28131558823529412</v>
      </c>
      <c r="AK26" s="110">
        <f t="shared" si="35"/>
        <v>0.37880118811881186</v>
      </c>
      <c r="AL26" s="105"/>
    </row>
    <row r="27" spans="1:38">
      <c r="A27" s="91"/>
      <c r="B27" s="100"/>
      <c r="C27" s="119">
        <v>3.84090113336484E+16</v>
      </c>
      <c r="D27" s="112" t="s">
        <v>103</v>
      </c>
      <c r="E27" s="113">
        <f>E25/E23</f>
        <v>2.9127442440891453</v>
      </c>
      <c r="F27" s="113">
        <f t="shared" ref="F27:R27" si="36">F25/F23</f>
        <v>1.583274420561239</v>
      </c>
      <c r="G27" s="113">
        <f t="shared" si="36"/>
        <v>1.4315967742542162</v>
      </c>
      <c r="H27" s="113">
        <f t="shared" si="36"/>
        <v>0</v>
      </c>
      <c r="I27" s="113">
        <f t="shared" si="36"/>
        <v>0</v>
      </c>
      <c r="J27" s="113">
        <f t="shared" si="36"/>
        <v>0</v>
      </c>
      <c r="K27" s="113">
        <f t="shared" si="36"/>
        <v>0</v>
      </c>
      <c r="L27" s="113">
        <f t="shared" si="36"/>
        <v>0</v>
      </c>
      <c r="M27" s="113">
        <f t="shared" si="36"/>
        <v>0</v>
      </c>
      <c r="N27" s="113">
        <f t="shared" si="36"/>
        <v>0</v>
      </c>
      <c r="O27" s="113">
        <f t="shared" si="36"/>
        <v>0</v>
      </c>
      <c r="P27" s="114">
        <f t="shared" si="36"/>
        <v>0</v>
      </c>
      <c r="Q27" s="115">
        <f t="shared" si="36"/>
        <v>0.35443924628731355</v>
      </c>
      <c r="R27" s="116">
        <f t="shared" si="36"/>
        <v>0.48133766744804674</v>
      </c>
      <c r="T27" s="91"/>
      <c r="U27" s="100"/>
      <c r="V27" s="111">
        <v>3.84090113336484E+16</v>
      </c>
      <c r="W27" s="112" t="s">
        <v>103</v>
      </c>
      <c r="X27" s="113">
        <f>X25/X23</f>
        <v>2.79867293695927</v>
      </c>
      <c r="Y27" s="113">
        <f t="shared" ref="Y27:AK27" si="37">Y25/Y23</f>
        <v>1.5250822344397248</v>
      </c>
      <c r="Z27" s="113">
        <f t="shared" si="37"/>
        <v>1.3589272213675574</v>
      </c>
      <c r="AA27" s="113">
        <f t="shared" si="37"/>
        <v>0</v>
      </c>
      <c r="AB27" s="113">
        <f t="shared" si="37"/>
        <v>0</v>
      </c>
      <c r="AC27" s="113">
        <f t="shared" si="37"/>
        <v>0</v>
      </c>
      <c r="AD27" s="113">
        <f t="shared" si="37"/>
        <v>0</v>
      </c>
      <c r="AE27" s="113">
        <f t="shared" si="37"/>
        <v>0</v>
      </c>
      <c r="AF27" s="113">
        <f t="shared" si="37"/>
        <v>0</v>
      </c>
      <c r="AG27" s="113">
        <f t="shared" si="37"/>
        <v>0</v>
      </c>
      <c r="AH27" s="113">
        <f t="shared" si="37"/>
        <v>0</v>
      </c>
      <c r="AI27" s="114">
        <f t="shared" si="37"/>
        <v>0</v>
      </c>
      <c r="AJ27" s="115">
        <f t="shared" si="37"/>
        <v>0.33922426282695811</v>
      </c>
      <c r="AK27" s="116">
        <f t="shared" si="37"/>
        <v>0.46067532622657964</v>
      </c>
    </row>
    <row r="28" spans="1:38">
      <c r="A28" s="91"/>
      <c r="B28" s="100"/>
      <c r="C28" s="86" t="s">
        <v>98</v>
      </c>
      <c r="D28" s="87">
        <v>2019</v>
      </c>
      <c r="E28" s="88">
        <f>X28</f>
        <v>-7.5080000000000027</v>
      </c>
      <c r="F28" s="88">
        <f t="shared" ref="F28:P29" si="38">Y28</f>
        <v>214.45099999999999</v>
      </c>
      <c r="G28" s="88">
        <f t="shared" si="38"/>
        <v>307.77900000000005</v>
      </c>
      <c r="H28" s="88">
        <f t="shared" si="38"/>
        <v>210.35900000000001</v>
      </c>
      <c r="I28" s="88">
        <f t="shared" si="38"/>
        <v>94.558999999999969</v>
      </c>
      <c r="J28" s="88">
        <f t="shared" si="38"/>
        <v>243.93099999999998</v>
      </c>
      <c r="K28" s="88">
        <f t="shared" si="38"/>
        <v>127.22799999999999</v>
      </c>
      <c r="L28" s="88">
        <f t="shared" si="38"/>
        <v>200.95900000000003</v>
      </c>
      <c r="M28" s="88">
        <f t="shared" si="38"/>
        <v>210.95699999999999</v>
      </c>
      <c r="N28" s="88">
        <f t="shared" si="38"/>
        <v>-2.1329999999999814</v>
      </c>
      <c r="O28" s="88">
        <f t="shared" si="38"/>
        <v>322.952</v>
      </c>
      <c r="P28" s="88">
        <f t="shared" si="38"/>
        <v>289.66099999999994</v>
      </c>
      <c r="Q28" s="89">
        <f t="shared" ref="Q28:Q30" si="39">SUM(E28:P28)</f>
        <v>2213.1950000000002</v>
      </c>
      <c r="R28" s="90">
        <f t="shared" ref="R28" si="40">SUM(E28:M28)</f>
        <v>1602.7150000000001</v>
      </c>
      <c r="T28" s="91"/>
      <c r="U28" s="100"/>
      <c r="V28" s="86" t="str">
        <f t="shared" ref="V28:V29" si="41">C28</f>
        <v>三菱食品</v>
      </c>
      <c r="W28" s="87">
        <v>2019</v>
      </c>
      <c r="X28" s="88">
        <f>[1]Sheet4!D8</f>
        <v>-7.5080000000000027</v>
      </c>
      <c r="Y28" s="88">
        <f>[1]Sheet4!E8</f>
        <v>214.45099999999999</v>
      </c>
      <c r="Z28" s="88">
        <f>[1]Sheet4!F8</f>
        <v>307.77900000000005</v>
      </c>
      <c r="AA28" s="88">
        <f>[1]Sheet4!G8</f>
        <v>210.35900000000001</v>
      </c>
      <c r="AB28" s="88">
        <f>[1]Sheet4!H8</f>
        <v>94.558999999999969</v>
      </c>
      <c r="AC28" s="88">
        <f>[1]Sheet4!I8</f>
        <v>243.93099999999998</v>
      </c>
      <c r="AD28" s="88">
        <f>[1]Sheet4!J8</f>
        <v>127.22799999999999</v>
      </c>
      <c r="AE28" s="88">
        <f>[1]Sheet4!K8</f>
        <v>200.95900000000003</v>
      </c>
      <c r="AF28" s="88">
        <f>[1]Sheet4!L8</f>
        <v>210.95699999999999</v>
      </c>
      <c r="AG28" s="88">
        <f>[1]Sheet4!M8</f>
        <v>-2.1329999999999814</v>
      </c>
      <c r="AH28" s="88">
        <f>[1]Sheet4!N8</f>
        <v>322.952</v>
      </c>
      <c r="AI28" s="88">
        <f>[1]Sheet4!O8</f>
        <v>289.66099999999994</v>
      </c>
      <c r="AJ28" s="89">
        <f t="shared" ref="AJ28:AJ30" si="42">SUM(X28:AI28)</f>
        <v>2213.1950000000002</v>
      </c>
      <c r="AK28" s="90">
        <f t="shared" ref="AK28:AK30" si="43">SUM(X28:AF28)</f>
        <v>1602.7150000000001</v>
      </c>
    </row>
    <row r="29" spans="1:38">
      <c r="A29" s="91"/>
      <c r="B29" s="100"/>
      <c r="C29" s="92" t="s">
        <v>99</v>
      </c>
      <c r="D29" s="93" t="s">
        <v>92</v>
      </c>
      <c r="E29" s="94">
        <f>X29</f>
        <v>150</v>
      </c>
      <c r="F29" s="94">
        <f t="shared" si="38"/>
        <v>200</v>
      </c>
      <c r="G29" s="94">
        <f t="shared" si="38"/>
        <v>300</v>
      </c>
      <c r="H29" s="94">
        <f t="shared" si="38"/>
        <v>300</v>
      </c>
      <c r="I29" s="94">
        <f t="shared" si="38"/>
        <v>200</v>
      </c>
      <c r="J29" s="94">
        <f t="shared" si="38"/>
        <v>300</v>
      </c>
      <c r="K29" s="94">
        <f t="shared" si="38"/>
        <v>200</v>
      </c>
      <c r="L29" s="94">
        <f t="shared" si="38"/>
        <v>300</v>
      </c>
      <c r="M29" s="94">
        <f t="shared" si="38"/>
        <v>300</v>
      </c>
      <c r="N29" s="94">
        <f t="shared" si="38"/>
        <v>300</v>
      </c>
      <c r="O29" s="94">
        <f t="shared" si="38"/>
        <v>400</v>
      </c>
      <c r="P29" s="94">
        <f t="shared" si="38"/>
        <v>300</v>
      </c>
      <c r="Q29" s="95">
        <f t="shared" si="39"/>
        <v>3250</v>
      </c>
      <c r="R29" s="96">
        <f t="shared" si="7"/>
        <v>2250</v>
      </c>
      <c r="T29" s="91"/>
      <c r="U29" s="100"/>
      <c r="V29" s="92" t="str">
        <f t="shared" si="41"/>
        <v>MITSUBISHI SHOKUHIN</v>
      </c>
      <c r="W29" s="93" t="s">
        <v>92</v>
      </c>
      <c r="X29" s="94">
        <v>150</v>
      </c>
      <c r="Y29" s="94">
        <v>200</v>
      </c>
      <c r="Z29" s="94">
        <v>300</v>
      </c>
      <c r="AA29" s="94">
        <v>300</v>
      </c>
      <c r="AB29" s="94">
        <v>200</v>
      </c>
      <c r="AC29" s="94">
        <v>300</v>
      </c>
      <c r="AD29" s="94">
        <v>200</v>
      </c>
      <c r="AE29" s="94">
        <v>300</v>
      </c>
      <c r="AF29" s="94">
        <v>300</v>
      </c>
      <c r="AG29" s="94">
        <v>300</v>
      </c>
      <c r="AH29" s="94">
        <v>400</v>
      </c>
      <c r="AI29" s="94">
        <v>300</v>
      </c>
      <c r="AJ29" s="95">
        <f t="shared" si="42"/>
        <v>3250</v>
      </c>
      <c r="AK29" s="96">
        <f t="shared" si="43"/>
        <v>2250</v>
      </c>
    </row>
    <row r="30" spans="1:38">
      <c r="A30" s="91"/>
      <c r="B30" s="100"/>
      <c r="C30" s="92"/>
      <c r="D30" s="101">
        <v>2020</v>
      </c>
      <c r="E30" s="102">
        <f>[2]Sheet4!BA8</f>
        <v>142.45300000000003</v>
      </c>
      <c r="F30" s="102">
        <f>[2]Sheet4!BB8</f>
        <v>213.20400000000001</v>
      </c>
      <c r="G30" s="102">
        <f>[2]Sheet4!BC8</f>
        <v>251.66200000000009</v>
      </c>
      <c r="H30" s="102">
        <f>[2]Sheet4!BD8</f>
        <v>0</v>
      </c>
      <c r="I30" s="102">
        <f>[2]Sheet4!BE8</f>
        <v>0</v>
      </c>
      <c r="J30" s="102">
        <f>[2]Sheet4!BF8</f>
        <v>0</v>
      </c>
      <c r="K30" s="102">
        <f>[2]Sheet4!BG8</f>
        <v>0</v>
      </c>
      <c r="L30" s="102">
        <f>[2]Sheet4!BH8</f>
        <v>0</v>
      </c>
      <c r="M30" s="102">
        <f>[2]Sheet4!BI8</f>
        <v>0</v>
      </c>
      <c r="N30" s="102">
        <f>[2]Sheet4!BJ8</f>
        <v>0</v>
      </c>
      <c r="O30" s="102">
        <f>[2]Sheet4!BK8</f>
        <v>0</v>
      </c>
      <c r="P30" s="102">
        <f>[2]Sheet4!BL8</f>
        <v>0</v>
      </c>
      <c r="Q30" s="103">
        <f t="shared" si="39"/>
        <v>607.31900000000019</v>
      </c>
      <c r="R30" s="104">
        <f t="shared" si="7"/>
        <v>607.31900000000019</v>
      </c>
      <c r="S30" s="105"/>
      <c r="T30" s="91"/>
      <c r="U30" s="100"/>
      <c r="V30" s="92"/>
      <c r="W30" s="101">
        <v>2020</v>
      </c>
      <c r="X30" s="102">
        <f>E30-[2]Sheet4!BM8</f>
        <v>142.45300000000003</v>
      </c>
      <c r="Y30" s="102">
        <f>F30-[2]Sheet4!BN8</f>
        <v>213.20400000000001</v>
      </c>
      <c r="Z30" s="102">
        <f>G30-[2]Sheet4!BO8</f>
        <v>242.8780000000001</v>
      </c>
      <c r="AA30" s="102">
        <f>H30-[2]Sheet4!BP8</f>
        <v>0</v>
      </c>
      <c r="AB30" s="102">
        <f>I30-[2]Sheet4!BQ8</f>
        <v>0</v>
      </c>
      <c r="AC30" s="102">
        <f>J30-[2]Sheet4!BR8</f>
        <v>0</v>
      </c>
      <c r="AD30" s="102">
        <f>K30-[2]Sheet4!BS8</f>
        <v>0</v>
      </c>
      <c r="AE30" s="102">
        <f>L30-[2]Sheet4!BT8</f>
        <v>0</v>
      </c>
      <c r="AF30" s="102">
        <f>M30-[2]Sheet4!BU8</f>
        <v>0</v>
      </c>
      <c r="AG30" s="102">
        <f>N30-[2]Sheet4!BV8</f>
        <v>0</v>
      </c>
      <c r="AH30" s="102">
        <f>O30-[2]Sheet4!BW8</f>
        <v>0</v>
      </c>
      <c r="AI30" s="102">
        <f>P30-[2]Sheet4!BX8</f>
        <v>0</v>
      </c>
      <c r="AJ30" s="103">
        <f t="shared" si="42"/>
        <v>598.53500000000008</v>
      </c>
      <c r="AK30" s="104">
        <f t="shared" si="43"/>
        <v>598.53500000000008</v>
      </c>
      <c r="AL30" s="105"/>
    </row>
    <row r="31" spans="1:38">
      <c r="A31" s="91"/>
      <c r="B31" s="100"/>
      <c r="C31" s="92" t="s">
        <v>109</v>
      </c>
      <c r="D31" s="101" t="s">
        <v>102</v>
      </c>
      <c r="E31" s="106">
        <f t="shared" ref="E31:R31" si="44">E30/E29</f>
        <v>0.9496866666666669</v>
      </c>
      <c r="F31" s="106">
        <f t="shared" si="44"/>
        <v>1.06602</v>
      </c>
      <c r="G31" s="106">
        <f t="shared" si="44"/>
        <v>0.83887333333333369</v>
      </c>
      <c r="H31" s="106">
        <f t="shared" si="44"/>
        <v>0</v>
      </c>
      <c r="I31" s="106">
        <f t="shared" si="44"/>
        <v>0</v>
      </c>
      <c r="J31" s="106">
        <f t="shared" si="44"/>
        <v>0</v>
      </c>
      <c r="K31" s="106">
        <f t="shared" si="44"/>
        <v>0</v>
      </c>
      <c r="L31" s="106">
        <f t="shared" si="44"/>
        <v>0</v>
      </c>
      <c r="M31" s="107">
        <f t="shared" si="44"/>
        <v>0</v>
      </c>
      <c r="N31" s="107">
        <f t="shared" si="44"/>
        <v>0</v>
      </c>
      <c r="O31" s="107">
        <f t="shared" si="44"/>
        <v>0</v>
      </c>
      <c r="P31" s="108">
        <f t="shared" si="44"/>
        <v>0</v>
      </c>
      <c r="Q31" s="109">
        <f t="shared" si="44"/>
        <v>0.18686738461538469</v>
      </c>
      <c r="R31" s="110">
        <f t="shared" si="44"/>
        <v>0.26991955555555563</v>
      </c>
      <c r="S31" s="105"/>
      <c r="T31" s="91"/>
      <c r="U31" s="100"/>
      <c r="V31" s="92"/>
      <c r="W31" s="101" t="s">
        <v>102</v>
      </c>
      <c r="X31" s="106">
        <f t="shared" ref="X31:AK31" si="45">X30/X29</f>
        <v>0.9496866666666669</v>
      </c>
      <c r="Y31" s="106">
        <f t="shared" si="45"/>
        <v>1.06602</v>
      </c>
      <c r="Z31" s="106">
        <f t="shared" si="45"/>
        <v>0.80959333333333372</v>
      </c>
      <c r="AA31" s="106">
        <f t="shared" si="45"/>
        <v>0</v>
      </c>
      <c r="AB31" s="106">
        <f t="shared" si="45"/>
        <v>0</v>
      </c>
      <c r="AC31" s="106">
        <f t="shared" si="45"/>
        <v>0</v>
      </c>
      <c r="AD31" s="106">
        <f t="shared" si="45"/>
        <v>0</v>
      </c>
      <c r="AE31" s="106">
        <f t="shared" si="45"/>
        <v>0</v>
      </c>
      <c r="AF31" s="107">
        <f t="shared" si="45"/>
        <v>0</v>
      </c>
      <c r="AG31" s="107">
        <f t="shared" si="45"/>
        <v>0</v>
      </c>
      <c r="AH31" s="107">
        <f t="shared" si="45"/>
        <v>0</v>
      </c>
      <c r="AI31" s="108">
        <f t="shared" si="45"/>
        <v>0</v>
      </c>
      <c r="AJ31" s="109">
        <f t="shared" si="45"/>
        <v>0.1841646153846154</v>
      </c>
      <c r="AK31" s="110">
        <f t="shared" si="45"/>
        <v>0.26601555555555562</v>
      </c>
      <c r="AL31" s="105"/>
    </row>
    <row r="32" spans="1:38">
      <c r="A32" s="91"/>
      <c r="B32" s="100"/>
      <c r="C32" s="120">
        <v>1.52140258255252E+17</v>
      </c>
      <c r="D32" s="112" t="s">
        <v>103</v>
      </c>
      <c r="E32" s="113">
        <f t="shared" ref="E32:R32" si="46">E30/E28</f>
        <v>-18.973494938732017</v>
      </c>
      <c r="F32" s="113">
        <f t="shared" si="46"/>
        <v>0.99418515185287093</v>
      </c>
      <c r="G32" s="113">
        <f t="shared" si="46"/>
        <v>0.81767112116161289</v>
      </c>
      <c r="H32" s="113">
        <f t="shared" si="46"/>
        <v>0</v>
      </c>
      <c r="I32" s="113">
        <f t="shared" si="46"/>
        <v>0</v>
      </c>
      <c r="J32" s="113">
        <f t="shared" si="46"/>
        <v>0</v>
      </c>
      <c r="K32" s="113">
        <f t="shared" si="46"/>
        <v>0</v>
      </c>
      <c r="L32" s="113">
        <f t="shared" si="46"/>
        <v>0</v>
      </c>
      <c r="M32" s="113">
        <f t="shared" si="46"/>
        <v>0</v>
      </c>
      <c r="N32" s="113">
        <f t="shared" si="46"/>
        <v>0</v>
      </c>
      <c r="O32" s="113">
        <f t="shared" si="46"/>
        <v>0</v>
      </c>
      <c r="P32" s="114">
        <f t="shared" si="46"/>
        <v>0</v>
      </c>
      <c r="Q32" s="115">
        <f t="shared" si="46"/>
        <v>0.2744082649743923</v>
      </c>
      <c r="R32" s="116">
        <f t="shared" si="46"/>
        <v>0.37893137582165271</v>
      </c>
      <c r="T32" s="91"/>
      <c r="U32" s="100"/>
      <c r="V32" s="111"/>
      <c r="W32" s="112" t="s">
        <v>103</v>
      </c>
      <c r="X32" s="113">
        <f t="shared" ref="X32:AK32" si="47">X30/X28</f>
        <v>-18.973494938732017</v>
      </c>
      <c r="Y32" s="113">
        <f t="shared" si="47"/>
        <v>0.99418515185287093</v>
      </c>
      <c r="Z32" s="113">
        <f t="shared" si="47"/>
        <v>0.78913116229502356</v>
      </c>
      <c r="AA32" s="113">
        <f t="shared" si="47"/>
        <v>0</v>
      </c>
      <c r="AB32" s="113">
        <f t="shared" si="47"/>
        <v>0</v>
      </c>
      <c r="AC32" s="113">
        <f t="shared" si="47"/>
        <v>0</v>
      </c>
      <c r="AD32" s="113">
        <f t="shared" si="47"/>
        <v>0</v>
      </c>
      <c r="AE32" s="113">
        <f t="shared" si="47"/>
        <v>0</v>
      </c>
      <c r="AF32" s="113">
        <f t="shared" si="47"/>
        <v>0</v>
      </c>
      <c r="AG32" s="113">
        <f t="shared" si="47"/>
        <v>0</v>
      </c>
      <c r="AH32" s="113">
        <f t="shared" si="47"/>
        <v>0</v>
      </c>
      <c r="AI32" s="114">
        <f t="shared" si="47"/>
        <v>0</v>
      </c>
      <c r="AJ32" s="115">
        <f t="shared" si="47"/>
        <v>0.27043934221792476</v>
      </c>
      <c r="AK32" s="116">
        <f t="shared" si="47"/>
        <v>0.37345067588435876</v>
      </c>
    </row>
    <row r="33" spans="1:38">
      <c r="A33" s="91"/>
      <c r="B33" s="100"/>
      <c r="C33" s="86" t="s">
        <v>110</v>
      </c>
      <c r="D33" s="87">
        <v>2019</v>
      </c>
      <c r="E33" s="88">
        <f>X33</f>
        <v>38.154000000000003</v>
      </c>
      <c r="F33" s="88">
        <f t="shared" ref="F33:P34" si="48">Y33</f>
        <v>27.783000000000001</v>
      </c>
      <c r="G33" s="88">
        <f t="shared" si="48"/>
        <v>35.283999999999999</v>
      </c>
      <c r="H33" s="88">
        <f t="shared" si="48"/>
        <v>17.955000000000002</v>
      </c>
      <c r="I33" s="88">
        <f t="shared" si="48"/>
        <v>-218.62999999999977</v>
      </c>
      <c r="J33" s="88">
        <f t="shared" si="48"/>
        <v>265.18299999999999</v>
      </c>
      <c r="K33" s="88">
        <f t="shared" si="48"/>
        <v>410.67900000000003</v>
      </c>
      <c r="L33" s="88">
        <f t="shared" si="48"/>
        <v>443.69000000000011</v>
      </c>
      <c r="M33" s="88">
        <f t="shared" si="48"/>
        <v>364.57</v>
      </c>
      <c r="N33" s="88">
        <f t="shared" si="48"/>
        <v>312.68400000000003</v>
      </c>
      <c r="O33" s="88">
        <f t="shared" si="48"/>
        <v>520.91800000000001</v>
      </c>
      <c r="P33" s="88">
        <f t="shared" si="48"/>
        <v>1669.9230000000002</v>
      </c>
      <c r="Q33" s="89">
        <f>SUM(E33:P33)</f>
        <v>3888.1930000000007</v>
      </c>
      <c r="R33" s="90">
        <f t="shared" ref="R33" si="49">SUM(E33:M33)</f>
        <v>1384.6680000000003</v>
      </c>
      <c r="T33" s="91"/>
      <c r="U33" s="100"/>
      <c r="V33" s="86" t="str">
        <f t="shared" ref="V33:V34" si="50">C33</f>
        <v>成城石井</v>
      </c>
      <c r="W33" s="87">
        <v>2019</v>
      </c>
      <c r="X33" s="88">
        <f>[1]Sheet4!D9</f>
        <v>38.154000000000003</v>
      </c>
      <c r="Y33" s="88">
        <f>[1]Sheet4!E9</f>
        <v>27.783000000000001</v>
      </c>
      <c r="Z33" s="88">
        <f>[1]Sheet4!F9</f>
        <v>35.283999999999999</v>
      </c>
      <c r="AA33" s="88">
        <f>[1]Sheet4!G9</f>
        <v>17.955000000000002</v>
      </c>
      <c r="AB33" s="88">
        <f>[1]Sheet4!H9</f>
        <v>-218.62999999999977</v>
      </c>
      <c r="AC33" s="88">
        <f>[1]Sheet4!I9</f>
        <v>265.18299999999999</v>
      </c>
      <c r="AD33" s="88">
        <f>[1]Sheet4!J9</f>
        <v>410.67900000000003</v>
      </c>
      <c r="AE33" s="88">
        <f>[1]Sheet4!K9</f>
        <v>443.69000000000011</v>
      </c>
      <c r="AF33" s="88">
        <f>[1]Sheet4!L9</f>
        <v>364.57</v>
      </c>
      <c r="AG33" s="88">
        <f>[1]Sheet4!M9</f>
        <v>312.68400000000003</v>
      </c>
      <c r="AH33" s="88">
        <f>[1]Sheet4!N9</f>
        <v>520.91800000000001</v>
      </c>
      <c r="AI33" s="88">
        <f>[1]Sheet4!O9</f>
        <v>1669.9230000000002</v>
      </c>
      <c r="AJ33" s="89">
        <f>SUM(X33:AI33)</f>
        <v>3888.1930000000007</v>
      </c>
      <c r="AK33" s="90">
        <f t="shared" ref="AK33:AK35" si="51">SUM(X33:AF33)</f>
        <v>1384.6680000000003</v>
      </c>
    </row>
    <row r="34" spans="1:38">
      <c r="A34" s="91"/>
      <c r="B34" s="100"/>
      <c r="C34" s="92" t="s">
        <v>111</v>
      </c>
      <c r="D34" s="93" t="s">
        <v>92</v>
      </c>
      <c r="E34" s="94">
        <f>X34</f>
        <v>0</v>
      </c>
      <c r="F34" s="94">
        <f t="shared" si="48"/>
        <v>200</v>
      </c>
      <c r="G34" s="94">
        <f t="shared" si="48"/>
        <v>300</v>
      </c>
      <c r="H34" s="94">
        <f t="shared" si="48"/>
        <v>300</v>
      </c>
      <c r="I34" s="94">
        <f t="shared" si="48"/>
        <v>-1500</v>
      </c>
      <c r="J34" s="94">
        <f t="shared" si="48"/>
        <v>300</v>
      </c>
      <c r="K34" s="94">
        <f t="shared" si="48"/>
        <v>400</v>
      </c>
      <c r="L34" s="94">
        <f t="shared" si="48"/>
        <v>400</v>
      </c>
      <c r="M34" s="94">
        <f t="shared" si="48"/>
        <v>400</v>
      </c>
      <c r="N34" s="94">
        <f t="shared" si="48"/>
        <v>400</v>
      </c>
      <c r="O34" s="94">
        <f t="shared" si="48"/>
        <v>400</v>
      </c>
      <c r="P34" s="94">
        <f t="shared" si="48"/>
        <v>2000</v>
      </c>
      <c r="Q34" s="95">
        <f>SUM(E34:P34)</f>
        <v>3600</v>
      </c>
      <c r="R34" s="96">
        <f t="shared" si="7"/>
        <v>800</v>
      </c>
      <c r="T34" s="91"/>
      <c r="U34" s="100"/>
      <c r="V34" s="92" t="str">
        <f t="shared" si="50"/>
        <v>SEIJO ISHII EIGYO</v>
      </c>
      <c r="W34" s="93" t="s">
        <v>92</v>
      </c>
      <c r="X34" s="94">
        <v>0</v>
      </c>
      <c r="Y34" s="94">
        <v>200</v>
      </c>
      <c r="Z34" s="94">
        <v>300</v>
      </c>
      <c r="AA34" s="94">
        <v>300</v>
      </c>
      <c r="AB34" s="94">
        <v>-1500</v>
      </c>
      <c r="AC34" s="94">
        <v>300</v>
      </c>
      <c r="AD34" s="94">
        <v>400</v>
      </c>
      <c r="AE34" s="94">
        <v>400</v>
      </c>
      <c r="AF34" s="94">
        <v>400</v>
      </c>
      <c r="AG34" s="94">
        <v>400</v>
      </c>
      <c r="AH34" s="94">
        <v>400</v>
      </c>
      <c r="AI34" s="94">
        <v>2000</v>
      </c>
      <c r="AJ34" s="95">
        <f>SUM(X34:AI34)</f>
        <v>3600</v>
      </c>
      <c r="AK34" s="96">
        <f t="shared" si="51"/>
        <v>800</v>
      </c>
    </row>
    <row r="35" spans="1:38">
      <c r="A35" s="91"/>
      <c r="B35" s="100"/>
      <c r="C35" s="92" t="s">
        <v>112</v>
      </c>
      <c r="D35" s="101">
        <v>2020</v>
      </c>
      <c r="E35" s="102">
        <f>[2]Sheet4!BA9</f>
        <v>90.996000000000009</v>
      </c>
      <c r="F35" s="102">
        <f>[2]Sheet4!BB9</f>
        <v>109.93199999999999</v>
      </c>
      <c r="G35" s="102">
        <f>[2]Sheet4!BC9</f>
        <v>233.45299999999997</v>
      </c>
      <c r="H35" s="102">
        <f>[2]Sheet4!BD9</f>
        <v>0</v>
      </c>
      <c r="I35" s="102">
        <f>[2]Sheet4!BE9</f>
        <v>0</v>
      </c>
      <c r="J35" s="102">
        <f>[2]Sheet4!BF9</f>
        <v>0</v>
      </c>
      <c r="K35" s="102">
        <f>[2]Sheet4!BG9</f>
        <v>0</v>
      </c>
      <c r="L35" s="102">
        <f>[2]Sheet4!BH9</f>
        <v>0</v>
      </c>
      <c r="M35" s="102">
        <f>[2]Sheet4!BI9</f>
        <v>0</v>
      </c>
      <c r="N35" s="102">
        <f>[2]Sheet4!BJ9</f>
        <v>0</v>
      </c>
      <c r="O35" s="102">
        <f>[2]Sheet4!BK9</f>
        <v>0</v>
      </c>
      <c r="P35" s="102">
        <f>[2]Sheet4!BL9</f>
        <v>0</v>
      </c>
      <c r="Q35" s="103">
        <f>SUM(E35:P35)</f>
        <v>434.38099999999997</v>
      </c>
      <c r="R35" s="104">
        <f t="shared" si="7"/>
        <v>434.38099999999997</v>
      </c>
      <c r="S35" s="105"/>
      <c r="T35" s="91"/>
      <c r="U35" s="100"/>
      <c r="V35" s="92"/>
      <c r="W35" s="101">
        <v>2020</v>
      </c>
      <c r="X35" s="102">
        <f>E35-[2]Sheet4!BM9</f>
        <v>90.996000000000009</v>
      </c>
      <c r="Y35" s="102">
        <f>F35-[2]Sheet4!BN9</f>
        <v>109.93199999999999</v>
      </c>
      <c r="Z35" s="102">
        <f>G35-[2]Sheet4!BO9</f>
        <v>233.45299999999997</v>
      </c>
      <c r="AA35" s="102">
        <f>H35-[2]Sheet4!BP9</f>
        <v>0</v>
      </c>
      <c r="AB35" s="102">
        <f>I35-[2]Sheet4!BQ9</f>
        <v>0</v>
      </c>
      <c r="AC35" s="102">
        <f>J35-[2]Sheet4!BR9</f>
        <v>0</v>
      </c>
      <c r="AD35" s="102">
        <f>K35-[2]Sheet4!BS9</f>
        <v>0</v>
      </c>
      <c r="AE35" s="102">
        <f>L35-[2]Sheet4!BT9</f>
        <v>0</v>
      </c>
      <c r="AF35" s="102">
        <f>M35-[2]Sheet4!BU9</f>
        <v>0</v>
      </c>
      <c r="AG35" s="102">
        <f>N35-[2]Sheet4!BV9</f>
        <v>0</v>
      </c>
      <c r="AH35" s="102">
        <f>O35-[2]Sheet4!BW9</f>
        <v>0</v>
      </c>
      <c r="AI35" s="102">
        <f>P35-[2]Sheet4!BX9</f>
        <v>0</v>
      </c>
      <c r="AJ35" s="103">
        <f>SUM(X35:AI35)</f>
        <v>434.38099999999997</v>
      </c>
      <c r="AK35" s="104">
        <f t="shared" si="51"/>
        <v>434.38099999999997</v>
      </c>
      <c r="AL35" s="105"/>
    </row>
    <row r="36" spans="1:38">
      <c r="A36" s="91"/>
      <c r="B36" s="100"/>
      <c r="C36" s="92"/>
      <c r="D36" s="101" t="s">
        <v>102</v>
      </c>
      <c r="E36" s="106" t="e">
        <f>E35/E34</f>
        <v>#DIV/0!</v>
      </c>
      <c r="F36" s="106">
        <f t="shared" ref="F36:R36" si="52">F35/F34</f>
        <v>0.54965999999999993</v>
      </c>
      <c r="G36" s="106">
        <f t="shared" si="52"/>
        <v>0.77817666666666663</v>
      </c>
      <c r="H36" s="106">
        <f t="shared" si="52"/>
        <v>0</v>
      </c>
      <c r="I36" s="106">
        <f t="shared" si="52"/>
        <v>0</v>
      </c>
      <c r="J36" s="106">
        <f t="shared" si="52"/>
        <v>0</v>
      </c>
      <c r="K36" s="106">
        <f t="shared" si="52"/>
        <v>0</v>
      </c>
      <c r="L36" s="106">
        <f t="shared" si="52"/>
        <v>0</v>
      </c>
      <c r="M36" s="107">
        <f t="shared" si="52"/>
        <v>0</v>
      </c>
      <c r="N36" s="107">
        <f t="shared" si="52"/>
        <v>0</v>
      </c>
      <c r="O36" s="107">
        <f t="shared" si="52"/>
        <v>0</v>
      </c>
      <c r="P36" s="108">
        <f t="shared" si="52"/>
        <v>0</v>
      </c>
      <c r="Q36" s="109">
        <f t="shared" si="52"/>
        <v>0.12066138888888889</v>
      </c>
      <c r="R36" s="110">
        <f t="shared" si="52"/>
        <v>0.54297624999999994</v>
      </c>
      <c r="S36" s="105"/>
      <c r="T36" s="91"/>
      <c r="U36" s="100"/>
      <c r="V36" s="92"/>
      <c r="W36" s="101" t="s">
        <v>102</v>
      </c>
      <c r="X36" s="106" t="e">
        <f>X35/X34</f>
        <v>#DIV/0!</v>
      </c>
      <c r="Y36" s="106">
        <f t="shared" ref="Y36:AK36" si="53">Y35/Y34</f>
        <v>0.54965999999999993</v>
      </c>
      <c r="Z36" s="106">
        <f t="shared" si="53"/>
        <v>0.77817666666666663</v>
      </c>
      <c r="AA36" s="106">
        <f t="shared" si="53"/>
        <v>0</v>
      </c>
      <c r="AB36" s="106">
        <f t="shared" si="53"/>
        <v>0</v>
      </c>
      <c r="AC36" s="106">
        <f t="shared" si="53"/>
        <v>0</v>
      </c>
      <c r="AD36" s="106">
        <f t="shared" si="53"/>
        <v>0</v>
      </c>
      <c r="AE36" s="106">
        <f t="shared" si="53"/>
        <v>0</v>
      </c>
      <c r="AF36" s="107">
        <f t="shared" si="53"/>
        <v>0</v>
      </c>
      <c r="AG36" s="107">
        <f t="shared" si="53"/>
        <v>0</v>
      </c>
      <c r="AH36" s="107">
        <f t="shared" si="53"/>
        <v>0</v>
      </c>
      <c r="AI36" s="108">
        <f t="shared" si="53"/>
        <v>0</v>
      </c>
      <c r="AJ36" s="109">
        <f t="shared" si="53"/>
        <v>0.12066138888888889</v>
      </c>
      <c r="AK36" s="110">
        <f t="shared" si="53"/>
        <v>0.54297624999999994</v>
      </c>
      <c r="AL36" s="105"/>
    </row>
    <row r="37" spans="1:38">
      <c r="A37" s="91"/>
      <c r="B37" s="100"/>
      <c r="C37" s="111"/>
      <c r="D37" s="112" t="s">
        <v>103</v>
      </c>
      <c r="E37" s="113">
        <f>E35/E33</f>
        <v>2.3849661896524612</v>
      </c>
      <c r="F37" s="113">
        <f t="shared" ref="F37:R37" si="54">F35/F33</f>
        <v>3.9568081200734255</v>
      </c>
      <c r="G37" s="113">
        <f t="shared" si="54"/>
        <v>6.6163983675320255</v>
      </c>
      <c r="H37" s="113">
        <f t="shared" si="54"/>
        <v>0</v>
      </c>
      <c r="I37" s="113">
        <f t="shared" si="54"/>
        <v>0</v>
      </c>
      <c r="J37" s="113">
        <f t="shared" si="54"/>
        <v>0</v>
      </c>
      <c r="K37" s="113">
        <f t="shared" si="54"/>
        <v>0</v>
      </c>
      <c r="L37" s="113">
        <f t="shared" si="54"/>
        <v>0</v>
      </c>
      <c r="M37" s="113">
        <f t="shared" si="54"/>
        <v>0</v>
      </c>
      <c r="N37" s="113">
        <f t="shared" si="54"/>
        <v>0</v>
      </c>
      <c r="O37" s="113">
        <f t="shared" si="54"/>
        <v>0</v>
      </c>
      <c r="P37" s="114">
        <f t="shared" si="54"/>
        <v>0</v>
      </c>
      <c r="Q37" s="115">
        <f t="shared" si="54"/>
        <v>0.11171796255998606</v>
      </c>
      <c r="R37" s="116">
        <f t="shared" si="54"/>
        <v>0.31370769021888267</v>
      </c>
      <c r="T37" s="91"/>
      <c r="U37" s="100"/>
      <c r="V37" s="111"/>
      <c r="W37" s="112" t="s">
        <v>103</v>
      </c>
      <c r="X37" s="113">
        <f>X35/X33</f>
        <v>2.3849661896524612</v>
      </c>
      <c r="Y37" s="113">
        <f t="shared" ref="Y37:AK37" si="55">Y35/Y33</f>
        <v>3.9568081200734255</v>
      </c>
      <c r="Z37" s="113">
        <f t="shared" si="55"/>
        <v>6.6163983675320255</v>
      </c>
      <c r="AA37" s="113">
        <f t="shared" si="55"/>
        <v>0</v>
      </c>
      <c r="AB37" s="113">
        <f t="shared" si="55"/>
        <v>0</v>
      </c>
      <c r="AC37" s="113">
        <f t="shared" si="55"/>
        <v>0</v>
      </c>
      <c r="AD37" s="113">
        <f t="shared" si="55"/>
        <v>0</v>
      </c>
      <c r="AE37" s="113">
        <f t="shared" si="55"/>
        <v>0</v>
      </c>
      <c r="AF37" s="113">
        <f t="shared" si="55"/>
        <v>0</v>
      </c>
      <c r="AG37" s="113">
        <f t="shared" si="55"/>
        <v>0</v>
      </c>
      <c r="AH37" s="113">
        <f t="shared" si="55"/>
        <v>0</v>
      </c>
      <c r="AI37" s="114">
        <f t="shared" si="55"/>
        <v>0</v>
      </c>
      <c r="AJ37" s="115">
        <f t="shared" si="55"/>
        <v>0.11171796255998606</v>
      </c>
      <c r="AK37" s="116">
        <f t="shared" si="55"/>
        <v>0.31370769021888267</v>
      </c>
    </row>
    <row r="38" spans="1:38">
      <c r="A38" s="91"/>
      <c r="B38" s="100"/>
      <c r="C38" s="86"/>
      <c r="D38" s="87">
        <v>2019</v>
      </c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9">
        <f>SUM(E38:P38)</f>
        <v>0</v>
      </c>
      <c r="R38" s="90">
        <f t="shared" ref="R38" si="56">SUM(E38:M38)</f>
        <v>0</v>
      </c>
      <c r="T38" s="91"/>
      <c r="U38" s="100"/>
      <c r="V38" s="86">
        <f t="shared" ref="V38:V39" si="57">C38</f>
        <v>0</v>
      </c>
      <c r="W38" s="87">
        <v>2019</v>
      </c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9">
        <f>SUM(X38:AI38)</f>
        <v>0</v>
      </c>
      <c r="AK38" s="90">
        <f t="shared" ref="AK38:AK40" si="58">SUM(X38:AF38)</f>
        <v>0</v>
      </c>
    </row>
    <row r="39" spans="1:38">
      <c r="A39" s="91"/>
      <c r="B39" s="100"/>
      <c r="C39" s="92"/>
      <c r="D39" s="93" t="s">
        <v>92</v>
      </c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5">
        <f>SUM(E39:P39)</f>
        <v>0</v>
      </c>
      <c r="R39" s="96">
        <f t="shared" si="7"/>
        <v>0</v>
      </c>
      <c r="T39" s="91"/>
      <c r="U39" s="100"/>
      <c r="V39" s="92">
        <f t="shared" si="57"/>
        <v>0</v>
      </c>
      <c r="W39" s="93" t="s">
        <v>92</v>
      </c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5">
        <f>SUM(X39:AI39)</f>
        <v>0</v>
      </c>
      <c r="AK39" s="96">
        <f t="shared" si="58"/>
        <v>0</v>
      </c>
    </row>
    <row r="40" spans="1:38">
      <c r="A40" s="91"/>
      <c r="B40" s="100"/>
      <c r="C40" s="92"/>
      <c r="D40" s="101">
        <v>2020</v>
      </c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3">
        <f>SUM(E40:P40)</f>
        <v>0</v>
      </c>
      <c r="R40" s="104">
        <f t="shared" si="7"/>
        <v>0</v>
      </c>
      <c r="S40" s="105"/>
      <c r="T40" s="91"/>
      <c r="U40" s="100"/>
      <c r="V40" s="92"/>
      <c r="W40" s="101">
        <v>2020</v>
      </c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3">
        <f>SUM(X40:AI40)</f>
        <v>0</v>
      </c>
      <c r="AK40" s="104">
        <f t="shared" si="58"/>
        <v>0</v>
      </c>
      <c r="AL40" s="105"/>
    </row>
    <row r="41" spans="1:38">
      <c r="A41" s="91"/>
      <c r="B41" s="100"/>
      <c r="C41" s="92"/>
      <c r="D41" s="101" t="s">
        <v>102</v>
      </c>
      <c r="E41" s="106" t="e">
        <f>E40/E39</f>
        <v>#DIV/0!</v>
      </c>
      <c r="F41" s="106" t="e">
        <f t="shared" ref="F41:R41" si="59">F40/F39</f>
        <v>#DIV/0!</v>
      </c>
      <c r="G41" s="106" t="e">
        <f t="shared" si="59"/>
        <v>#DIV/0!</v>
      </c>
      <c r="H41" s="106" t="e">
        <f t="shared" si="59"/>
        <v>#DIV/0!</v>
      </c>
      <c r="I41" s="106" t="e">
        <f t="shared" si="59"/>
        <v>#DIV/0!</v>
      </c>
      <c r="J41" s="106" t="e">
        <f t="shared" si="59"/>
        <v>#DIV/0!</v>
      </c>
      <c r="K41" s="106" t="e">
        <f t="shared" si="59"/>
        <v>#DIV/0!</v>
      </c>
      <c r="L41" s="106" t="e">
        <f t="shared" si="59"/>
        <v>#DIV/0!</v>
      </c>
      <c r="M41" s="107" t="e">
        <f t="shared" si="59"/>
        <v>#DIV/0!</v>
      </c>
      <c r="N41" s="107" t="e">
        <f t="shared" si="59"/>
        <v>#DIV/0!</v>
      </c>
      <c r="O41" s="107" t="e">
        <f t="shared" si="59"/>
        <v>#DIV/0!</v>
      </c>
      <c r="P41" s="108" t="e">
        <f t="shared" si="59"/>
        <v>#DIV/0!</v>
      </c>
      <c r="Q41" s="109" t="e">
        <f t="shared" si="59"/>
        <v>#DIV/0!</v>
      </c>
      <c r="R41" s="110" t="e">
        <f t="shared" si="59"/>
        <v>#DIV/0!</v>
      </c>
      <c r="S41" s="105"/>
      <c r="T41" s="91"/>
      <c r="U41" s="100"/>
      <c r="V41" s="92"/>
      <c r="W41" s="101" t="s">
        <v>102</v>
      </c>
      <c r="X41" s="106" t="e">
        <f>X40/X39</f>
        <v>#DIV/0!</v>
      </c>
      <c r="Y41" s="106" t="e">
        <f t="shared" ref="Y41:AK41" si="60">Y40/Y39</f>
        <v>#DIV/0!</v>
      </c>
      <c r="Z41" s="106" t="e">
        <f t="shared" si="60"/>
        <v>#DIV/0!</v>
      </c>
      <c r="AA41" s="106" t="e">
        <f t="shared" si="60"/>
        <v>#DIV/0!</v>
      </c>
      <c r="AB41" s="106" t="e">
        <f t="shared" si="60"/>
        <v>#DIV/0!</v>
      </c>
      <c r="AC41" s="106" t="e">
        <f t="shared" si="60"/>
        <v>#DIV/0!</v>
      </c>
      <c r="AD41" s="106" t="e">
        <f t="shared" si="60"/>
        <v>#DIV/0!</v>
      </c>
      <c r="AE41" s="106" t="e">
        <f t="shared" si="60"/>
        <v>#DIV/0!</v>
      </c>
      <c r="AF41" s="107" t="e">
        <f t="shared" si="60"/>
        <v>#DIV/0!</v>
      </c>
      <c r="AG41" s="107" t="e">
        <f t="shared" si="60"/>
        <v>#DIV/0!</v>
      </c>
      <c r="AH41" s="107" t="e">
        <f t="shared" si="60"/>
        <v>#DIV/0!</v>
      </c>
      <c r="AI41" s="108" t="e">
        <f t="shared" si="60"/>
        <v>#DIV/0!</v>
      </c>
      <c r="AJ41" s="109" t="e">
        <f t="shared" si="60"/>
        <v>#DIV/0!</v>
      </c>
      <c r="AK41" s="110" t="e">
        <f t="shared" si="60"/>
        <v>#DIV/0!</v>
      </c>
      <c r="AL41" s="105"/>
    </row>
    <row r="42" spans="1:38">
      <c r="A42" s="91"/>
      <c r="B42" s="100"/>
      <c r="C42" s="111"/>
      <c r="D42" s="112" t="s">
        <v>103</v>
      </c>
      <c r="E42" s="113" t="e">
        <f>E40/E38</f>
        <v>#DIV/0!</v>
      </c>
      <c r="F42" s="113" t="e">
        <f t="shared" ref="F42:R42" si="61">F40/F38</f>
        <v>#DIV/0!</v>
      </c>
      <c r="G42" s="113" t="e">
        <f t="shared" si="61"/>
        <v>#DIV/0!</v>
      </c>
      <c r="H42" s="113" t="e">
        <f t="shared" si="61"/>
        <v>#DIV/0!</v>
      </c>
      <c r="I42" s="113" t="e">
        <f t="shared" si="61"/>
        <v>#DIV/0!</v>
      </c>
      <c r="J42" s="113" t="e">
        <f t="shared" si="61"/>
        <v>#DIV/0!</v>
      </c>
      <c r="K42" s="113" t="e">
        <f t="shared" si="61"/>
        <v>#DIV/0!</v>
      </c>
      <c r="L42" s="113" t="e">
        <f t="shared" si="61"/>
        <v>#DIV/0!</v>
      </c>
      <c r="M42" s="113" t="e">
        <f t="shared" si="61"/>
        <v>#DIV/0!</v>
      </c>
      <c r="N42" s="113" t="e">
        <f t="shared" si="61"/>
        <v>#DIV/0!</v>
      </c>
      <c r="O42" s="113" t="e">
        <f t="shared" si="61"/>
        <v>#DIV/0!</v>
      </c>
      <c r="P42" s="114" t="e">
        <f t="shared" si="61"/>
        <v>#DIV/0!</v>
      </c>
      <c r="Q42" s="115" t="e">
        <f t="shared" si="61"/>
        <v>#DIV/0!</v>
      </c>
      <c r="R42" s="116" t="e">
        <f t="shared" si="61"/>
        <v>#DIV/0!</v>
      </c>
      <c r="T42" s="91"/>
      <c r="U42" s="100"/>
      <c r="V42" s="111"/>
      <c r="W42" s="112" t="s">
        <v>103</v>
      </c>
      <c r="X42" s="113" t="e">
        <f>X40/X38</f>
        <v>#DIV/0!</v>
      </c>
      <c r="Y42" s="113" t="e">
        <f t="shared" ref="Y42:AK42" si="62">Y40/Y38</f>
        <v>#DIV/0!</v>
      </c>
      <c r="Z42" s="113" t="e">
        <f t="shared" si="62"/>
        <v>#DIV/0!</v>
      </c>
      <c r="AA42" s="113" t="e">
        <f t="shared" si="62"/>
        <v>#DIV/0!</v>
      </c>
      <c r="AB42" s="113" t="e">
        <f t="shared" si="62"/>
        <v>#DIV/0!</v>
      </c>
      <c r="AC42" s="113" t="e">
        <f t="shared" si="62"/>
        <v>#DIV/0!</v>
      </c>
      <c r="AD42" s="113" t="e">
        <f t="shared" si="62"/>
        <v>#DIV/0!</v>
      </c>
      <c r="AE42" s="113" t="e">
        <f t="shared" si="62"/>
        <v>#DIV/0!</v>
      </c>
      <c r="AF42" s="113" t="e">
        <f t="shared" si="62"/>
        <v>#DIV/0!</v>
      </c>
      <c r="AG42" s="113" t="e">
        <f t="shared" si="62"/>
        <v>#DIV/0!</v>
      </c>
      <c r="AH42" s="113" t="e">
        <f t="shared" si="62"/>
        <v>#DIV/0!</v>
      </c>
      <c r="AI42" s="114" t="e">
        <f t="shared" si="62"/>
        <v>#DIV/0!</v>
      </c>
      <c r="AJ42" s="115" t="e">
        <f t="shared" si="62"/>
        <v>#DIV/0!</v>
      </c>
      <c r="AK42" s="116" t="e">
        <f t="shared" si="62"/>
        <v>#DIV/0!</v>
      </c>
    </row>
    <row r="43" spans="1:38">
      <c r="A43" s="91"/>
      <c r="B43" s="100"/>
      <c r="C43" s="86" t="s">
        <v>113</v>
      </c>
      <c r="D43" s="87">
        <v>2019</v>
      </c>
      <c r="E43" s="88">
        <f>X43</f>
        <v>212.56</v>
      </c>
      <c r="F43" s="88">
        <f t="shared" ref="F43:P44" si="63">Y43</f>
        <v>152.81300000000002</v>
      </c>
      <c r="G43" s="88">
        <f t="shared" si="63"/>
        <v>151.80600000000001</v>
      </c>
      <c r="H43" s="88">
        <f t="shared" si="63"/>
        <v>210.48699999999999</v>
      </c>
      <c r="I43" s="88">
        <f t="shared" si="63"/>
        <v>118.92099999999999</v>
      </c>
      <c r="J43" s="88">
        <f t="shared" si="63"/>
        <v>179.56000000000003</v>
      </c>
      <c r="K43" s="88">
        <f t="shared" si="63"/>
        <v>191.34</v>
      </c>
      <c r="L43" s="88">
        <f t="shared" si="63"/>
        <v>71.221000000000004</v>
      </c>
      <c r="M43" s="88">
        <f t="shared" si="63"/>
        <v>303.19400000000002</v>
      </c>
      <c r="N43" s="88">
        <f t="shared" si="63"/>
        <v>66.747</v>
      </c>
      <c r="O43" s="88">
        <f t="shared" si="63"/>
        <v>206.89200000000002</v>
      </c>
      <c r="P43" s="88">
        <f t="shared" si="63"/>
        <v>244.29400000000001</v>
      </c>
      <c r="Q43" s="89">
        <f>SUM(E43:P43)</f>
        <v>2109.835</v>
      </c>
      <c r="R43" s="90">
        <f t="shared" ref="R43" si="64">SUM(E43:M43)</f>
        <v>1591.9019999999998</v>
      </c>
      <c r="T43" s="91"/>
      <c r="U43" s="100"/>
      <c r="V43" s="86" t="str">
        <f t="shared" ref="V43:V44" si="65">C43</f>
        <v>一神商事(株)</v>
      </c>
      <c r="W43" s="87">
        <v>2019</v>
      </c>
      <c r="X43" s="88">
        <f>[1]Sheet4!D11</f>
        <v>212.56</v>
      </c>
      <c r="Y43" s="88">
        <f>[1]Sheet4!E11</f>
        <v>152.81300000000002</v>
      </c>
      <c r="Z43" s="88">
        <f>[1]Sheet4!F11</f>
        <v>151.80600000000001</v>
      </c>
      <c r="AA43" s="88">
        <f>[1]Sheet4!G11</f>
        <v>210.48699999999999</v>
      </c>
      <c r="AB43" s="88">
        <f>[1]Sheet4!H11</f>
        <v>118.92099999999999</v>
      </c>
      <c r="AC43" s="88">
        <f>[1]Sheet4!I11</f>
        <v>179.56000000000003</v>
      </c>
      <c r="AD43" s="88">
        <f>[1]Sheet4!J11</f>
        <v>191.34</v>
      </c>
      <c r="AE43" s="88">
        <f>[1]Sheet4!K11</f>
        <v>71.221000000000004</v>
      </c>
      <c r="AF43" s="88">
        <f>[1]Sheet4!L11</f>
        <v>303.19400000000002</v>
      </c>
      <c r="AG43" s="88">
        <f>[1]Sheet4!M11</f>
        <v>66.747</v>
      </c>
      <c r="AH43" s="88">
        <f>[1]Sheet4!N11</f>
        <v>206.89200000000002</v>
      </c>
      <c r="AI43" s="88">
        <f>[1]Sheet4!O11</f>
        <v>244.29400000000001</v>
      </c>
      <c r="AJ43" s="89">
        <f>SUM(X43:AI43)</f>
        <v>2109.835</v>
      </c>
      <c r="AK43" s="90">
        <f t="shared" ref="AK43:AK45" si="66">SUM(X43:AF43)</f>
        <v>1591.9019999999998</v>
      </c>
    </row>
    <row r="44" spans="1:38">
      <c r="A44" s="91"/>
      <c r="B44" s="100"/>
      <c r="C44" s="92" t="s">
        <v>114</v>
      </c>
      <c r="D44" s="93" t="s">
        <v>92</v>
      </c>
      <c r="E44" s="94">
        <f>X44</f>
        <v>20</v>
      </c>
      <c r="F44" s="94">
        <f t="shared" si="63"/>
        <v>150</v>
      </c>
      <c r="G44" s="94">
        <f t="shared" si="63"/>
        <v>150</v>
      </c>
      <c r="H44" s="94">
        <f t="shared" si="63"/>
        <v>150</v>
      </c>
      <c r="I44" s="94">
        <f t="shared" si="63"/>
        <v>150</v>
      </c>
      <c r="J44" s="94">
        <f t="shared" si="63"/>
        <v>150</v>
      </c>
      <c r="K44" s="94">
        <f t="shared" si="63"/>
        <v>150</v>
      </c>
      <c r="L44" s="94">
        <f t="shared" si="63"/>
        <v>150</v>
      </c>
      <c r="M44" s="94">
        <f t="shared" si="63"/>
        <v>150</v>
      </c>
      <c r="N44" s="94">
        <f t="shared" si="63"/>
        <v>150</v>
      </c>
      <c r="O44" s="94">
        <f t="shared" si="63"/>
        <v>150</v>
      </c>
      <c r="P44" s="94">
        <f t="shared" si="63"/>
        <v>150</v>
      </c>
      <c r="Q44" s="95">
        <f>SUM(E44:P44)</f>
        <v>1670</v>
      </c>
      <c r="R44" s="96">
        <f t="shared" si="7"/>
        <v>1220</v>
      </c>
      <c r="T44" s="91"/>
      <c r="U44" s="100"/>
      <c r="V44" s="92" t="str">
        <f t="shared" si="65"/>
        <v>ISSHIN</v>
      </c>
      <c r="W44" s="93" t="s">
        <v>92</v>
      </c>
      <c r="X44" s="94">
        <v>20</v>
      </c>
      <c r="Y44" s="94">
        <v>150</v>
      </c>
      <c r="Z44" s="94">
        <v>150</v>
      </c>
      <c r="AA44" s="94">
        <v>150</v>
      </c>
      <c r="AB44" s="94">
        <v>150</v>
      </c>
      <c r="AC44" s="94">
        <v>150</v>
      </c>
      <c r="AD44" s="94">
        <v>150</v>
      </c>
      <c r="AE44" s="94">
        <v>150</v>
      </c>
      <c r="AF44" s="94">
        <v>150</v>
      </c>
      <c r="AG44" s="94">
        <v>150</v>
      </c>
      <c r="AH44" s="94">
        <v>150</v>
      </c>
      <c r="AI44" s="94">
        <v>150</v>
      </c>
      <c r="AJ44" s="95">
        <f>SUM(X44:AI44)</f>
        <v>1670</v>
      </c>
      <c r="AK44" s="96">
        <f t="shared" si="66"/>
        <v>1220</v>
      </c>
    </row>
    <row r="45" spans="1:38">
      <c r="A45" s="91"/>
      <c r="B45" s="100"/>
      <c r="C45" s="92" t="s">
        <v>115</v>
      </c>
      <c r="D45" s="101">
        <v>2020</v>
      </c>
      <c r="E45" s="102">
        <f>[2]Sheet4!BA11</f>
        <v>54.338999999999999</v>
      </c>
      <c r="F45" s="102">
        <f>[2]Sheet4!BB11</f>
        <v>157.09200000000001</v>
      </c>
      <c r="G45" s="102">
        <f>[2]Sheet4!BC11</f>
        <v>171.30300000000003</v>
      </c>
      <c r="H45" s="102">
        <f>[2]Sheet4!BD11</f>
        <v>0</v>
      </c>
      <c r="I45" s="102">
        <f>[2]Sheet4!BE11</f>
        <v>0</v>
      </c>
      <c r="J45" s="102">
        <f>[2]Sheet4!BF11</f>
        <v>0</v>
      </c>
      <c r="K45" s="102">
        <f>[2]Sheet4!BG11</f>
        <v>0</v>
      </c>
      <c r="L45" s="102">
        <f>[2]Sheet4!BH11</f>
        <v>0</v>
      </c>
      <c r="M45" s="102">
        <f>[2]Sheet4!BI11</f>
        <v>0</v>
      </c>
      <c r="N45" s="102">
        <f>[2]Sheet4!BJ11</f>
        <v>0</v>
      </c>
      <c r="O45" s="102">
        <f>[2]Sheet4!BK11</f>
        <v>0</v>
      </c>
      <c r="P45" s="102">
        <f>[2]Sheet4!BL11</f>
        <v>0</v>
      </c>
      <c r="Q45" s="103">
        <f>SUM(E45:P45)</f>
        <v>382.73400000000004</v>
      </c>
      <c r="R45" s="104">
        <f t="shared" si="7"/>
        <v>382.73400000000004</v>
      </c>
      <c r="S45" s="105"/>
      <c r="T45" s="91"/>
      <c r="U45" s="100"/>
      <c r="V45" s="92"/>
      <c r="W45" s="101">
        <v>2020</v>
      </c>
      <c r="X45" s="102">
        <f>E45-[2]Sheet4!BM11</f>
        <v>54.338999999999999</v>
      </c>
      <c r="Y45" s="102">
        <f>F45-[2]Sheet4!BN11</f>
        <v>157.09200000000001</v>
      </c>
      <c r="Z45" s="102">
        <f>G45-[2]Sheet4!BO11</f>
        <v>171.30300000000003</v>
      </c>
      <c r="AA45" s="102">
        <f>H45-[2]Sheet4!BP11</f>
        <v>0</v>
      </c>
      <c r="AB45" s="102">
        <f>I45-[2]Sheet4!BQ11</f>
        <v>0</v>
      </c>
      <c r="AC45" s="102">
        <f>J45-[2]Sheet4!BR11</f>
        <v>0</v>
      </c>
      <c r="AD45" s="102">
        <f>K45-[2]Sheet4!BS11</f>
        <v>0</v>
      </c>
      <c r="AE45" s="102">
        <f>L45-[2]Sheet4!BT11</f>
        <v>0</v>
      </c>
      <c r="AF45" s="102">
        <f>M45-[2]Sheet4!BU11</f>
        <v>0</v>
      </c>
      <c r="AG45" s="102">
        <f>N45-[2]Sheet4!BV11</f>
        <v>0</v>
      </c>
      <c r="AH45" s="102">
        <f>O45-[2]Sheet4!BW11</f>
        <v>0</v>
      </c>
      <c r="AI45" s="102">
        <f>P45-[2]Sheet4!BX11</f>
        <v>0</v>
      </c>
      <c r="AJ45" s="103">
        <f>SUM(X45:AI45)</f>
        <v>382.73400000000004</v>
      </c>
      <c r="AK45" s="104">
        <f t="shared" si="66"/>
        <v>382.73400000000004</v>
      </c>
      <c r="AL45" s="105"/>
    </row>
    <row r="46" spans="1:38">
      <c r="A46" s="91"/>
      <c r="B46" s="100"/>
      <c r="C46" s="92"/>
      <c r="D46" s="101" t="s">
        <v>102</v>
      </c>
      <c r="E46" s="106">
        <f>E45/E44</f>
        <v>2.7169499999999998</v>
      </c>
      <c r="F46" s="106">
        <f t="shared" ref="F46:R46" si="67">F45/F44</f>
        <v>1.04728</v>
      </c>
      <c r="G46" s="106">
        <f t="shared" si="67"/>
        <v>1.1420200000000003</v>
      </c>
      <c r="H46" s="106">
        <f t="shared" si="67"/>
        <v>0</v>
      </c>
      <c r="I46" s="106">
        <f t="shared" si="67"/>
        <v>0</v>
      </c>
      <c r="J46" s="106">
        <f t="shared" si="67"/>
        <v>0</v>
      </c>
      <c r="K46" s="106">
        <f t="shared" si="67"/>
        <v>0</v>
      </c>
      <c r="L46" s="106">
        <f t="shared" si="67"/>
        <v>0</v>
      </c>
      <c r="M46" s="107">
        <f t="shared" si="67"/>
        <v>0</v>
      </c>
      <c r="N46" s="107">
        <f t="shared" si="67"/>
        <v>0</v>
      </c>
      <c r="O46" s="107">
        <f t="shared" si="67"/>
        <v>0</v>
      </c>
      <c r="P46" s="108">
        <f t="shared" si="67"/>
        <v>0</v>
      </c>
      <c r="Q46" s="109">
        <f t="shared" si="67"/>
        <v>0.22918203592814373</v>
      </c>
      <c r="R46" s="110">
        <f t="shared" si="67"/>
        <v>0.31371639344262298</v>
      </c>
      <c r="S46" s="105"/>
      <c r="T46" s="91"/>
      <c r="U46" s="100"/>
      <c r="V46" s="92"/>
      <c r="W46" s="101" t="s">
        <v>102</v>
      </c>
      <c r="X46" s="106">
        <f>X45/X44</f>
        <v>2.7169499999999998</v>
      </c>
      <c r="Y46" s="106">
        <f t="shared" ref="Y46:AK46" si="68">Y45/Y44</f>
        <v>1.04728</v>
      </c>
      <c r="Z46" s="106">
        <f t="shared" si="68"/>
        <v>1.1420200000000003</v>
      </c>
      <c r="AA46" s="106">
        <f t="shared" si="68"/>
        <v>0</v>
      </c>
      <c r="AB46" s="106">
        <f t="shared" si="68"/>
        <v>0</v>
      </c>
      <c r="AC46" s="106">
        <f t="shared" si="68"/>
        <v>0</v>
      </c>
      <c r="AD46" s="106">
        <f t="shared" si="68"/>
        <v>0</v>
      </c>
      <c r="AE46" s="106">
        <f t="shared" si="68"/>
        <v>0</v>
      </c>
      <c r="AF46" s="107">
        <f t="shared" si="68"/>
        <v>0</v>
      </c>
      <c r="AG46" s="107">
        <f t="shared" si="68"/>
        <v>0</v>
      </c>
      <c r="AH46" s="107">
        <f t="shared" si="68"/>
        <v>0</v>
      </c>
      <c r="AI46" s="108">
        <f t="shared" si="68"/>
        <v>0</v>
      </c>
      <c r="AJ46" s="109">
        <f t="shared" si="68"/>
        <v>0.22918203592814373</v>
      </c>
      <c r="AK46" s="110">
        <f t="shared" si="68"/>
        <v>0.31371639344262298</v>
      </c>
      <c r="AL46" s="105"/>
    </row>
    <row r="47" spans="1:38">
      <c r="A47" s="91"/>
      <c r="B47" s="100"/>
      <c r="C47" s="111"/>
      <c r="D47" s="112" t="s">
        <v>103</v>
      </c>
      <c r="E47" s="113">
        <f>E45/E43</f>
        <v>0.25564076025592775</v>
      </c>
      <c r="F47" s="113">
        <f t="shared" ref="F47:R47" si="69">F45/F43</f>
        <v>1.0280015443712249</v>
      </c>
      <c r="G47" s="113">
        <f t="shared" si="69"/>
        <v>1.1284336587486661</v>
      </c>
      <c r="H47" s="113">
        <f t="shared" si="69"/>
        <v>0</v>
      </c>
      <c r="I47" s="113">
        <f t="shared" si="69"/>
        <v>0</v>
      </c>
      <c r="J47" s="113">
        <f t="shared" si="69"/>
        <v>0</v>
      </c>
      <c r="K47" s="113">
        <f t="shared" si="69"/>
        <v>0</v>
      </c>
      <c r="L47" s="113">
        <f t="shared" si="69"/>
        <v>0</v>
      </c>
      <c r="M47" s="113">
        <f t="shared" si="69"/>
        <v>0</v>
      </c>
      <c r="N47" s="113">
        <f t="shared" si="69"/>
        <v>0</v>
      </c>
      <c r="O47" s="113">
        <f t="shared" si="69"/>
        <v>0</v>
      </c>
      <c r="P47" s="114">
        <f t="shared" si="69"/>
        <v>0</v>
      </c>
      <c r="Q47" s="115">
        <f t="shared" si="69"/>
        <v>0.18140470700315428</v>
      </c>
      <c r="R47" s="116">
        <f t="shared" si="69"/>
        <v>0.24042560408869396</v>
      </c>
      <c r="T47" s="91"/>
      <c r="U47" s="100"/>
      <c r="V47" s="111"/>
      <c r="W47" s="112" t="s">
        <v>103</v>
      </c>
      <c r="X47" s="113">
        <f>X45/X43</f>
        <v>0.25564076025592775</v>
      </c>
      <c r="Y47" s="113">
        <f t="shared" ref="Y47:AK47" si="70">Y45/Y43</f>
        <v>1.0280015443712249</v>
      </c>
      <c r="Z47" s="113">
        <f t="shared" si="70"/>
        <v>1.1284336587486661</v>
      </c>
      <c r="AA47" s="113">
        <f t="shared" si="70"/>
        <v>0</v>
      </c>
      <c r="AB47" s="113">
        <f t="shared" si="70"/>
        <v>0</v>
      </c>
      <c r="AC47" s="113">
        <f t="shared" si="70"/>
        <v>0</v>
      </c>
      <c r="AD47" s="113">
        <f t="shared" si="70"/>
        <v>0</v>
      </c>
      <c r="AE47" s="113">
        <f t="shared" si="70"/>
        <v>0</v>
      </c>
      <c r="AF47" s="113">
        <f t="shared" si="70"/>
        <v>0</v>
      </c>
      <c r="AG47" s="113">
        <f t="shared" si="70"/>
        <v>0</v>
      </c>
      <c r="AH47" s="113">
        <f t="shared" si="70"/>
        <v>0</v>
      </c>
      <c r="AI47" s="114">
        <f t="shared" si="70"/>
        <v>0</v>
      </c>
      <c r="AJ47" s="115">
        <f t="shared" si="70"/>
        <v>0.18140470700315428</v>
      </c>
      <c r="AK47" s="116">
        <f t="shared" si="70"/>
        <v>0.24042560408869396</v>
      </c>
    </row>
    <row r="48" spans="1:38" hidden="1">
      <c r="A48" s="91"/>
      <c r="B48" s="100"/>
      <c r="C48" s="86"/>
      <c r="D48" s="87">
        <v>2019</v>
      </c>
      <c r="E48" s="88"/>
      <c r="F48" s="121"/>
      <c r="G48" s="121"/>
      <c r="H48" s="121"/>
      <c r="I48" s="121"/>
      <c r="J48" s="121"/>
      <c r="K48" s="121"/>
      <c r="L48" s="121"/>
      <c r="M48" s="122"/>
      <c r="N48" s="122"/>
      <c r="O48" s="122"/>
      <c r="P48" s="123"/>
      <c r="Q48" s="89">
        <f>SUM(E48:P48)</f>
        <v>0</v>
      </c>
      <c r="R48" s="90">
        <f t="shared" ref="R48" si="71">SUM(E48:M48)</f>
        <v>0</v>
      </c>
      <c r="T48" s="91"/>
      <c r="U48" s="100"/>
      <c r="V48" s="86">
        <f t="shared" ref="V48:V49" si="72">C48</f>
        <v>0</v>
      </c>
      <c r="W48" s="87">
        <v>2019</v>
      </c>
      <c r="X48" s="88"/>
      <c r="Y48" s="121"/>
      <c r="Z48" s="121"/>
      <c r="AA48" s="121"/>
      <c r="AB48" s="121"/>
      <c r="AC48" s="121"/>
      <c r="AD48" s="121"/>
      <c r="AE48" s="121"/>
      <c r="AF48" s="122"/>
      <c r="AG48" s="122"/>
      <c r="AH48" s="122"/>
      <c r="AI48" s="123"/>
      <c r="AJ48" s="89">
        <f>SUM(X48:AI48)</f>
        <v>0</v>
      </c>
      <c r="AK48" s="90">
        <f t="shared" ref="AK48:AK50" si="73">SUM(X48:AF48)</f>
        <v>0</v>
      </c>
    </row>
    <row r="49" spans="1:38" hidden="1">
      <c r="A49" s="91"/>
      <c r="B49" s="100"/>
      <c r="C49" s="92"/>
      <c r="D49" s="93" t="s">
        <v>92</v>
      </c>
      <c r="E49" s="94"/>
      <c r="F49" s="97"/>
      <c r="G49" s="97"/>
      <c r="H49" s="97"/>
      <c r="I49" s="97"/>
      <c r="J49" s="97"/>
      <c r="K49" s="97"/>
      <c r="L49" s="97"/>
      <c r="M49" s="98"/>
      <c r="N49" s="98"/>
      <c r="O49" s="98"/>
      <c r="P49" s="99"/>
      <c r="Q49" s="95">
        <f>SUM(E49:P49)</f>
        <v>0</v>
      </c>
      <c r="R49" s="96">
        <f t="shared" si="7"/>
        <v>0</v>
      </c>
      <c r="T49" s="91"/>
      <c r="U49" s="100"/>
      <c r="V49" s="92">
        <f t="shared" si="72"/>
        <v>0</v>
      </c>
      <c r="W49" s="93" t="s">
        <v>92</v>
      </c>
      <c r="X49" s="94"/>
      <c r="Y49" s="97"/>
      <c r="Z49" s="97"/>
      <c r="AA49" s="97"/>
      <c r="AB49" s="97"/>
      <c r="AC49" s="97"/>
      <c r="AD49" s="97"/>
      <c r="AE49" s="97"/>
      <c r="AF49" s="98"/>
      <c r="AG49" s="98"/>
      <c r="AH49" s="98"/>
      <c r="AI49" s="99"/>
      <c r="AJ49" s="95">
        <f>SUM(X49:AI49)</f>
        <v>0</v>
      </c>
      <c r="AK49" s="96">
        <f t="shared" si="73"/>
        <v>0</v>
      </c>
    </row>
    <row r="50" spans="1:38" hidden="1">
      <c r="A50" s="91"/>
      <c r="B50" s="100"/>
      <c r="C50" s="92"/>
      <c r="D50" s="101">
        <v>2020</v>
      </c>
      <c r="E50" s="102"/>
      <c r="F50" s="124"/>
      <c r="G50" s="124"/>
      <c r="H50" s="124"/>
      <c r="I50" s="124"/>
      <c r="J50" s="124"/>
      <c r="K50" s="124"/>
      <c r="L50" s="124"/>
      <c r="M50" s="125"/>
      <c r="N50" s="125"/>
      <c r="O50" s="125"/>
      <c r="P50" s="126"/>
      <c r="Q50" s="103">
        <f>SUM(E50:P50)</f>
        <v>0</v>
      </c>
      <c r="R50" s="104">
        <f t="shared" si="7"/>
        <v>0</v>
      </c>
      <c r="S50" s="105"/>
      <c r="T50" s="91"/>
      <c r="U50" s="100"/>
      <c r="V50" s="92"/>
      <c r="W50" s="101">
        <v>2020</v>
      </c>
      <c r="X50" s="102"/>
      <c r="Y50" s="124"/>
      <c r="Z50" s="124"/>
      <c r="AA50" s="124"/>
      <c r="AB50" s="124"/>
      <c r="AC50" s="124"/>
      <c r="AD50" s="124"/>
      <c r="AE50" s="124"/>
      <c r="AF50" s="125"/>
      <c r="AG50" s="125"/>
      <c r="AH50" s="125"/>
      <c r="AI50" s="126"/>
      <c r="AJ50" s="103">
        <f>SUM(X50:AI50)</f>
        <v>0</v>
      </c>
      <c r="AK50" s="104">
        <f t="shared" si="73"/>
        <v>0</v>
      </c>
      <c r="AL50" s="105"/>
    </row>
    <row r="51" spans="1:38" hidden="1">
      <c r="A51" s="91"/>
      <c r="B51" s="100"/>
      <c r="C51" s="92"/>
      <c r="D51" s="101" t="s">
        <v>102</v>
      </c>
      <c r="E51" s="106" t="e">
        <f>E50/E49</f>
        <v>#DIV/0!</v>
      </c>
      <c r="F51" s="106" t="e">
        <f t="shared" ref="F51:R51" si="74">F50/F49</f>
        <v>#DIV/0!</v>
      </c>
      <c r="G51" s="106" t="e">
        <f t="shared" si="74"/>
        <v>#DIV/0!</v>
      </c>
      <c r="H51" s="106" t="e">
        <f t="shared" si="74"/>
        <v>#DIV/0!</v>
      </c>
      <c r="I51" s="106" t="e">
        <f t="shared" si="74"/>
        <v>#DIV/0!</v>
      </c>
      <c r="J51" s="106" t="e">
        <f t="shared" si="74"/>
        <v>#DIV/0!</v>
      </c>
      <c r="K51" s="106" t="e">
        <f t="shared" si="74"/>
        <v>#DIV/0!</v>
      </c>
      <c r="L51" s="106" t="e">
        <f t="shared" si="74"/>
        <v>#DIV/0!</v>
      </c>
      <c r="M51" s="107" t="e">
        <f t="shared" si="74"/>
        <v>#DIV/0!</v>
      </c>
      <c r="N51" s="107" t="e">
        <f t="shared" si="74"/>
        <v>#DIV/0!</v>
      </c>
      <c r="O51" s="107" t="e">
        <f t="shared" si="74"/>
        <v>#DIV/0!</v>
      </c>
      <c r="P51" s="108" t="e">
        <f t="shared" si="74"/>
        <v>#DIV/0!</v>
      </c>
      <c r="Q51" s="109" t="e">
        <f t="shared" si="74"/>
        <v>#DIV/0!</v>
      </c>
      <c r="R51" s="110" t="e">
        <f t="shared" si="74"/>
        <v>#DIV/0!</v>
      </c>
      <c r="S51" s="105"/>
      <c r="T51" s="91"/>
      <c r="U51" s="100"/>
      <c r="V51" s="92"/>
      <c r="W51" s="101" t="s">
        <v>102</v>
      </c>
      <c r="X51" s="106" t="e">
        <f>X50/X49</f>
        <v>#DIV/0!</v>
      </c>
      <c r="Y51" s="106" t="e">
        <f t="shared" ref="Y51:AK51" si="75">Y50/Y49</f>
        <v>#DIV/0!</v>
      </c>
      <c r="Z51" s="106" t="e">
        <f t="shared" si="75"/>
        <v>#DIV/0!</v>
      </c>
      <c r="AA51" s="106" t="e">
        <f t="shared" si="75"/>
        <v>#DIV/0!</v>
      </c>
      <c r="AB51" s="106" t="e">
        <f t="shared" si="75"/>
        <v>#DIV/0!</v>
      </c>
      <c r="AC51" s="106" t="e">
        <f t="shared" si="75"/>
        <v>#DIV/0!</v>
      </c>
      <c r="AD51" s="106" t="e">
        <f t="shared" si="75"/>
        <v>#DIV/0!</v>
      </c>
      <c r="AE51" s="106" t="e">
        <f t="shared" si="75"/>
        <v>#DIV/0!</v>
      </c>
      <c r="AF51" s="107" t="e">
        <f t="shared" si="75"/>
        <v>#DIV/0!</v>
      </c>
      <c r="AG51" s="107" t="e">
        <f t="shared" si="75"/>
        <v>#DIV/0!</v>
      </c>
      <c r="AH51" s="107" t="e">
        <f t="shared" si="75"/>
        <v>#DIV/0!</v>
      </c>
      <c r="AI51" s="108" t="e">
        <f t="shared" si="75"/>
        <v>#DIV/0!</v>
      </c>
      <c r="AJ51" s="109" t="e">
        <f t="shared" si="75"/>
        <v>#DIV/0!</v>
      </c>
      <c r="AK51" s="110" t="e">
        <f t="shared" si="75"/>
        <v>#DIV/0!</v>
      </c>
      <c r="AL51" s="105"/>
    </row>
    <row r="52" spans="1:38" hidden="1">
      <c r="A52" s="91"/>
      <c r="B52" s="100"/>
      <c r="C52" s="111"/>
      <c r="D52" s="112" t="s">
        <v>103</v>
      </c>
      <c r="E52" s="113" t="e">
        <f>E50/E48</f>
        <v>#DIV/0!</v>
      </c>
      <c r="F52" s="113" t="e">
        <f t="shared" ref="F52:R52" si="76">F50/F48</f>
        <v>#DIV/0!</v>
      </c>
      <c r="G52" s="113" t="e">
        <f t="shared" si="76"/>
        <v>#DIV/0!</v>
      </c>
      <c r="H52" s="113" t="e">
        <f t="shared" si="76"/>
        <v>#DIV/0!</v>
      </c>
      <c r="I52" s="113" t="e">
        <f t="shared" si="76"/>
        <v>#DIV/0!</v>
      </c>
      <c r="J52" s="113" t="e">
        <f t="shared" si="76"/>
        <v>#DIV/0!</v>
      </c>
      <c r="K52" s="113" t="e">
        <f t="shared" si="76"/>
        <v>#DIV/0!</v>
      </c>
      <c r="L52" s="113" t="e">
        <f t="shared" si="76"/>
        <v>#DIV/0!</v>
      </c>
      <c r="M52" s="113" t="e">
        <f t="shared" si="76"/>
        <v>#DIV/0!</v>
      </c>
      <c r="N52" s="113" t="e">
        <f t="shared" si="76"/>
        <v>#DIV/0!</v>
      </c>
      <c r="O52" s="113" t="e">
        <f t="shared" si="76"/>
        <v>#DIV/0!</v>
      </c>
      <c r="P52" s="114" t="e">
        <f t="shared" si="76"/>
        <v>#DIV/0!</v>
      </c>
      <c r="Q52" s="115" t="e">
        <f t="shared" si="76"/>
        <v>#DIV/0!</v>
      </c>
      <c r="R52" s="116" t="e">
        <f t="shared" si="76"/>
        <v>#DIV/0!</v>
      </c>
      <c r="T52" s="91"/>
      <c r="U52" s="100"/>
      <c r="V52" s="111"/>
      <c r="W52" s="112" t="s">
        <v>103</v>
      </c>
      <c r="X52" s="113" t="e">
        <f>X50/X48</f>
        <v>#DIV/0!</v>
      </c>
      <c r="Y52" s="113" t="e">
        <f t="shared" ref="Y52:AK52" si="77">Y50/Y48</f>
        <v>#DIV/0!</v>
      </c>
      <c r="Z52" s="113" t="e">
        <f t="shared" si="77"/>
        <v>#DIV/0!</v>
      </c>
      <c r="AA52" s="113" t="e">
        <f t="shared" si="77"/>
        <v>#DIV/0!</v>
      </c>
      <c r="AB52" s="113" t="e">
        <f t="shared" si="77"/>
        <v>#DIV/0!</v>
      </c>
      <c r="AC52" s="113" t="e">
        <f t="shared" si="77"/>
        <v>#DIV/0!</v>
      </c>
      <c r="AD52" s="113" t="e">
        <f t="shared" si="77"/>
        <v>#DIV/0!</v>
      </c>
      <c r="AE52" s="113" t="e">
        <f t="shared" si="77"/>
        <v>#DIV/0!</v>
      </c>
      <c r="AF52" s="113" t="e">
        <f t="shared" si="77"/>
        <v>#DIV/0!</v>
      </c>
      <c r="AG52" s="113" t="e">
        <f t="shared" si="77"/>
        <v>#DIV/0!</v>
      </c>
      <c r="AH52" s="113" t="e">
        <f t="shared" si="77"/>
        <v>#DIV/0!</v>
      </c>
      <c r="AI52" s="114" t="e">
        <f t="shared" si="77"/>
        <v>#DIV/0!</v>
      </c>
      <c r="AJ52" s="115" t="e">
        <f t="shared" si="77"/>
        <v>#DIV/0!</v>
      </c>
      <c r="AK52" s="116" t="e">
        <f t="shared" si="77"/>
        <v>#DIV/0!</v>
      </c>
    </row>
    <row r="53" spans="1:38" hidden="1">
      <c r="A53" s="91"/>
      <c r="B53" s="100"/>
      <c r="C53" s="86"/>
      <c r="D53" s="87">
        <v>2019</v>
      </c>
      <c r="E53" s="88"/>
      <c r="F53" s="121"/>
      <c r="G53" s="121"/>
      <c r="H53" s="121"/>
      <c r="I53" s="121"/>
      <c r="J53" s="121"/>
      <c r="K53" s="121"/>
      <c r="L53" s="121"/>
      <c r="M53" s="122"/>
      <c r="N53" s="122"/>
      <c r="O53" s="122"/>
      <c r="P53" s="123"/>
      <c r="Q53" s="89">
        <f>SUM(E53:P53)</f>
        <v>0</v>
      </c>
      <c r="R53" s="90">
        <f t="shared" ref="R53" si="78">SUM(E53:M53)</f>
        <v>0</v>
      </c>
      <c r="T53" s="91"/>
      <c r="U53" s="100"/>
      <c r="V53" s="86">
        <f t="shared" ref="V53:V54" si="79">C53</f>
        <v>0</v>
      </c>
      <c r="W53" s="87">
        <v>2019</v>
      </c>
      <c r="X53" s="88"/>
      <c r="Y53" s="121"/>
      <c r="Z53" s="121"/>
      <c r="AA53" s="121"/>
      <c r="AB53" s="121"/>
      <c r="AC53" s="121"/>
      <c r="AD53" s="121"/>
      <c r="AE53" s="121"/>
      <c r="AF53" s="122"/>
      <c r="AG53" s="122"/>
      <c r="AH53" s="122"/>
      <c r="AI53" s="123"/>
      <c r="AJ53" s="89">
        <f>SUM(X53:AI53)</f>
        <v>0</v>
      </c>
      <c r="AK53" s="90">
        <f t="shared" ref="AK53:AK55" si="80">SUM(X53:AF53)</f>
        <v>0</v>
      </c>
    </row>
    <row r="54" spans="1:38" hidden="1">
      <c r="A54" s="91"/>
      <c r="B54" s="100"/>
      <c r="C54" s="92"/>
      <c r="D54" s="93" t="s">
        <v>92</v>
      </c>
      <c r="E54" s="94"/>
      <c r="F54" s="97"/>
      <c r="G54" s="97"/>
      <c r="H54" s="97"/>
      <c r="I54" s="97"/>
      <c r="J54" s="97"/>
      <c r="K54" s="97"/>
      <c r="L54" s="97"/>
      <c r="M54" s="98"/>
      <c r="N54" s="98"/>
      <c r="O54" s="98"/>
      <c r="P54" s="99"/>
      <c r="Q54" s="95">
        <f>SUM(E54:P54)</f>
        <v>0</v>
      </c>
      <c r="R54" s="96">
        <f t="shared" si="7"/>
        <v>0</v>
      </c>
      <c r="T54" s="91"/>
      <c r="U54" s="100"/>
      <c r="V54" s="92">
        <f t="shared" si="79"/>
        <v>0</v>
      </c>
      <c r="W54" s="93" t="s">
        <v>92</v>
      </c>
      <c r="X54" s="94"/>
      <c r="Y54" s="97"/>
      <c r="Z54" s="97"/>
      <c r="AA54" s="97"/>
      <c r="AB54" s="97"/>
      <c r="AC54" s="97"/>
      <c r="AD54" s="97"/>
      <c r="AE54" s="97"/>
      <c r="AF54" s="98"/>
      <c r="AG54" s="98"/>
      <c r="AH54" s="98"/>
      <c r="AI54" s="99"/>
      <c r="AJ54" s="95">
        <f>SUM(X54:AI54)</f>
        <v>0</v>
      </c>
      <c r="AK54" s="96">
        <f t="shared" si="80"/>
        <v>0</v>
      </c>
    </row>
    <row r="55" spans="1:38" hidden="1">
      <c r="A55" s="91"/>
      <c r="B55" s="100"/>
      <c r="C55" s="92"/>
      <c r="D55" s="101">
        <v>2020</v>
      </c>
      <c r="E55" s="102"/>
      <c r="F55" s="124"/>
      <c r="G55" s="124"/>
      <c r="H55" s="124"/>
      <c r="I55" s="124"/>
      <c r="J55" s="124"/>
      <c r="K55" s="124"/>
      <c r="L55" s="124"/>
      <c r="M55" s="125"/>
      <c r="N55" s="125"/>
      <c r="O55" s="125"/>
      <c r="P55" s="126"/>
      <c r="Q55" s="103">
        <f>SUM(E55:P55)</f>
        <v>0</v>
      </c>
      <c r="R55" s="104">
        <f t="shared" si="7"/>
        <v>0</v>
      </c>
      <c r="S55" s="105"/>
      <c r="T55" s="91"/>
      <c r="U55" s="100"/>
      <c r="V55" s="92"/>
      <c r="W55" s="101">
        <v>2020</v>
      </c>
      <c r="X55" s="102"/>
      <c r="Y55" s="124"/>
      <c r="Z55" s="124"/>
      <c r="AA55" s="124"/>
      <c r="AB55" s="124"/>
      <c r="AC55" s="124"/>
      <c r="AD55" s="124"/>
      <c r="AE55" s="124"/>
      <c r="AF55" s="125"/>
      <c r="AG55" s="125"/>
      <c r="AH55" s="125"/>
      <c r="AI55" s="126"/>
      <c r="AJ55" s="103">
        <f>SUM(X55:AI55)</f>
        <v>0</v>
      </c>
      <c r="AK55" s="104">
        <f t="shared" si="80"/>
        <v>0</v>
      </c>
      <c r="AL55" s="105"/>
    </row>
    <row r="56" spans="1:38" hidden="1">
      <c r="A56" s="91"/>
      <c r="B56" s="100"/>
      <c r="C56" s="92"/>
      <c r="D56" s="101" t="s">
        <v>102</v>
      </c>
      <c r="E56" s="106" t="e">
        <f>E55/E54</f>
        <v>#DIV/0!</v>
      </c>
      <c r="F56" s="106" t="e">
        <f t="shared" ref="F56:R56" si="81">F55/F54</f>
        <v>#DIV/0!</v>
      </c>
      <c r="G56" s="106" t="e">
        <f t="shared" si="81"/>
        <v>#DIV/0!</v>
      </c>
      <c r="H56" s="106" t="e">
        <f t="shared" si="81"/>
        <v>#DIV/0!</v>
      </c>
      <c r="I56" s="106" t="e">
        <f t="shared" si="81"/>
        <v>#DIV/0!</v>
      </c>
      <c r="J56" s="106" t="e">
        <f t="shared" si="81"/>
        <v>#DIV/0!</v>
      </c>
      <c r="K56" s="106" t="e">
        <f t="shared" si="81"/>
        <v>#DIV/0!</v>
      </c>
      <c r="L56" s="106" t="e">
        <f t="shared" si="81"/>
        <v>#DIV/0!</v>
      </c>
      <c r="M56" s="107" t="e">
        <f t="shared" si="81"/>
        <v>#DIV/0!</v>
      </c>
      <c r="N56" s="107" t="e">
        <f t="shared" si="81"/>
        <v>#DIV/0!</v>
      </c>
      <c r="O56" s="107" t="e">
        <f t="shared" si="81"/>
        <v>#DIV/0!</v>
      </c>
      <c r="P56" s="108" t="e">
        <f t="shared" si="81"/>
        <v>#DIV/0!</v>
      </c>
      <c r="Q56" s="109" t="e">
        <f t="shared" si="81"/>
        <v>#DIV/0!</v>
      </c>
      <c r="R56" s="110" t="e">
        <f t="shared" si="81"/>
        <v>#DIV/0!</v>
      </c>
      <c r="S56" s="105"/>
      <c r="T56" s="91"/>
      <c r="U56" s="100"/>
      <c r="V56" s="92"/>
      <c r="W56" s="101" t="s">
        <v>102</v>
      </c>
      <c r="X56" s="106" t="e">
        <f>X55/X54</f>
        <v>#DIV/0!</v>
      </c>
      <c r="Y56" s="106" t="e">
        <f t="shared" ref="Y56:AK56" si="82">Y55/Y54</f>
        <v>#DIV/0!</v>
      </c>
      <c r="Z56" s="106" t="e">
        <f t="shared" si="82"/>
        <v>#DIV/0!</v>
      </c>
      <c r="AA56" s="106" t="e">
        <f t="shared" si="82"/>
        <v>#DIV/0!</v>
      </c>
      <c r="AB56" s="106" t="e">
        <f t="shared" si="82"/>
        <v>#DIV/0!</v>
      </c>
      <c r="AC56" s="106" t="e">
        <f t="shared" si="82"/>
        <v>#DIV/0!</v>
      </c>
      <c r="AD56" s="106" t="e">
        <f t="shared" si="82"/>
        <v>#DIV/0!</v>
      </c>
      <c r="AE56" s="106" t="e">
        <f t="shared" si="82"/>
        <v>#DIV/0!</v>
      </c>
      <c r="AF56" s="107" t="e">
        <f t="shared" si="82"/>
        <v>#DIV/0!</v>
      </c>
      <c r="AG56" s="107" t="e">
        <f t="shared" si="82"/>
        <v>#DIV/0!</v>
      </c>
      <c r="AH56" s="107" t="e">
        <f t="shared" si="82"/>
        <v>#DIV/0!</v>
      </c>
      <c r="AI56" s="108" t="e">
        <f t="shared" si="82"/>
        <v>#DIV/0!</v>
      </c>
      <c r="AJ56" s="109" t="e">
        <f t="shared" si="82"/>
        <v>#DIV/0!</v>
      </c>
      <c r="AK56" s="110" t="e">
        <f t="shared" si="82"/>
        <v>#DIV/0!</v>
      </c>
      <c r="AL56" s="105"/>
    </row>
    <row r="57" spans="1:38" hidden="1">
      <c r="A57" s="91"/>
      <c r="B57" s="100"/>
      <c r="C57" s="111"/>
      <c r="D57" s="112" t="s">
        <v>103</v>
      </c>
      <c r="E57" s="113" t="e">
        <f>E55/E53</f>
        <v>#DIV/0!</v>
      </c>
      <c r="F57" s="113" t="e">
        <f t="shared" ref="F57:R57" si="83">F55/F53</f>
        <v>#DIV/0!</v>
      </c>
      <c r="G57" s="113" t="e">
        <f t="shared" si="83"/>
        <v>#DIV/0!</v>
      </c>
      <c r="H57" s="113" t="e">
        <f t="shared" si="83"/>
        <v>#DIV/0!</v>
      </c>
      <c r="I57" s="113" t="e">
        <f t="shared" si="83"/>
        <v>#DIV/0!</v>
      </c>
      <c r="J57" s="113" t="e">
        <f t="shared" si="83"/>
        <v>#DIV/0!</v>
      </c>
      <c r="K57" s="113" t="e">
        <f t="shared" si="83"/>
        <v>#DIV/0!</v>
      </c>
      <c r="L57" s="113" t="e">
        <f t="shared" si="83"/>
        <v>#DIV/0!</v>
      </c>
      <c r="M57" s="113" t="e">
        <f t="shared" si="83"/>
        <v>#DIV/0!</v>
      </c>
      <c r="N57" s="113" t="e">
        <f t="shared" si="83"/>
        <v>#DIV/0!</v>
      </c>
      <c r="O57" s="113" t="e">
        <f t="shared" si="83"/>
        <v>#DIV/0!</v>
      </c>
      <c r="P57" s="114" t="e">
        <f t="shared" si="83"/>
        <v>#DIV/0!</v>
      </c>
      <c r="Q57" s="115" t="e">
        <f t="shared" si="83"/>
        <v>#DIV/0!</v>
      </c>
      <c r="R57" s="116" t="e">
        <f t="shared" si="83"/>
        <v>#DIV/0!</v>
      </c>
      <c r="T57" s="91"/>
      <c r="U57" s="100"/>
      <c r="V57" s="111"/>
      <c r="W57" s="112" t="s">
        <v>103</v>
      </c>
      <c r="X57" s="113" t="e">
        <f>X55/X53</f>
        <v>#DIV/0!</v>
      </c>
      <c r="Y57" s="113" t="e">
        <f t="shared" ref="Y57:AK57" si="84">Y55/Y53</f>
        <v>#DIV/0!</v>
      </c>
      <c r="Z57" s="113" t="e">
        <f t="shared" si="84"/>
        <v>#DIV/0!</v>
      </c>
      <c r="AA57" s="113" t="e">
        <f t="shared" si="84"/>
        <v>#DIV/0!</v>
      </c>
      <c r="AB57" s="113" t="e">
        <f t="shared" si="84"/>
        <v>#DIV/0!</v>
      </c>
      <c r="AC57" s="113" t="e">
        <f t="shared" si="84"/>
        <v>#DIV/0!</v>
      </c>
      <c r="AD57" s="113" t="e">
        <f t="shared" si="84"/>
        <v>#DIV/0!</v>
      </c>
      <c r="AE57" s="113" t="e">
        <f t="shared" si="84"/>
        <v>#DIV/0!</v>
      </c>
      <c r="AF57" s="113" t="e">
        <f t="shared" si="84"/>
        <v>#DIV/0!</v>
      </c>
      <c r="AG57" s="113" t="e">
        <f t="shared" si="84"/>
        <v>#DIV/0!</v>
      </c>
      <c r="AH57" s="113" t="e">
        <f t="shared" si="84"/>
        <v>#DIV/0!</v>
      </c>
      <c r="AI57" s="114" t="e">
        <f t="shared" si="84"/>
        <v>#DIV/0!</v>
      </c>
      <c r="AJ57" s="115" t="e">
        <f t="shared" si="84"/>
        <v>#DIV/0!</v>
      </c>
      <c r="AK57" s="116" t="e">
        <f t="shared" si="84"/>
        <v>#DIV/0!</v>
      </c>
    </row>
    <row r="58" spans="1:38" hidden="1">
      <c r="A58" s="91"/>
      <c r="B58" s="100"/>
      <c r="C58" s="86"/>
      <c r="D58" s="87">
        <v>2019</v>
      </c>
      <c r="E58" s="88"/>
      <c r="F58" s="121"/>
      <c r="G58" s="121"/>
      <c r="H58" s="121"/>
      <c r="I58" s="121"/>
      <c r="J58" s="121"/>
      <c r="K58" s="121"/>
      <c r="L58" s="121"/>
      <c r="M58" s="122"/>
      <c r="N58" s="122"/>
      <c r="O58" s="122"/>
      <c r="P58" s="123"/>
      <c r="Q58" s="89">
        <f>SUM(E58:P58)</f>
        <v>0</v>
      </c>
      <c r="R58" s="90">
        <f t="shared" ref="R58" si="85">SUM(E58:M58)</f>
        <v>0</v>
      </c>
      <c r="T58" s="91"/>
      <c r="U58" s="100"/>
      <c r="V58" s="86">
        <f t="shared" ref="V58:V59" si="86">C58</f>
        <v>0</v>
      </c>
      <c r="W58" s="87">
        <v>2019</v>
      </c>
      <c r="X58" s="88"/>
      <c r="Y58" s="121"/>
      <c r="Z58" s="121"/>
      <c r="AA58" s="121"/>
      <c r="AB58" s="121"/>
      <c r="AC58" s="121"/>
      <c r="AD58" s="121"/>
      <c r="AE58" s="121"/>
      <c r="AF58" s="122"/>
      <c r="AG58" s="122"/>
      <c r="AH58" s="122"/>
      <c r="AI58" s="123"/>
      <c r="AJ58" s="89">
        <f>SUM(X58:AI58)</f>
        <v>0</v>
      </c>
      <c r="AK58" s="90">
        <f t="shared" ref="AK58:AK60" si="87">SUM(X58:AF58)</f>
        <v>0</v>
      </c>
    </row>
    <row r="59" spans="1:38" hidden="1">
      <c r="A59" s="91"/>
      <c r="B59" s="100"/>
      <c r="C59" s="92"/>
      <c r="D59" s="93" t="s">
        <v>92</v>
      </c>
      <c r="E59" s="94"/>
      <c r="F59" s="97"/>
      <c r="G59" s="97"/>
      <c r="H59" s="97"/>
      <c r="I59" s="97"/>
      <c r="J59" s="97"/>
      <c r="K59" s="97"/>
      <c r="L59" s="97"/>
      <c r="M59" s="98"/>
      <c r="N59" s="98"/>
      <c r="O59" s="98"/>
      <c r="P59" s="99"/>
      <c r="Q59" s="95">
        <f>SUM(E59:P59)</f>
        <v>0</v>
      </c>
      <c r="R59" s="96">
        <f t="shared" si="7"/>
        <v>0</v>
      </c>
      <c r="T59" s="91"/>
      <c r="U59" s="100"/>
      <c r="V59" s="92">
        <f t="shared" si="86"/>
        <v>0</v>
      </c>
      <c r="W59" s="93" t="s">
        <v>92</v>
      </c>
      <c r="X59" s="94"/>
      <c r="Y59" s="97"/>
      <c r="Z59" s="97"/>
      <c r="AA59" s="97"/>
      <c r="AB59" s="97"/>
      <c r="AC59" s="97"/>
      <c r="AD59" s="97"/>
      <c r="AE59" s="97"/>
      <c r="AF59" s="98"/>
      <c r="AG59" s="98"/>
      <c r="AH59" s="98"/>
      <c r="AI59" s="99"/>
      <c r="AJ59" s="95">
        <f>SUM(X59:AI59)</f>
        <v>0</v>
      </c>
      <c r="AK59" s="96">
        <f t="shared" si="87"/>
        <v>0</v>
      </c>
    </row>
    <row r="60" spans="1:38" hidden="1">
      <c r="A60" s="91"/>
      <c r="B60" s="100"/>
      <c r="C60" s="92"/>
      <c r="D60" s="101">
        <v>2020</v>
      </c>
      <c r="E60" s="102"/>
      <c r="F60" s="124"/>
      <c r="G60" s="124"/>
      <c r="H60" s="124"/>
      <c r="I60" s="124"/>
      <c r="J60" s="124"/>
      <c r="K60" s="124"/>
      <c r="L60" s="124"/>
      <c r="M60" s="125"/>
      <c r="N60" s="125"/>
      <c r="O60" s="125"/>
      <c r="P60" s="126"/>
      <c r="Q60" s="103">
        <f>SUM(E60:P60)</f>
        <v>0</v>
      </c>
      <c r="R60" s="104">
        <f t="shared" si="7"/>
        <v>0</v>
      </c>
      <c r="S60" s="105"/>
      <c r="T60" s="91"/>
      <c r="U60" s="100"/>
      <c r="V60" s="92"/>
      <c r="W60" s="101">
        <v>2020</v>
      </c>
      <c r="X60" s="102"/>
      <c r="Y60" s="124"/>
      <c r="Z60" s="124"/>
      <c r="AA60" s="124"/>
      <c r="AB60" s="124"/>
      <c r="AC60" s="124"/>
      <c r="AD60" s="124"/>
      <c r="AE60" s="124"/>
      <c r="AF60" s="125"/>
      <c r="AG60" s="125"/>
      <c r="AH60" s="125"/>
      <c r="AI60" s="126"/>
      <c r="AJ60" s="103">
        <f>SUM(X60:AI60)</f>
        <v>0</v>
      </c>
      <c r="AK60" s="104">
        <f t="shared" si="87"/>
        <v>0</v>
      </c>
      <c r="AL60" s="105"/>
    </row>
    <row r="61" spans="1:38" hidden="1">
      <c r="A61" s="91"/>
      <c r="B61" s="100"/>
      <c r="C61" s="92"/>
      <c r="D61" s="101" t="s">
        <v>102</v>
      </c>
      <c r="E61" s="106" t="e">
        <f>E60/E59</f>
        <v>#DIV/0!</v>
      </c>
      <c r="F61" s="106" t="e">
        <f t="shared" ref="F61:R61" si="88">F60/F59</f>
        <v>#DIV/0!</v>
      </c>
      <c r="G61" s="106" t="e">
        <f t="shared" si="88"/>
        <v>#DIV/0!</v>
      </c>
      <c r="H61" s="106" t="e">
        <f t="shared" si="88"/>
        <v>#DIV/0!</v>
      </c>
      <c r="I61" s="106" t="e">
        <f t="shared" si="88"/>
        <v>#DIV/0!</v>
      </c>
      <c r="J61" s="106" t="e">
        <f t="shared" si="88"/>
        <v>#DIV/0!</v>
      </c>
      <c r="K61" s="106" t="e">
        <f t="shared" si="88"/>
        <v>#DIV/0!</v>
      </c>
      <c r="L61" s="106" t="e">
        <f t="shared" si="88"/>
        <v>#DIV/0!</v>
      </c>
      <c r="M61" s="107" t="e">
        <f t="shared" si="88"/>
        <v>#DIV/0!</v>
      </c>
      <c r="N61" s="107" t="e">
        <f t="shared" si="88"/>
        <v>#DIV/0!</v>
      </c>
      <c r="O61" s="107" t="e">
        <f t="shared" si="88"/>
        <v>#DIV/0!</v>
      </c>
      <c r="P61" s="108" t="e">
        <f t="shared" si="88"/>
        <v>#DIV/0!</v>
      </c>
      <c r="Q61" s="109" t="e">
        <f t="shared" si="88"/>
        <v>#DIV/0!</v>
      </c>
      <c r="R61" s="110" t="e">
        <f t="shared" si="88"/>
        <v>#DIV/0!</v>
      </c>
      <c r="S61" s="105"/>
      <c r="T61" s="91"/>
      <c r="U61" s="100"/>
      <c r="V61" s="92"/>
      <c r="W61" s="101" t="s">
        <v>102</v>
      </c>
      <c r="X61" s="106" t="e">
        <f>X60/X59</f>
        <v>#DIV/0!</v>
      </c>
      <c r="Y61" s="106" t="e">
        <f t="shared" ref="Y61:AK61" si="89">Y60/Y59</f>
        <v>#DIV/0!</v>
      </c>
      <c r="Z61" s="106" t="e">
        <f t="shared" si="89"/>
        <v>#DIV/0!</v>
      </c>
      <c r="AA61" s="106" t="e">
        <f t="shared" si="89"/>
        <v>#DIV/0!</v>
      </c>
      <c r="AB61" s="106" t="e">
        <f t="shared" si="89"/>
        <v>#DIV/0!</v>
      </c>
      <c r="AC61" s="106" t="e">
        <f t="shared" si="89"/>
        <v>#DIV/0!</v>
      </c>
      <c r="AD61" s="106" t="e">
        <f t="shared" si="89"/>
        <v>#DIV/0!</v>
      </c>
      <c r="AE61" s="106" t="e">
        <f t="shared" si="89"/>
        <v>#DIV/0!</v>
      </c>
      <c r="AF61" s="107" t="e">
        <f t="shared" si="89"/>
        <v>#DIV/0!</v>
      </c>
      <c r="AG61" s="107" t="e">
        <f t="shared" si="89"/>
        <v>#DIV/0!</v>
      </c>
      <c r="AH61" s="107" t="e">
        <f t="shared" si="89"/>
        <v>#DIV/0!</v>
      </c>
      <c r="AI61" s="108" t="e">
        <f t="shared" si="89"/>
        <v>#DIV/0!</v>
      </c>
      <c r="AJ61" s="109" t="e">
        <f t="shared" si="89"/>
        <v>#DIV/0!</v>
      </c>
      <c r="AK61" s="110" t="e">
        <f t="shared" si="89"/>
        <v>#DIV/0!</v>
      </c>
      <c r="AL61" s="105"/>
    </row>
    <row r="62" spans="1:38" hidden="1">
      <c r="A62" s="91"/>
      <c r="B62" s="100"/>
      <c r="C62" s="111"/>
      <c r="D62" s="112" t="s">
        <v>103</v>
      </c>
      <c r="E62" s="113" t="e">
        <f>E60/E58</f>
        <v>#DIV/0!</v>
      </c>
      <c r="F62" s="113" t="e">
        <f t="shared" ref="F62:R62" si="90">F60/F58</f>
        <v>#DIV/0!</v>
      </c>
      <c r="G62" s="113" t="e">
        <f t="shared" si="90"/>
        <v>#DIV/0!</v>
      </c>
      <c r="H62" s="113" t="e">
        <f t="shared" si="90"/>
        <v>#DIV/0!</v>
      </c>
      <c r="I62" s="113" t="e">
        <f t="shared" si="90"/>
        <v>#DIV/0!</v>
      </c>
      <c r="J62" s="113" t="e">
        <f t="shared" si="90"/>
        <v>#DIV/0!</v>
      </c>
      <c r="K62" s="113" t="e">
        <f t="shared" si="90"/>
        <v>#DIV/0!</v>
      </c>
      <c r="L62" s="113" t="e">
        <f t="shared" si="90"/>
        <v>#DIV/0!</v>
      </c>
      <c r="M62" s="113" t="e">
        <f t="shared" si="90"/>
        <v>#DIV/0!</v>
      </c>
      <c r="N62" s="113" t="e">
        <f t="shared" si="90"/>
        <v>#DIV/0!</v>
      </c>
      <c r="O62" s="113" t="e">
        <f t="shared" si="90"/>
        <v>#DIV/0!</v>
      </c>
      <c r="P62" s="114" t="e">
        <f t="shared" si="90"/>
        <v>#DIV/0!</v>
      </c>
      <c r="Q62" s="115" t="e">
        <f t="shared" si="90"/>
        <v>#DIV/0!</v>
      </c>
      <c r="R62" s="116" t="e">
        <f t="shared" si="90"/>
        <v>#DIV/0!</v>
      </c>
      <c r="T62" s="91"/>
      <c r="U62" s="100"/>
      <c r="V62" s="111"/>
      <c r="W62" s="112" t="s">
        <v>103</v>
      </c>
      <c r="X62" s="113" t="e">
        <f>X60/X58</f>
        <v>#DIV/0!</v>
      </c>
      <c r="Y62" s="113" t="e">
        <f t="shared" ref="Y62:AK62" si="91">Y60/Y58</f>
        <v>#DIV/0!</v>
      </c>
      <c r="Z62" s="113" t="e">
        <f t="shared" si="91"/>
        <v>#DIV/0!</v>
      </c>
      <c r="AA62" s="113" t="e">
        <f t="shared" si="91"/>
        <v>#DIV/0!</v>
      </c>
      <c r="AB62" s="113" t="e">
        <f t="shared" si="91"/>
        <v>#DIV/0!</v>
      </c>
      <c r="AC62" s="113" t="e">
        <f t="shared" si="91"/>
        <v>#DIV/0!</v>
      </c>
      <c r="AD62" s="113" t="e">
        <f t="shared" si="91"/>
        <v>#DIV/0!</v>
      </c>
      <c r="AE62" s="113" t="e">
        <f t="shared" si="91"/>
        <v>#DIV/0!</v>
      </c>
      <c r="AF62" s="113" t="e">
        <f t="shared" si="91"/>
        <v>#DIV/0!</v>
      </c>
      <c r="AG62" s="113" t="e">
        <f t="shared" si="91"/>
        <v>#DIV/0!</v>
      </c>
      <c r="AH62" s="113" t="e">
        <f t="shared" si="91"/>
        <v>#DIV/0!</v>
      </c>
      <c r="AI62" s="114" t="e">
        <f t="shared" si="91"/>
        <v>#DIV/0!</v>
      </c>
      <c r="AJ62" s="115" t="e">
        <f t="shared" si="91"/>
        <v>#DIV/0!</v>
      </c>
      <c r="AK62" s="116" t="e">
        <f t="shared" si="91"/>
        <v>#DIV/0!</v>
      </c>
    </row>
    <row r="63" spans="1:38" hidden="1">
      <c r="A63" s="91"/>
      <c r="B63" s="100"/>
      <c r="C63" s="86"/>
      <c r="D63" s="87">
        <v>2019</v>
      </c>
      <c r="E63" s="88"/>
      <c r="F63" s="121"/>
      <c r="G63" s="121"/>
      <c r="H63" s="121"/>
      <c r="I63" s="121"/>
      <c r="J63" s="121"/>
      <c r="K63" s="121"/>
      <c r="L63" s="121"/>
      <c r="M63" s="122"/>
      <c r="N63" s="122"/>
      <c r="O63" s="122"/>
      <c r="P63" s="123"/>
      <c r="Q63" s="89">
        <f>SUM(E63:P63)</f>
        <v>0</v>
      </c>
      <c r="R63" s="90">
        <f t="shared" ref="R63" si="92">SUM(E63:M63)</f>
        <v>0</v>
      </c>
      <c r="T63" s="91"/>
      <c r="U63" s="100"/>
      <c r="V63" s="86">
        <f t="shared" ref="V63:V64" si="93">C63</f>
        <v>0</v>
      </c>
      <c r="W63" s="87">
        <v>2019</v>
      </c>
      <c r="X63" s="88"/>
      <c r="Y63" s="121"/>
      <c r="Z63" s="121"/>
      <c r="AA63" s="121"/>
      <c r="AB63" s="121"/>
      <c r="AC63" s="121"/>
      <c r="AD63" s="121"/>
      <c r="AE63" s="121"/>
      <c r="AF63" s="122"/>
      <c r="AG63" s="122"/>
      <c r="AH63" s="122"/>
      <c r="AI63" s="123"/>
      <c r="AJ63" s="89">
        <f>SUM(X63:AI63)</f>
        <v>0</v>
      </c>
      <c r="AK63" s="90">
        <f t="shared" ref="AK63:AK65" si="94">SUM(X63:AF63)</f>
        <v>0</v>
      </c>
    </row>
    <row r="64" spans="1:38" hidden="1">
      <c r="A64" s="91"/>
      <c r="B64" s="100"/>
      <c r="C64" s="92"/>
      <c r="D64" s="93" t="s">
        <v>92</v>
      </c>
      <c r="E64" s="94"/>
      <c r="F64" s="97"/>
      <c r="G64" s="97"/>
      <c r="H64" s="97"/>
      <c r="I64" s="97"/>
      <c r="J64" s="97"/>
      <c r="K64" s="97"/>
      <c r="L64" s="97"/>
      <c r="M64" s="98"/>
      <c r="N64" s="98"/>
      <c r="O64" s="98"/>
      <c r="P64" s="99"/>
      <c r="Q64" s="95">
        <f>SUM(E64:P64)</f>
        <v>0</v>
      </c>
      <c r="R64" s="96">
        <f t="shared" si="7"/>
        <v>0</v>
      </c>
      <c r="T64" s="91"/>
      <c r="U64" s="100"/>
      <c r="V64" s="92">
        <f t="shared" si="93"/>
        <v>0</v>
      </c>
      <c r="W64" s="93" t="s">
        <v>92</v>
      </c>
      <c r="X64" s="94"/>
      <c r="Y64" s="97"/>
      <c r="Z64" s="97"/>
      <c r="AA64" s="97"/>
      <c r="AB64" s="97"/>
      <c r="AC64" s="97"/>
      <c r="AD64" s="97"/>
      <c r="AE64" s="97"/>
      <c r="AF64" s="98"/>
      <c r="AG64" s="98"/>
      <c r="AH64" s="98"/>
      <c r="AI64" s="99"/>
      <c r="AJ64" s="95">
        <f>SUM(X64:AI64)</f>
        <v>0</v>
      </c>
      <c r="AK64" s="96">
        <f t="shared" si="94"/>
        <v>0</v>
      </c>
    </row>
    <row r="65" spans="1:38" hidden="1">
      <c r="A65" s="91"/>
      <c r="B65" s="100"/>
      <c r="C65" s="92"/>
      <c r="D65" s="101">
        <v>2020</v>
      </c>
      <c r="E65" s="102"/>
      <c r="F65" s="124"/>
      <c r="G65" s="124"/>
      <c r="H65" s="124"/>
      <c r="I65" s="124"/>
      <c r="J65" s="124"/>
      <c r="K65" s="124"/>
      <c r="L65" s="124"/>
      <c r="M65" s="125"/>
      <c r="N65" s="125"/>
      <c r="O65" s="125"/>
      <c r="P65" s="126"/>
      <c r="Q65" s="103">
        <f>SUM(E65:P65)</f>
        <v>0</v>
      </c>
      <c r="R65" s="104">
        <f t="shared" si="7"/>
        <v>0</v>
      </c>
      <c r="S65" s="105"/>
      <c r="T65" s="91"/>
      <c r="U65" s="100"/>
      <c r="V65" s="92"/>
      <c r="W65" s="101">
        <v>2020</v>
      </c>
      <c r="X65" s="102"/>
      <c r="Y65" s="124"/>
      <c r="Z65" s="124"/>
      <c r="AA65" s="124"/>
      <c r="AB65" s="124"/>
      <c r="AC65" s="124"/>
      <c r="AD65" s="124"/>
      <c r="AE65" s="124"/>
      <c r="AF65" s="125"/>
      <c r="AG65" s="125"/>
      <c r="AH65" s="125"/>
      <c r="AI65" s="126"/>
      <c r="AJ65" s="103">
        <f>SUM(X65:AI65)</f>
        <v>0</v>
      </c>
      <c r="AK65" s="104">
        <f t="shared" si="94"/>
        <v>0</v>
      </c>
      <c r="AL65" s="105"/>
    </row>
    <row r="66" spans="1:38" hidden="1">
      <c r="A66" s="91"/>
      <c r="B66" s="100"/>
      <c r="C66" s="92"/>
      <c r="D66" s="101" t="s">
        <v>102</v>
      </c>
      <c r="E66" s="106" t="e">
        <f>E65/E64</f>
        <v>#DIV/0!</v>
      </c>
      <c r="F66" s="106" t="e">
        <f t="shared" ref="F66:R66" si="95">F65/F64</f>
        <v>#DIV/0!</v>
      </c>
      <c r="G66" s="106" t="e">
        <f t="shared" si="95"/>
        <v>#DIV/0!</v>
      </c>
      <c r="H66" s="106" t="e">
        <f t="shared" si="95"/>
        <v>#DIV/0!</v>
      </c>
      <c r="I66" s="106" t="e">
        <f t="shared" si="95"/>
        <v>#DIV/0!</v>
      </c>
      <c r="J66" s="106" t="e">
        <f t="shared" si="95"/>
        <v>#DIV/0!</v>
      </c>
      <c r="K66" s="106" t="e">
        <f t="shared" si="95"/>
        <v>#DIV/0!</v>
      </c>
      <c r="L66" s="106" t="e">
        <f t="shared" si="95"/>
        <v>#DIV/0!</v>
      </c>
      <c r="M66" s="107" t="e">
        <f t="shared" si="95"/>
        <v>#DIV/0!</v>
      </c>
      <c r="N66" s="107" t="e">
        <f t="shared" si="95"/>
        <v>#DIV/0!</v>
      </c>
      <c r="O66" s="107" t="e">
        <f t="shared" si="95"/>
        <v>#DIV/0!</v>
      </c>
      <c r="P66" s="108" t="e">
        <f t="shared" si="95"/>
        <v>#DIV/0!</v>
      </c>
      <c r="Q66" s="109" t="e">
        <f t="shared" si="95"/>
        <v>#DIV/0!</v>
      </c>
      <c r="R66" s="110" t="e">
        <f t="shared" si="95"/>
        <v>#DIV/0!</v>
      </c>
      <c r="S66" s="105"/>
      <c r="T66" s="91"/>
      <c r="U66" s="100"/>
      <c r="V66" s="92"/>
      <c r="W66" s="101" t="s">
        <v>102</v>
      </c>
      <c r="X66" s="106" t="e">
        <f>X65/X64</f>
        <v>#DIV/0!</v>
      </c>
      <c r="Y66" s="106" t="e">
        <f t="shared" ref="Y66:AK66" si="96">Y65/Y64</f>
        <v>#DIV/0!</v>
      </c>
      <c r="Z66" s="106" t="e">
        <f t="shared" si="96"/>
        <v>#DIV/0!</v>
      </c>
      <c r="AA66" s="106" t="e">
        <f t="shared" si="96"/>
        <v>#DIV/0!</v>
      </c>
      <c r="AB66" s="106" t="e">
        <f t="shared" si="96"/>
        <v>#DIV/0!</v>
      </c>
      <c r="AC66" s="106" t="e">
        <f t="shared" si="96"/>
        <v>#DIV/0!</v>
      </c>
      <c r="AD66" s="106" t="e">
        <f t="shared" si="96"/>
        <v>#DIV/0!</v>
      </c>
      <c r="AE66" s="106" t="e">
        <f t="shared" si="96"/>
        <v>#DIV/0!</v>
      </c>
      <c r="AF66" s="107" t="e">
        <f t="shared" si="96"/>
        <v>#DIV/0!</v>
      </c>
      <c r="AG66" s="107" t="e">
        <f t="shared" si="96"/>
        <v>#DIV/0!</v>
      </c>
      <c r="AH66" s="107" t="e">
        <f t="shared" si="96"/>
        <v>#DIV/0!</v>
      </c>
      <c r="AI66" s="108" t="e">
        <f t="shared" si="96"/>
        <v>#DIV/0!</v>
      </c>
      <c r="AJ66" s="109" t="e">
        <f t="shared" si="96"/>
        <v>#DIV/0!</v>
      </c>
      <c r="AK66" s="110" t="e">
        <f t="shared" si="96"/>
        <v>#DIV/0!</v>
      </c>
      <c r="AL66" s="105"/>
    </row>
    <row r="67" spans="1:38" hidden="1">
      <c r="A67" s="91"/>
      <c r="B67" s="100"/>
      <c r="C67" s="111"/>
      <c r="D67" s="112" t="s">
        <v>103</v>
      </c>
      <c r="E67" s="113" t="e">
        <f>E65/E63</f>
        <v>#DIV/0!</v>
      </c>
      <c r="F67" s="113" t="e">
        <f t="shared" ref="F67:R67" si="97">F65/F63</f>
        <v>#DIV/0!</v>
      </c>
      <c r="G67" s="113" t="e">
        <f t="shared" si="97"/>
        <v>#DIV/0!</v>
      </c>
      <c r="H67" s="113" t="e">
        <f t="shared" si="97"/>
        <v>#DIV/0!</v>
      </c>
      <c r="I67" s="113" t="e">
        <f t="shared" si="97"/>
        <v>#DIV/0!</v>
      </c>
      <c r="J67" s="113" t="e">
        <f t="shared" si="97"/>
        <v>#DIV/0!</v>
      </c>
      <c r="K67" s="113" t="e">
        <f t="shared" si="97"/>
        <v>#DIV/0!</v>
      </c>
      <c r="L67" s="113" t="e">
        <f t="shared" si="97"/>
        <v>#DIV/0!</v>
      </c>
      <c r="M67" s="113" t="e">
        <f t="shared" si="97"/>
        <v>#DIV/0!</v>
      </c>
      <c r="N67" s="113" t="e">
        <f t="shared" si="97"/>
        <v>#DIV/0!</v>
      </c>
      <c r="O67" s="113" t="e">
        <f t="shared" si="97"/>
        <v>#DIV/0!</v>
      </c>
      <c r="P67" s="114" t="e">
        <f t="shared" si="97"/>
        <v>#DIV/0!</v>
      </c>
      <c r="Q67" s="115" t="e">
        <f t="shared" si="97"/>
        <v>#DIV/0!</v>
      </c>
      <c r="R67" s="116" t="e">
        <f t="shared" si="97"/>
        <v>#DIV/0!</v>
      </c>
      <c r="T67" s="91"/>
      <c r="U67" s="100"/>
      <c r="V67" s="111"/>
      <c r="W67" s="112" t="s">
        <v>103</v>
      </c>
      <c r="X67" s="113" t="e">
        <f>X65/X63</f>
        <v>#DIV/0!</v>
      </c>
      <c r="Y67" s="113" t="e">
        <f t="shared" ref="Y67:AK67" si="98">Y65/Y63</f>
        <v>#DIV/0!</v>
      </c>
      <c r="Z67" s="113" t="e">
        <f t="shared" si="98"/>
        <v>#DIV/0!</v>
      </c>
      <c r="AA67" s="113" t="e">
        <f t="shared" si="98"/>
        <v>#DIV/0!</v>
      </c>
      <c r="AB67" s="113" t="e">
        <f t="shared" si="98"/>
        <v>#DIV/0!</v>
      </c>
      <c r="AC67" s="113" t="e">
        <f t="shared" si="98"/>
        <v>#DIV/0!</v>
      </c>
      <c r="AD67" s="113" t="e">
        <f t="shared" si="98"/>
        <v>#DIV/0!</v>
      </c>
      <c r="AE67" s="113" t="e">
        <f t="shared" si="98"/>
        <v>#DIV/0!</v>
      </c>
      <c r="AF67" s="113" t="e">
        <f t="shared" si="98"/>
        <v>#DIV/0!</v>
      </c>
      <c r="AG67" s="113" t="e">
        <f t="shared" si="98"/>
        <v>#DIV/0!</v>
      </c>
      <c r="AH67" s="113" t="e">
        <f t="shared" si="98"/>
        <v>#DIV/0!</v>
      </c>
      <c r="AI67" s="114" t="e">
        <f t="shared" si="98"/>
        <v>#DIV/0!</v>
      </c>
      <c r="AJ67" s="115" t="e">
        <f t="shared" si="98"/>
        <v>#DIV/0!</v>
      </c>
      <c r="AK67" s="116" t="e">
        <f t="shared" si="98"/>
        <v>#DIV/0!</v>
      </c>
    </row>
    <row r="68" spans="1:38">
      <c r="A68" s="91"/>
      <c r="B68" s="100"/>
      <c r="C68" s="86" t="s">
        <v>116</v>
      </c>
      <c r="D68" s="87">
        <v>2019</v>
      </c>
      <c r="E68" s="88">
        <f>X68</f>
        <v>48.74</v>
      </c>
      <c r="F68" s="88">
        <f t="shared" ref="F68:P69" si="99">Y68</f>
        <v>189.99599999999998</v>
      </c>
      <c r="G68" s="88">
        <f t="shared" si="99"/>
        <v>59.184000000000005</v>
      </c>
      <c r="H68" s="88">
        <f t="shared" si="99"/>
        <v>182.30399999999997</v>
      </c>
      <c r="I68" s="88">
        <f t="shared" si="99"/>
        <v>112.89700000000002</v>
      </c>
      <c r="J68" s="88">
        <f t="shared" si="99"/>
        <v>108.39699999999999</v>
      </c>
      <c r="K68" s="88">
        <f t="shared" si="99"/>
        <v>96.024000000000001</v>
      </c>
      <c r="L68" s="88">
        <f t="shared" si="99"/>
        <v>119.89200000000002</v>
      </c>
      <c r="M68" s="88">
        <f t="shared" si="99"/>
        <v>117.286</v>
      </c>
      <c r="N68" s="88">
        <f t="shared" si="99"/>
        <v>83.736000000000018</v>
      </c>
      <c r="O68" s="88">
        <f t="shared" si="99"/>
        <v>34.055999999999997</v>
      </c>
      <c r="P68" s="88">
        <f t="shared" si="99"/>
        <v>29.847000000000001</v>
      </c>
      <c r="Q68" s="89">
        <f>SUM(E68:P68)</f>
        <v>1182.3590000000002</v>
      </c>
      <c r="R68" s="90">
        <f t="shared" ref="R68" si="100">SUM(E68:M68)</f>
        <v>1034.72</v>
      </c>
      <c r="T68" s="91"/>
      <c r="U68" s="100"/>
      <c r="V68" s="86" t="str">
        <f t="shared" ref="V68:V69" si="101">C68</f>
        <v>その他</v>
      </c>
      <c r="W68" s="87">
        <v>2019</v>
      </c>
      <c r="X68" s="88">
        <f>[1]Sheet4!D12</f>
        <v>48.74</v>
      </c>
      <c r="Y68" s="88">
        <f>[1]Sheet4!E12</f>
        <v>189.99599999999998</v>
      </c>
      <c r="Z68" s="88">
        <f>[1]Sheet4!F12</f>
        <v>59.184000000000005</v>
      </c>
      <c r="AA68" s="88">
        <f>[1]Sheet4!G12</f>
        <v>182.30399999999997</v>
      </c>
      <c r="AB68" s="88">
        <f>[1]Sheet4!H12</f>
        <v>112.89700000000002</v>
      </c>
      <c r="AC68" s="88">
        <f>[1]Sheet4!I12</f>
        <v>108.39699999999999</v>
      </c>
      <c r="AD68" s="88">
        <f>[1]Sheet4!J12</f>
        <v>96.024000000000001</v>
      </c>
      <c r="AE68" s="88">
        <f>[1]Sheet4!K12</f>
        <v>119.89200000000002</v>
      </c>
      <c r="AF68" s="88">
        <f>[1]Sheet4!L12</f>
        <v>117.286</v>
      </c>
      <c r="AG68" s="88">
        <f>[1]Sheet4!M12</f>
        <v>83.736000000000018</v>
      </c>
      <c r="AH68" s="88">
        <f>[1]Sheet4!N12</f>
        <v>34.055999999999997</v>
      </c>
      <c r="AI68" s="88">
        <f>[1]Sheet4!O12</f>
        <v>29.847000000000001</v>
      </c>
      <c r="AJ68" s="89">
        <f>SUM(X68:AI68)</f>
        <v>1182.3590000000002</v>
      </c>
      <c r="AK68" s="90">
        <f t="shared" ref="AK68:AK70" si="102">SUM(X68:AF68)</f>
        <v>1034.72</v>
      </c>
    </row>
    <row r="69" spans="1:38">
      <c r="A69" s="91"/>
      <c r="B69" s="100"/>
      <c r="C69" s="92" t="s">
        <v>117</v>
      </c>
      <c r="D69" s="93" t="s">
        <v>92</v>
      </c>
      <c r="E69" s="94">
        <f>X69</f>
        <v>50</v>
      </c>
      <c r="F69" s="94">
        <f t="shared" si="99"/>
        <v>100</v>
      </c>
      <c r="G69" s="94">
        <f t="shared" si="99"/>
        <v>100</v>
      </c>
      <c r="H69" s="94">
        <f t="shared" si="99"/>
        <v>100</v>
      </c>
      <c r="I69" s="94">
        <f t="shared" si="99"/>
        <v>100</v>
      </c>
      <c r="J69" s="94">
        <f t="shared" si="99"/>
        <v>100</v>
      </c>
      <c r="K69" s="94">
        <f t="shared" si="99"/>
        <v>100</v>
      </c>
      <c r="L69" s="94">
        <f t="shared" si="99"/>
        <v>100</v>
      </c>
      <c r="M69" s="94">
        <f t="shared" si="99"/>
        <v>100</v>
      </c>
      <c r="N69" s="94">
        <f t="shared" si="99"/>
        <v>100</v>
      </c>
      <c r="O69" s="94">
        <f t="shared" si="99"/>
        <v>100</v>
      </c>
      <c r="P69" s="94">
        <f t="shared" si="99"/>
        <v>100</v>
      </c>
      <c r="Q69" s="95">
        <f>SUM(E69:P69)</f>
        <v>1150</v>
      </c>
      <c r="R69" s="96">
        <f t="shared" si="7"/>
        <v>850</v>
      </c>
      <c r="T69" s="91"/>
      <c r="U69" s="100"/>
      <c r="V69" s="92" t="str">
        <f t="shared" si="101"/>
        <v>Others</v>
      </c>
      <c r="W69" s="93" t="s">
        <v>92</v>
      </c>
      <c r="X69" s="94">
        <v>50</v>
      </c>
      <c r="Y69" s="94">
        <v>100</v>
      </c>
      <c r="Z69" s="94">
        <v>100</v>
      </c>
      <c r="AA69" s="94">
        <v>100</v>
      </c>
      <c r="AB69" s="94">
        <v>100</v>
      </c>
      <c r="AC69" s="94">
        <v>100</v>
      </c>
      <c r="AD69" s="94">
        <v>100</v>
      </c>
      <c r="AE69" s="94">
        <v>100</v>
      </c>
      <c r="AF69" s="94">
        <v>100</v>
      </c>
      <c r="AG69" s="94">
        <v>100</v>
      </c>
      <c r="AH69" s="94">
        <v>100</v>
      </c>
      <c r="AI69" s="94">
        <v>100</v>
      </c>
      <c r="AJ69" s="95">
        <f>SUM(X69:AI69)</f>
        <v>1150</v>
      </c>
      <c r="AK69" s="96">
        <f t="shared" si="102"/>
        <v>850</v>
      </c>
    </row>
    <row r="70" spans="1:38">
      <c r="A70" s="91"/>
      <c r="B70" s="100"/>
      <c r="C70" s="92" t="s">
        <v>118</v>
      </c>
      <c r="D70" s="101">
        <v>2020</v>
      </c>
      <c r="E70" s="102">
        <f>[2]Sheet4!BA12</f>
        <v>77.596000000000004</v>
      </c>
      <c r="F70" s="102">
        <f>[2]Sheet4!BB12</f>
        <v>36.559000000000005</v>
      </c>
      <c r="G70" s="102">
        <f>[2]Sheet4!BC12</f>
        <v>18.096</v>
      </c>
      <c r="H70" s="102">
        <f>[2]Sheet4!BD12</f>
        <v>0</v>
      </c>
      <c r="I70" s="102">
        <f>[2]Sheet4!BE12</f>
        <v>0</v>
      </c>
      <c r="J70" s="102">
        <f>[2]Sheet4!BF12</f>
        <v>0</v>
      </c>
      <c r="K70" s="102">
        <f>[2]Sheet4!BG12</f>
        <v>0</v>
      </c>
      <c r="L70" s="102">
        <f>[2]Sheet4!BH12</f>
        <v>0</v>
      </c>
      <c r="M70" s="102">
        <f>[2]Sheet4!BI12</f>
        <v>0</v>
      </c>
      <c r="N70" s="102">
        <f>[2]Sheet4!BJ12</f>
        <v>0</v>
      </c>
      <c r="O70" s="102">
        <f>[2]Sheet4!BK12</f>
        <v>0</v>
      </c>
      <c r="P70" s="102">
        <f>[2]Sheet4!BL12</f>
        <v>0</v>
      </c>
      <c r="Q70" s="103">
        <f>SUM(E70:P70)</f>
        <v>132.251</v>
      </c>
      <c r="R70" s="104">
        <f t="shared" si="7"/>
        <v>132.251</v>
      </c>
      <c r="S70" s="105"/>
      <c r="T70" s="91"/>
      <c r="U70" s="100"/>
      <c r="V70" s="92"/>
      <c r="W70" s="101">
        <v>2020</v>
      </c>
      <c r="X70" s="102">
        <f>E70-[2]Sheet4!BM12</f>
        <v>77.596000000000004</v>
      </c>
      <c r="Y70" s="102">
        <f>F70-[2]Sheet4!BN12</f>
        <v>36.559000000000005</v>
      </c>
      <c r="Z70" s="102">
        <f>G70-[2]Sheet4!BO12</f>
        <v>18.096</v>
      </c>
      <c r="AA70" s="102">
        <f>H70-[2]Sheet4!BP12</f>
        <v>0</v>
      </c>
      <c r="AB70" s="102">
        <f>I70-[2]Sheet4!BQ12</f>
        <v>0</v>
      </c>
      <c r="AC70" s="102">
        <f>J70-[2]Sheet4!BR12</f>
        <v>0</v>
      </c>
      <c r="AD70" s="102">
        <f>K70-[2]Sheet4!BS12</f>
        <v>0</v>
      </c>
      <c r="AE70" s="102">
        <f>L70-[2]Sheet4!BT12</f>
        <v>0</v>
      </c>
      <c r="AF70" s="102">
        <f>M70-[2]Sheet4!BU12</f>
        <v>0</v>
      </c>
      <c r="AG70" s="102">
        <f>N70-[2]Sheet4!BV12</f>
        <v>0</v>
      </c>
      <c r="AH70" s="102">
        <f>O70-[2]Sheet4!BW12</f>
        <v>0</v>
      </c>
      <c r="AI70" s="102">
        <f>P70-[2]Sheet4!BX12</f>
        <v>0</v>
      </c>
      <c r="AJ70" s="103">
        <f>SUM(X70:AI70)</f>
        <v>132.251</v>
      </c>
      <c r="AK70" s="104">
        <f t="shared" si="102"/>
        <v>132.251</v>
      </c>
      <c r="AL70" s="105"/>
    </row>
    <row r="71" spans="1:38">
      <c r="A71" s="91"/>
      <c r="B71" s="100"/>
      <c r="C71" s="92"/>
      <c r="D71" s="101" t="s">
        <v>102</v>
      </c>
      <c r="E71" s="106">
        <f>E70/E69</f>
        <v>1.55192</v>
      </c>
      <c r="F71" s="106">
        <f t="shared" ref="F71:R71" si="103">F70/F69</f>
        <v>0.36559000000000003</v>
      </c>
      <c r="G71" s="106">
        <f t="shared" si="103"/>
        <v>0.18096000000000001</v>
      </c>
      <c r="H71" s="106">
        <f t="shared" si="103"/>
        <v>0</v>
      </c>
      <c r="I71" s="106">
        <f t="shared" si="103"/>
        <v>0</v>
      </c>
      <c r="J71" s="106">
        <f t="shared" si="103"/>
        <v>0</v>
      </c>
      <c r="K71" s="106">
        <f t="shared" si="103"/>
        <v>0</v>
      </c>
      <c r="L71" s="106">
        <f t="shared" si="103"/>
        <v>0</v>
      </c>
      <c r="M71" s="107">
        <f t="shared" si="103"/>
        <v>0</v>
      </c>
      <c r="N71" s="107">
        <f t="shared" si="103"/>
        <v>0</v>
      </c>
      <c r="O71" s="107">
        <f t="shared" si="103"/>
        <v>0</v>
      </c>
      <c r="P71" s="108">
        <f t="shared" si="103"/>
        <v>0</v>
      </c>
      <c r="Q71" s="109">
        <f t="shared" si="103"/>
        <v>0.11500086956521739</v>
      </c>
      <c r="R71" s="110">
        <f t="shared" si="103"/>
        <v>0.15558941176470589</v>
      </c>
      <c r="S71" s="105"/>
      <c r="T71" s="91"/>
      <c r="U71" s="100"/>
      <c r="V71" s="92"/>
      <c r="W71" s="101" t="s">
        <v>102</v>
      </c>
      <c r="X71" s="106">
        <f>X70/X69</f>
        <v>1.55192</v>
      </c>
      <c r="Y71" s="106">
        <f t="shared" ref="Y71:AK71" si="104">Y70/Y69</f>
        <v>0.36559000000000003</v>
      </c>
      <c r="Z71" s="106">
        <f t="shared" si="104"/>
        <v>0.18096000000000001</v>
      </c>
      <c r="AA71" s="106">
        <f t="shared" si="104"/>
        <v>0</v>
      </c>
      <c r="AB71" s="106">
        <f t="shared" si="104"/>
        <v>0</v>
      </c>
      <c r="AC71" s="106">
        <f t="shared" si="104"/>
        <v>0</v>
      </c>
      <c r="AD71" s="106">
        <f t="shared" si="104"/>
        <v>0</v>
      </c>
      <c r="AE71" s="106">
        <f t="shared" si="104"/>
        <v>0</v>
      </c>
      <c r="AF71" s="107">
        <f t="shared" si="104"/>
        <v>0</v>
      </c>
      <c r="AG71" s="107">
        <f t="shared" si="104"/>
        <v>0</v>
      </c>
      <c r="AH71" s="107">
        <f t="shared" si="104"/>
        <v>0</v>
      </c>
      <c r="AI71" s="108">
        <f t="shared" si="104"/>
        <v>0</v>
      </c>
      <c r="AJ71" s="109">
        <f t="shared" si="104"/>
        <v>0.11500086956521739</v>
      </c>
      <c r="AK71" s="110">
        <f t="shared" si="104"/>
        <v>0.15558941176470589</v>
      </c>
      <c r="AL71" s="105"/>
    </row>
    <row r="72" spans="1:38">
      <c r="A72" s="91"/>
      <c r="B72" s="100"/>
      <c r="C72" s="111"/>
      <c r="D72" s="112" t="s">
        <v>103</v>
      </c>
      <c r="E72" s="113">
        <f>E70/E68</f>
        <v>1.5920393926959375</v>
      </c>
      <c r="F72" s="113">
        <f t="shared" ref="F72:R72" si="105">F70/F68</f>
        <v>0.19241984041769306</v>
      </c>
      <c r="G72" s="113">
        <f t="shared" si="105"/>
        <v>0.30575831305758311</v>
      </c>
      <c r="H72" s="113">
        <f t="shared" si="105"/>
        <v>0</v>
      </c>
      <c r="I72" s="113">
        <f t="shared" si="105"/>
        <v>0</v>
      </c>
      <c r="J72" s="113">
        <f t="shared" si="105"/>
        <v>0</v>
      </c>
      <c r="K72" s="113">
        <f t="shared" si="105"/>
        <v>0</v>
      </c>
      <c r="L72" s="113">
        <f t="shared" si="105"/>
        <v>0</v>
      </c>
      <c r="M72" s="113">
        <f t="shared" si="105"/>
        <v>0</v>
      </c>
      <c r="N72" s="113">
        <f t="shared" si="105"/>
        <v>0</v>
      </c>
      <c r="O72" s="113">
        <f t="shared" si="105"/>
        <v>0</v>
      </c>
      <c r="P72" s="114">
        <f t="shared" si="105"/>
        <v>0</v>
      </c>
      <c r="Q72" s="115">
        <f t="shared" si="105"/>
        <v>0.11185350642233026</v>
      </c>
      <c r="R72" s="116">
        <f t="shared" si="105"/>
        <v>0.12781332147827432</v>
      </c>
      <c r="T72" s="91"/>
      <c r="U72" s="100"/>
      <c r="V72" s="111"/>
      <c r="W72" s="112" t="s">
        <v>103</v>
      </c>
      <c r="X72" s="113">
        <f>X70/X68</f>
        <v>1.5920393926959375</v>
      </c>
      <c r="Y72" s="113">
        <f t="shared" ref="Y72:AK72" si="106">Y70/Y68</f>
        <v>0.19241984041769306</v>
      </c>
      <c r="Z72" s="113">
        <f t="shared" si="106"/>
        <v>0.30575831305758311</v>
      </c>
      <c r="AA72" s="113">
        <f t="shared" si="106"/>
        <v>0</v>
      </c>
      <c r="AB72" s="113">
        <f t="shared" si="106"/>
        <v>0</v>
      </c>
      <c r="AC72" s="113">
        <f t="shared" si="106"/>
        <v>0</v>
      </c>
      <c r="AD72" s="113">
        <f t="shared" si="106"/>
        <v>0</v>
      </c>
      <c r="AE72" s="113">
        <f t="shared" si="106"/>
        <v>0</v>
      </c>
      <c r="AF72" s="113">
        <f t="shared" si="106"/>
        <v>0</v>
      </c>
      <c r="AG72" s="113">
        <f t="shared" si="106"/>
        <v>0</v>
      </c>
      <c r="AH72" s="113">
        <f t="shared" si="106"/>
        <v>0</v>
      </c>
      <c r="AI72" s="114">
        <f t="shared" si="106"/>
        <v>0</v>
      </c>
      <c r="AJ72" s="115">
        <f t="shared" si="106"/>
        <v>0.11185350642233026</v>
      </c>
      <c r="AK72" s="116">
        <f t="shared" si="106"/>
        <v>0.12781332147827432</v>
      </c>
    </row>
    <row r="73" spans="1:38">
      <c r="A73" s="91"/>
      <c r="B73" s="303" t="s">
        <v>119</v>
      </c>
      <c r="C73" s="304"/>
      <c r="D73" s="127">
        <v>2019</v>
      </c>
      <c r="E73" s="128">
        <f>SUM(E68,E63,E58,E53,E48,E43,E38,E33,E28,E23,E18,E13,E8,E3)</f>
        <v>14368.086999999998</v>
      </c>
      <c r="F73" s="129">
        <f t="shared" ref="F73:P73" si="107">SUM(F68,F63,F58,F53,F48,F43,F38,F33,F28,F23,F18,F13,F8,F3)</f>
        <v>18434.846999999991</v>
      </c>
      <c r="G73" s="129">
        <f t="shared" si="107"/>
        <v>17669.880000000005</v>
      </c>
      <c r="H73" s="129">
        <f t="shared" si="107"/>
        <v>20829.798999999999</v>
      </c>
      <c r="I73" s="129">
        <f t="shared" si="107"/>
        <v>12416.486999999986</v>
      </c>
      <c r="J73" s="129">
        <f t="shared" si="107"/>
        <v>16634.21899999999</v>
      </c>
      <c r="K73" s="129">
        <f t="shared" si="107"/>
        <v>17817.79199999999</v>
      </c>
      <c r="L73" s="129">
        <f t="shared" si="107"/>
        <v>14512.405999999992</v>
      </c>
      <c r="M73" s="129">
        <f t="shared" si="107"/>
        <v>17310.710999999992</v>
      </c>
      <c r="N73" s="129">
        <f t="shared" si="107"/>
        <v>19059.775999999998</v>
      </c>
      <c r="O73" s="129">
        <f t="shared" si="107"/>
        <v>19214.578000000001</v>
      </c>
      <c r="P73" s="130">
        <f t="shared" si="107"/>
        <v>23345.610000000008</v>
      </c>
      <c r="Q73" s="131">
        <f>SUM(E73:P73)</f>
        <v>211614.19199999992</v>
      </c>
      <c r="R73" s="90">
        <f t="shared" ref="R73:R135" si="108">SUM(E73:M73)</f>
        <v>149994.22799999992</v>
      </c>
      <c r="T73" s="91"/>
      <c r="U73" s="309" t="s">
        <v>119</v>
      </c>
      <c r="V73" s="310"/>
      <c r="W73" s="132">
        <v>2019</v>
      </c>
      <c r="X73" s="133">
        <f>SUM(X68,X63,X58,X53,X48,X43,X38,X33,X28,X23,X18,X13,X8,X3)</f>
        <v>14368.086999999998</v>
      </c>
      <c r="Y73" s="134">
        <f t="shared" ref="Y73:AI73" si="109">SUM(Y68,Y63,Y58,Y53,Y48,Y43,Y38,Y33,Y28,Y23,Y18,Y13,Y8,Y3)</f>
        <v>18434.846999999991</v>
      </c>
      <c r="Z73" s="134">
        <f t="shared" si="109"/>
        <v>17669.880000000005</v>
      </c>
      <c r="AA73" s="134">
        <f t="shared" si="109"/>
        <v>20829.798999999999</v>
      </c>
      <c r="AB73" s="134">
        <f t="shared" si="109"/>
        <v>12416.486999999986</v>
      </c>
      <c r="AC73" s="134">
        <f t="shared" si="109"/>
        <v>16634.21899999999</v>
      </c>
      <c r="AD73" s="134">
        <f t="shared" si="109"/>
        <v>17817.79199999999</v>
      </c>
      <c r="AE73" s="134">
        <f t="shared" si="109"/>
        <v>14512.405999999992</v>
      </c>
      <c r="AF73" s="134">
        <f t="shared" si="109"/>
        <v>17310.710999999992</v>
      </c>
      <c r="AG73" s="134">
        <f t="shared" si="109"/>
        <v>19059.775999999998</v>
      </c>
      <c r="AH73" s="134">
        <f t="shared" si="109"/>
        <v>19214.578000000001</v>
      </c>
      <c r="AI73" s="135">
        <f t="shared" si="109"/>
        <v>23345.610000000008</v>
      </c>
      <c r="AJ73" s="136">
        <f>SUM(X73:AI73)</f>
        <v>211614.19199999992</v>
      </c>
      <c r="AK73" s="90">
        <f t="shared" ref="AK73:AK75" si="110">SUM(X73:AF73)</f>
        <v>149994.22799999992</v>
      </c>
    </row>
    <row r="74" spans="1:38">
      <c r="A74" s="91"/>
      <c r="B74" s="305"/>
      <c r="C74" s="306"/>
      <c r="D74" s="137" t="s">
        <v>92</v>
      </c>
      <c r="E74" s="138">
        <f t="shared" ref="E74:P75" si="111">SUM(E69,E64,E59,E54,E49,E44,E39,E34,E29,E24,E19,E14,E9,E4)</f>
        <v>12300</v>
      </c>
      <c r="F74" s="138">
        <f t="shared" si="111"/>
        <v>17090</v>
      </c>
      <c r="G74" s="138">
        <f t="shared" si="111"/>
        <v>19440</v>
      </c>
      <c r="H74" s="138">
        <f t="shared" si="111"/>
        <v>22440</v>
      </c>
      <c r="I74" s="138">
        <f t="shared" si="111"/>
        <v>15740</v>
      </c>
      <c r="J74" s="138">
        <f t="shared" si="111"/>
        <v>19390</v>
      </c>
      <c r="K74" s="138">
        <f t="shared" si="111"/>
        <v>21640</v>
      </c>
      <c r="L74" s="138">
        <f t="shared" si="111"/>
        <v>20190</v>
      </c>
      <c r="M74" s="138">
        <f t="shared" si="111"/>
        <v>21190</v>
      </c>
      <c r="N74" s="138">
        <f t="shared" si="111"/>
        <v>22290</v>
      </c>
      <c r="O74" s="138">
        <f t="shared" si="111"/>
        <v>23590</v>
      </c>
      <c r="P74" s="138">
        <f t="shared" si="111"/>
        <v>29790</v>
      </c>
      <c r="Q74" s="139">
        <f t="shared" ref="Q74:Q75" si="112">SUM(E74:P74)</f>
        <v>245090</v>
      </c>
      <c r="R74" s="96">
        <f t="shared" si="108"/>
        <v>169420</v>
      </c>
      <c r="T74" s="91"/>
      <c r="U74" s="311"/>
      <c r="V74" s="312"/>
      <c r="W74" s="140" t="s">
        <v>92</v>
      </c>
      <c r="X74" s="141">
        <f t="shared" ref="X74:AI75" si="113">SUM(X69,X64,X59,X54,X49,X44,X39,X34,X29,X24,X19,X14,X9,X4)</f>
        <v>11700</v>
      </c>
      <c r="Y74" s="141">
        <f t="shared" si="113"/>
        <v>16290</v>
      </c>
      <c r="Z74" s="141">
        <f t="shared" si="113"/>
        <v>18640</v>
      </c>
      <c r="AA74" s="141">
        <f t="shared" si="113"/>
        <v>21590</v>
      </c>
      <c r="AB74" s="141">
        <f t="shared" si="113"/>
        <v>14740</v>
      </c>
      <c r="AC74" s="141">
        <f t="shared" si="113"/>
        <v>18490</v>
      </c>
      <c r="AD74" s="141">
        <f t="shared" si="113"/>
        <v>20740</v>
      </c>
      <c r="AE74" s="141">
        <f t="shared" si="113"/>
        <v>19140</v>
      </c>
      <c r="AF74" s="141">
        <f t="shared" si="113"/>
        <v>20140</v>
      </c>
      <c r="AG74" s="141">
        <f t="shared" si="113"/>
        <v>21140</v>
      </c>
      <c r="AH74" s="141">
        <f t="shared" si="113"/>
        <v>22440</v>
      </c>
      <c r="AI74" s="141">
        <f t="shared" si="113"/>
        <v>28540</v>
      </c>
      <c r="AJ74" s="142">
        <f t="shared" ref="AJ74:AJ75" si="114">SUM(X74:AI74)</f>
        <v>233590</v>
      </c>
      <c r="AK74" s="96">
        <f t="shared" si="110"/>
        <v>161470</v>
      </c>
    </row>
    <row r="75" spans="1:38">
      <c r="A75" s="91"/>
      <c r="B75" s="305"/>
      <c r="C75" s="306"/>
      <c r="D75" s="143">
        <v>2020</v>
      </c>
      <c r="E75" s="144">
        <f>SUM(E70,E65,E60,E55,E50,E45,E40,E35,E30,E25,E20,E15,E10,E5)</f>
        <v>18326.896999999997</v>
      </c>
      <c r="F75" s="144">
        <f t="shared" si="111"/>
        <v>24427.498999999982</v>
      </c>
      <c r="G75" s="144">
        <f t="shared" si="111"/>
        <v>38656.799000000006</v>
      </c>
      <c r="H75" s="144">
        <f t="shared" si="111"/>
        <v>0</v>
      </c>
      <c r="I75" s="144">
        <f t="shared" si="111"/>
        <v>0</v>
      </c>
      <c r="J75" s="144">
        <f t="shared" si="111"/>
        <v>0</v>
      </c>
      <c r="K75" s="144">
        <f t="shared" si="111"/>
        <v>0</v>
      </c>
      <c r="L75" s="144">
        <f t="shared" si="111"/>
        <v>0</v>
      </c>
      <c r="M75" s="144">
        <f t="shared" si="111"/>
        <v>0</v>
      </c>
      <c r="N75" s="144">
        <f t="shared" si="111"/>
        <v>0</v>
      </c>
      <c r="O75" s="144">
        <f t="shared" si="111"/>
        <v>0</v>
      </c>
      <c r="P75" s="144">
        <f t="shared" si="111"/>
        <v>0</v>
      </c>
      <c r="Q75" s="145">
        <f t="shared" si="112"/>
        <v>81411.194999999978</v>
      </c>
      <c r="R75" s="104">
        <f t="shared" si="108"/>
        <v>81411.194999999978</v>
      </c>
      <c r="S75" s="105"/>
      <c r="T75" s="91"/>
      <c r="U75" s="311"/>
      <c r="V75" s="312"/>
      <c r="W75" s="146">
        <v>2020</v>
      </c>
      <c r="X75" s="147">
        <f>SUM(X70,X65,X60,X55,X50,X45,X40,X35,X30,X25,X20,X15,X10,X5)</f>
        <v>16661.692999999999</v>
      </c>
      <c r="Y75" s="147">
        <f t="shared" si="113"/>
        <v>23117.602999999981</v>
      </c>
      <c r="Z75" s="147">
        <f t="shared" si="113"/>
        <v>37150.829000000012</v>
      </c>
      <c r="AA75" s="147">
        <f t="shared" si="113"/>
        <v>0</v>
      </c>
      <c r="AB75" s="147">
        <f t="shared" si="113"/>
        <v>0</v>
      </c>
      <c r="AC75" s="147">
        <f t="shared" si="113"/>
        <v>0</v>
      </c>
      <c r="AD75" s="147">
        <f t="shared" si="113"/>
        <v>0</v>
      </c>
      <c r="AE75" s="147">
        <f t="shared" si="113"/>
        <v>0</v>
      </c>
      <c r="AF75" s="147">
        <f t="shared" si="113"/>
        <v>0</v>
      </c>
      <c r="AG75" s="147">
        <f t="shared" si="113"/>
        <v>0</v>
      </c>
      <c r="AH75" s="147">
        <f t="shared" si="113"/>
        <v>0</v>
      </c>
      <c r="AI75" s="147">
        <f t="shared" si="113"/>
        <v>0</v>
      </c>
      <c r="AJ75" s="148">
        <f t="shared" si="114"/>
        <v>76930.125</v>
      </c>
      <c r="AK75" s="104">
        <f t="shared" si="110"/>
        <v>76930.125</v>
      </c>
      <c r="AL75" s="105"/>
    </row>
    <row r="76" spans="1:38">
      <c r="A76" s="91"/>
      <c r="B76" s="305"/>
      <c r="C76" s="306"/>
      <c r="D76" s="143" t="s">
        <v>102</v>
      </c>
      <c r="E76" s="149">
        <f t="shared" ref="E76:R76" si="115">E75/E74</f>
        <v>1.48999162601626</v>
      </c>
      <c r="F76" s="149">
        <f t="shared" si="115"/>
        <v>1.4293445874780564</v>
      </c>
      <c r="G76" s="149">
        <f t="shared" si="115"/>
        <v>1.9885184670781897</v>
      </c>
      <c r="H76" s="149">
        <f t="shared" si="115"/>
        <v>0</v>
      </c>
      <c r="I76" s="149">
        <f t="shared" si="115"/>
        <v>0</v>
      </c>
      <c r="J76" s="149">
        <f t="shared" si="115"/>
        <v>0</v>
      </c>
      <c r="K76" s="149">
        <f t="shared" si="115"/>
        <v>0</v>
      </c>
      <c r="L76" s="149">
        <f t="shared" si="115"/>
        <v>0</v>
      </c>
      <c r="M76" s="149">
        <f t="shared" si="115"/>
        <v>0</v>
      </c>
      <c r="N76" s="149">
        <f t="shared" si="115"/>
        <v>0</v>
      </c>
      <c r="O76" s="149">
        <f t="shared" si="115"/>
        <v>0</v>
      </c>
      <c r="P76" s="150">
        <f t="shared" si="115"/>
        <v>0</v>
      </c>
      <c r="Q76" s="151">
        <f t="shared" si="115"/>
        <v>0.33216857072911982</v>
      </c>
      <c r="R76" s="110">
        <f t="shared" si="115"/>
        <v>0.48052883366780769</v>
      </c>
      <c r="S76" s="105"/>
      <c r="T76" s="91"/>
      <c r="U76" s="311"/>
      <c r="V76" s="312"/>
      <c r="W76" s="146" t="s">
        <v>102</v>
      </c>
      <c r="X76" s="152">
        <f t="shared" ref="X76:AK76" si="116">X75/X74</f>
        <v>1.4240763247863246</v>
      </c>
      <c r="Y76" s="152">
        <f t="shared" si="116"/>
        <v>1.4191284837323499</v>
      </c>
      <c r="Z76" s="152">
        <f t="shared" si="116"/>
        <v>1.993070225321889</v>
      </c>
      <c r="AA76" s="152">
        <f t="shared" si="116"/>
        <v>0</v>
      </c>
      <c r="AB76" s="152">
        <f t="shared" si="116"/>
        <v>0</v>
      </c>
      <c r="AC76" s="152">
        <f t="shared" si="116"/>
        <v>0</v>
      </c>
      <c r="AD76" s="152">
        <f t="shared" si="116"/>
        <v>0</v>
      </c>
      <c r="AE76" s="152">
        <f t="shared" si="116"/>
        <v>0</v>
      </c>
      <c r="AF76" s="152">
        <f t="shared" si="116"/>
        <v>0</v>
      </c>
      <c r="AG76" s="152">
        <f t="shared" si="116"/>
        <v>0</v>
      </c>
      <c r="AH76" s="152">
        <f t="shared" si="116"/>
        <v>0</v>
      </c>
      <c r="AI76" s="153">
        <f t="shared" si="116"/>
        <v>0</v>
      </c>
      <c r="AJ76" s="154">
        <f t="shared" si="116"/>
        <v>0.32933826362429897</v>
      </c>
      <c r="AK76" s="110">
        <f t="shared" si="116"/>
        <v>0.47643602526785161</v>
      </c>
      <c r="AL76" s="105"/>
    </row>
    <row r="77" spans="1:38" ht="15.6" thickBot="1">
      <c r="A77" s="155"/>
      <c r="B77" s="307"/>
      <c r="C77" s="308"/>
      <c r="D77" s="156" t="s">
        <v>103</v>
      </c>
      <c r="E77" s="157">
        <f t="shared" ref="E77:R77" si="117">E75/E73</f>
        <v>1.2755279808648152</v>
      </c>
      <c r="F77" s="157">
        <f t="shared" si="117"/>
        <v>1.3250719683217329</v>
      </c>
      <c r="G77" s="157">
        <f t="shared" si="117"/>
        <v>2.1877227802339347</v>
      </c>
      <c r="H77" s="157">
        <f t="shared" si="117"/>
        <v>0</v>
      </c>
      <c r="I77" s="157">
        <f t="shared" si="117"/>
        <v>0</v>
      </c>
      <c r="J77" s="157">
        <f t="shared" si="117"/>
        <v>0</v>
      </c>
      <c r="K77" s="157">
        <f t="shared" si="117"/>
        <v>0</v>
      </c>
      <c r="L77" s="157">
        <f t="shared" si="117"/>
        <v>0</v>
      </c>
      <c r="M77" s="157">
        <f t="shared" si="117"/>
        <v>0</v>
      </c>
      <c r="N77" s="157">
        <f t="shared" si="117"/>
        <v>0</v>
      </c>
      <c r="O77" s="157">
        <f t="shared" si="117"/>
        <v>0</v>
      </c>
      <c r="P77" s="158">
        <f t="shared" si="117"/>
        <v>0</v>
      </c>
      <c r="Q77" s="159">
        <f t="shared" si="117"/>
        <v>0.38471519433819451</v>
      </c>
      <c r="R77" s="116">
        <f t="shared" si="117"/>
        <v>0.54276218548889776</v>
      </c>
      <c r="T77" s="155"/>
      <c r="U77" s="313"/>
      <c r="V77" s="314"/>
      <c r="W77" s="160" t="s">
        <v>103</v>
      </c>
      <c r="X77" s="161">
        <f t="shared" ref="X77:AK77" si="118">X75/X73</f>
        <v>1.1596319677073226</v>
      </c>
      <c r="Y77" s="161">
        <f t="shared" si="118"/>
        <v>1.2540165372677079</v>
      </c>
      <c r="Z77" s="161">
        <f t="shared" si="118"/>
        <v>2.102494697190926</v>
      </c>
      <c r="AA77" s="161">
        <f t="shared" si="118"/>
        <v>0</v>
      </c>
      <c r="AB77" s="161">
        <f t="shared" si="118"/>
        <v>0</v>
      </c>
      <c r="AC77" s="161">
        <f t="shared" si="118"/>
        <v>0</v>
      </c>
      <c r="AD77" s="161">
        <f t="shared" si="118"/>
        <v>0</v>
      </c>
      <c r="AE77" s="161">
        <f t="shared" si="118"/>
        <v>0</v>
      </c>
      <c r="AF77" s="161">
        <f t="shared" si="118"/>
        <v>0</v>
      </c>
      <c r="AG77" s="161">
        <f t="shared" si="118"/>
        <v>0</v>
      </c>
      <c r="AH77" s="161">
        <f t="shared" si="118"/>
        <v>0</v>
      </c>
      <c r="AI77" s="162">
        <f t="shared" si="118"/>
        <v>0</v>
      </c>
      <c r="AJ77" s="163">
        <f t="shared" si="118"/>
        <v>0.36353953519336751</v>
      </c>
      <c r="AK77" s="116">
        <f t="shared" si="118"/>
        <v>0.51288723590083773</v>
      </c>
    </row>
    <row r="78" spans="1:38" ht="15.6" hidden="1" thickBot="1">
      <c r="A78" s="84" t="s">
        <v>120</v>
      </c>
      <c r="B78" s="85" t="s">
        <v>121</v>
      </c>
      <c r="C78" s="86" t="s">
        <v>122</v>
      </c>
      <c r="D78" s="87">
        <v>2019</v>
      </c>
      <c r="E78" s="88"/>
      <c r="F78" s="121"/>
      <c r="G78" s="121"/>
      <c r="H78" s="121"/>
      <c r="I78" s="121"/>
      <c r="J78" s="121"/>
      <c r="K78" s="121"/>
      <c r="L78" s="121"/>
      <c r="M78" s="122"/>
      <c r="N78" s="122"/>
      <c r="O78" s="122"/>
      <c r="P78" s="123"/>
      <c r="Q78" s="89">
        <f>SUM(E78:P78)</f>
        <v>0</v>
      </c>
      <c r="R78" s="90">
        <f t="shared" ref="R78" si="119">SUM(E78:M78)</f>
        <v>0</v>
      </c>
      <c r="T78" s="84" t="s">
        <v>120</v>
      </c>
      <c r="U78" s="85" t="s">
        <v>121</v>
      </c>
      <c r="V78" s="86" t="str">
        <f>C78</f>
        <v>得意先名</v>
      </c>
      <c r="W78" s="87">
        <v>2019</v>
      </c>
      <c r="X78" s="88"/>
      <c r="Y78" s="121"/>
      <c r="Z78" s="121"/>
      <c r="AA78" s="121"/>
      <c r="AB78" s="121"/>
      <c r="AC78" s="121"/>
      <c r="AD78" s="121"/>
      <c r="AE78" s="121"/>
      <c r="AF78" s="122"/>
      <c r="AG78" s="122"/>
      <c r="AH78" s="122"/>
      <c r="AI78" s="123"/>
      <c r="AJ78" s="89">
        <f>SUM(X78:AI78)</f>
        <v>0</v>
      </c>
      <c r="AK78" s="90">
        <f t="shared" ref="AK78:AK80" si="120">SUM(X78:AF78)</f>
        <v>0</v>
      </c>
    </row>
    <row r="79" spans="1:38" ht="15.6" hidden="1" thickBot="1">
      <c r="A79" s="91"/>
      <c r="B79" s="85" t="s">
        <v>123</v>
      </c>
      <c r="C79" s="92" t="s">
        <v>124</v>
      </c>
      <c r="D79" s="93" t="s">
        <v>92</v>
      </c>
      <c r="E79" s="94"/>
      <c r="F79" s="97"/>
      <c r="G79" s="97"/>
      <c r="H79" s="97"/>
      <c r="I79" s="97"/>
      <c r="J79" s="97"/>
      <c r="K79" s="97"/>
      <c r="L79" s="97"/>
      <c r="M79" s="98"/>
      <c r="N79" s="98"/>
      <c r="O79" s="98"/>
      <c r="P79" s="99"/>
      <c r="Q79" s="95">
        <f>SUM(E79:P79)</f>
        <v>0</v>
      </c>
      <c r="R79" s="96">
        <f t="shared" si="108"/>
        <v>0</v>
      </c>
      <c r="T79" s="91"/>
      <c r="U79" s="85" t="s">
        <v>123</v>
      </c>
      <c r="V79" s="92" t="str">
        <f>C79</f>
        <v>得意先名（英語）</v>
      </c>
      <c r="W79" s="93" t="s">
        <v>92</v>
      </c>
      <c r="X79" s="94"/>
      <c r="Y79" s="97"/>
      <c r="Z79" s="97"/>
      <c r="AA79" s="97"/>
      <c r="AB79" s="97"/>
      <c r="AC79" s="97"/>
      <c r="AD79" s="97"/>
      <c r="AE79" s="97"/>
      <c r="AF79" s="98"/>
      <c r="AG79" s="98"/>
      <c r="AH79" s="98"/>
      <c r="AI79" s="99"/>
      <c r="AJ79" s="95">
        <f>SUM(X79:AI79)</f>
        <v>0</v>
      </c>
      <c r="AK79" s="96">
        <f t="shared" si="120"/>
        <v>0</v>
      </c>
    </row>
    <row r="80" spans="1:38" ht="15.6" hidden="1" thickBot="1">
      <c r="A80" s="91"/>
      <c r="B80" s="100"/>
      <c r="C80" s="92"/>
      <c r="D80" s="101">
        <v>2020</v>
      </c>
      <c r="E80" s="102"/>
      <c r="F80" s="124"/>
      <c r="G80" s="124"/>
      <c r="H80" s="124"/>
      <c r="I80" s="124"/>
      <c r="J80" s="124"/>
      <c r="K80" s="124"/>
      <c r="L80" s="124"/>
      <c r="M80" s="125"/>
      <c r="N80" s="125"/>
      <c r="O80" s="125"/>
      <c r="P80" s="126"/>
      <c r="Q80" s="103">
        <f>SUM(E80:P80)</f>
        <v>0</v>
      </c>
      <c r="R80" s="104">
        <f t="shared" si="108"/>
        <v>0</v>
      </c>
      <c r="S80" s="105"/>
      <c r="T80" s="91"/>
      <c r="U80" s="100"/>
      <c r="V80" s="92"/>
      <c r="W80" s="101">
        <v>2020</v>
      </c>
      <c r="X80" s="102"/>
      <c r="Y80" s="124"/>
      <c r="Z80" s="124"/>
      <c r="AA80" s="124"/>
      <c r="AB80" s="124"/>
      <c r="AC80" s="124"/>
      <c r="AD80" s="124"/>
      <c r="AE80" s="124"/>
      <c r="AF80" s="125"/>
      <c r="AG80" s="125"/>
      <c r="AH80" s="125"/>
      <c r="AI80" s="126"/>
      <c r="AJ80" s="103">
        <f>SUM(X80:AI80)</f>
        <v>0</v>
      </c>
      <c r="AK80" s="104">
        <f t="shared" si="120"/>
        <v>0</v>
      </c>
      <c r="AL80" s="105"/>
    </row>
    <row r="81" spans="1:38" ht="15.6" hidden="1" thickBot="1">
      <c r="A81" s="91"/>
      <c r="B81" s="100"/>
      <c r="C81" s="92"/>
      <c r="D81" s="101" t="s">
        <v>102</v>
      </c>
      <c r="E81" s="106" t="e">
        <f>E80/E79</f>
        <v>#DIV/0!</v>
      </c>
      <c r="F81" s="106" t="e">
        <f t="shared" ref="F81:R81" si="121">F80/F79</f>
        <v>#DIV/0!</v>
      </c>
      <c r="G81" s="106" t="e">
        <f t="shared" si="121"/>
        <v>#DIV/0!</v>
      </c>
      <c r="H81" s="106" t="e">
        <f t="shared" si="121"/>
        <v>#DIV/0!</v>
      </c>
      <c r="I81" s="106" t="e">
        <f t="shared" si="121"/>
        <v>#DIV/0!</v>
      </c>
      <c r="J81" s="106" t="e">
        <f t="shared" si="121"/>
        <v>#DIV/0!</v>
      </c>
      <c r="K81" s="106" t="e">
        <f t="shared" si="121"/>
        <v>#DIV/0!</v>
      </c>
      <c r="L81" s="106" t="e">
        <f t="shared" si="121"/>
        <v>#DIV/0!</v>
      </c>
      <c r="M81" s="107" t="e">
        <f t="shared" si="121"/>
        <v>#DIV/0!</v>
      </c>
      <c r="N81" s="107" t="e">
        <f t="shared" si="121"/>
        <v>#DIV/0!</v>
      </c>
      <c r="O81" s="107" t="e">
        <f t="shared" si="121"/>
        <v>#DIV/0!</v>
      </c>
      <c r="P81" s="108" t="e">
        <f t="shared" si="121"/>
        <v>#DIV/0!</v>
      </c>
      <c r="Q81" s="109" t="e">
        <f t="shared" si="121"/>
        <v>#DIV/0!</v>
      </c>
      <c r="R81" s="110" t="e">
        <f t="shared" si="121"/>
        <v>#DIV/0!</v>
      </c>
      <c r="S81" s="105"/>
      <c r="T81" s="91"/>
      <c r="U81" s="100"/>
      <c r="V81" s="92"/>
      <c r="W81" s="101" t="s">
        <v>102</v>
      </c>
      <c r="X81" s="106" t="e">
        <f>X80/X79</f>
        <v>#DIV/0!</v>
      </c>
      <c r="Y81" s="106" t="e">
        <f t="shared" ref="Y81:AK81" si="122">Y80/Y79</f>
        <v>#DIV/0!</v>
      </c>
      <c r="Z81" s="106" t="e">
        <f t="shared" si="122"/>
        <v>#DIV/0!</v>
      </c>
      <c r="AA81" s="106" t="e">
        <f t="shared" si="122"/>
        <v>#DIV/0!</v>
      </c>
      <c r="AB81" s="106" t="e">
        <f t="shared" si="122"/>
        <v>#DIV/0!</v>
      </c>
      <c r="AC81" s="106" t="e">
        <f t="shared" si="122"/>
        <v>#DIV/0!</v>
      </c>
      <c r="AD81" s="106" t="e">
        <f t="shared" si="122"/>
        <v>#DIV/0!</v>
      </c>
      <c r="AE81" s="106" t="e">
        <f t="shared" si="122"/>
        <v>#DIV/0!</v>
      </c>
      <c r="AF81" s="107" t="e">
        <f t="shared" si="122"/>
        <v>#DIV/0!</v>
      </c>
      <c r="AG81" s="107" t="e">
        <f t="shared" si="122"/>
        <v>#DIV/0!</v>
      </c>
      <c r="AH81" s="107" t="e">
        <f t="shared" si="122"/>
        <v>#DIV/0!</v>
      </c>
      <c r="AI81" s="108" t="e">
        <f t="shared" si="122"/>
        <v>#DIV/0!</v>
      </c>
      <c r="AJ81" s="109" t="e">
        <f t="shared" si="122"/>
        <v>#DIV/0!</v>
      </c>
      <c r="AK81" s="110" t="e">
        <f t="shared" si="122"/>
        <v>#DIV/0!</v>
      </c>
      <c r="AL81" s="105"/>
    </row>
    <row r="82" spans="1:38" ht="15.6" hidden="1" thickBot="1">
      <c r="A82" s="91"/>
      <c r="B82" s="100"/>
      <c r="C82" s="111"/>
      <c r="D82" s="112" t="s">
        <v>103</v>
      </c>
      <c r="E82" s="113" t="e">
        <f>E80/E78</f>
        <v>#DIV/0!</v>
      </c>
      <c r="F82" s="113" t="e">
        <f t="shared" ref="F82:R82" si="123">F80/F78</f>
        <v>#DIV/0!</v>
      </c>
      <c r="G82" s="113" t="e">
        <f t="shared" si="123"/>
        <v>#DIV/0!</v>
      </c>
      <c r="H82" s="113" t="e">
        <f t="shared" si="123"/>
        <v>#DIV/0!</v>
      </c>
      <c r="I82" s="113" t="e">
        <f t="shared" si="123"/>
        <v>#DIV/0!</v>
      </c>
      <c r="J82" s="113" t="e">
        <f t="shared" si="123"/>
        <v>#DIV/0!</v>
      </c>
      <c r="K82" s="113" t="e">
        <f t="shared" si="123"/>
        <v>#DIV/0!</v>
      </c>
      <c r="L82" s="113" t="e">
        <f t="shared" si="123"/>
        <v>#DIV/0!</v>
      </c>
      <c r="M82" s="113" t="e">
        <f t="shared" si="123"/>
        <v>#DIV/0!</v>
      </c>
      <c r="N82" s="113" t="e">
        <f t="shared" si="123"/>
        <v>#DIV/0!</v>
      </c>
      <c r="O82" s="113" t="e">
        <f t="shared" si="123"/>
        <v>#DIV/0!</v>
      </c>
      <c r="P82" s="114" t="e">
        <f t="shared" si="123"/>
        <v>#DIV/0!</v>
      </c>
      <c r="Q82" s="115" t="e">
        <f t="shared" si="123"/>
        <v>#DIV/0!</v>
      </c>
      <c r="R82" s="116" t="e">
        <f t="shared" si="123"/>
        <v>#DIV/0!</v>
      </c>
      <c r="T82" s="91"/>
      <c r="U82" s="100"/>
      <c r="V82" s="111"/>
      <c r="W82" s="112" t="s">
        <v>103</v>
      </c>
      <c r="X82" s="113" t="e">
        <f>X80/X78</f>
        <v>#DIV/0!</v>
      </c>
      <c r="Y82" s="113" t="e">
        <f t="shared" ref="Y82:AK82" si="124">Y80/Y78</f>
        <v>#DIV/0!</v>
      </c>
      <c r="Z82" s="113" t="e">
        <f t="shared" si="124"/>
        <v>#DIV/0!</v>
      </c>
      <c r="AA82" s="113" t="e">
        <f t="shared" si="124"/>
        <v>#DIV/0!</v>
      </c>
      <c r="AB82" s="113" t="e">
        <f t="shared" si="124"/>
        <v>#DIV/0!</v>
      </c>
      <c r="AC82" s="113" t="e">
        <f t="shared" si="124"/>
        <v>#DIV/0!</v>
      </c>
      <c r="AD82" s="113" t="e">
        <f t="shared" si="124"/>
        <v>#DIV/0!</v>
      </c>
      <c r="AE82" s="113" t="e">
        <f t="shared" si="124"/>
        <v>#DIV/0!</v>
      </c>
      <c r="AF82" s="113" t="e">
        <f t="shared" si="124"/>
        <v>#DIV/0!</v>
      </c>
      <c r="AG82" s="113" t="e">
        <f t="shared" si="124"/>
        <v>#DIV/0!</v>
      </c>
      <c r="AH82" s="113" t="e">
        <f t="shared" si="124"/>
        <v>#DIV/0!</v>
      </c>
      <c r="AI82" s="114" t="e">
        <f t="shared" si="124"/>
        <v>#DIV/0!</v>
      </c>
      <c r="AJ82" s="115" t="e">
        <f t="shared" si="124"/>
        <v>#DIV/0!</v>
      </c>
      <c r="AK82" s="116" t="e">
        <f t="shared" si="124"/>
        <v>#DIV/0!</v>
      </c>
    </row>
    <row r="83" spans="1:38" ht="15.6" hidden="1" thickBot="1">
      <c r="A83" s="91"/>
      <c r="B83" s="164" t="s">
        <v>125</v>
      </c>
      <c r="C83" s="86"/>
      <c r="D83" s="87">
        <v>2019</v>
      </c>
      <c r="E83" s="88"/>
      <c r="F83" s="121"/>
      <c r="G83" s="121"/>
      <c r="H83" s="121"/>
      <c r="I83" s="121"/>
      <c r="J83" s="121"/>
      <c r="K83" s="121"/>
      <c r="L83" s="121"/>
      <c r="M83" s="122"/>
      <c r="N83" s="122"/>
      <c r="O83" s="122"/>
      <c r="P83" s="123"/>
      <c r="Q83" s="89">
        <f t="shared" ref="Q83:Q85" si="125">SUM(E83:P83)</f>
        <v>0</v>
      </c>
      <c r="R83" s="90">
        <f t="shared" ref="R83" si="126">SUM(E83:M83)</f>
        <v>0</v>
      </c>
      <c r="T83" s="91"/>
      <c r="U83" s="164" t="s">
        <v>125</v>
      </c>
      <c r="V83" s="86">
        <f t="shared" ref="V83:V84" si="127">C83</f>
        <v>0</v>
      </c>
      <c r="W83" s="87">
        <v>2019</v>
      </c>
      <c r="X83" s="88"/>
      <c r="Y83" s="121"/>
      <c r="Z83" s="121"/>
      <c r="AA83" s="121"/>
      <c r="AB83" s="121"/>
      <c r="AC83" s="121"/>
      <c r="AD83" s="121"/>
      <c r="AE83" s="121"/>
      <c r="AF83" s="122"/>
      <c r="AG83" s="122"/>
      <c r="AH83" s="122"/>
      <c r="AI83" s="123"/>
      <c r="AJ83" s="89">
        <f t="shared" ref="AJ83:AJ85" si="128">SUM(X83:AI83)</f>
        <v>0</v>
      </c>
      <c r="AK83" s="90">
        <f t="shared" ref="AK83:AK85" si="129">SUM(X83:AF83)</f>
        <v>0</v>
      </c>
    </row>
    <row r="84" spans="1:38" ht="15.6" hidden="1" thickBot="1">
      <c r="A84" s="91"/>
      <c r="B84" s="164" t="s">
        <v>126</v>
      </c>
      <c r="C84" s="92"/>
      <c r="D84" s="93" t="s">
        <v>92</v>
      </c>
      <c r="E84" s="94"/>
      <c r="F84" s="97"/>
      <c r="G84" s="97"/>
      <c r="H84" s="97"/>
      <c r="I84" s="97"/>
      <c r="J84" s="97"/>
      <c r="K84" s="97"/>
      <c r="L84" s="97"/>
      <c r="M84" s="98"/>
      <c r="N84" s="98"/>
      <c r="O84" s="98"/>
      <c r="P84" s="99"/>
      <c r="Q84" s="95">
        <f t="shared" si="125"/>
        <v>0</v>
      </c>
      <c r="R84" s="96">
        <f t="shared" si="108"/>
        <v>0</v>
      </c>
      <c r="T84" s="91"/>
      <c r="U84" s="164" t="s">
        <v>126</v>
      </c>
      <c r="V84" s="92">
        <f t="shared" si="127"/>
        <v>0</v>
      </c>
      <c r="W84" s="93" t="s">
        <v>92</v>
      </c>
      <c r="X84" s="94"/>
      <c r="Y84" s="97"/>
      <c r="Z84" s="97"/>
      <c r="AA84" s="97"/>
      <c r="AB84" s="97"/>
      <c r="AC84" s="97"/>
      <c r="AD84" s="97"/>
      <c r="AE84" s="97"/>
      <c r="AF84" s="98"/>
      <c r="AG84" s="98"/>
      <c r="AH84" s="98"/>
      <c r="AI84" s="99"/>
      <c r="AJ84" s="95">
        <f t="shared" si="128"/>
        <v>0</v>
      </c>
      <c r="AK84" s="96">
        <f t="shared" si="129"/>
        <v>0</v>
      </c>
    </row>
    <row r="85" spans="1:38" ht="15.6" hidden="1" thickBot="1">
      <c r="A85" s="91"/>
      <c r="B85" s="164" t="s">
        <v>127</v>
      </c>
      <c r="C85" s="92"/>
      <c r="D85" s="101">
        <v>2020</v>
      </c>
      <c r="E85" s="102"/>
      <c r="F85" s="124"/>
      <c r="G85" s="124"/>
      <c r="H85" s="124"/>
      <c r="I85" s="124"/>
      <c r="J85" s="124"/>
      <c r="K85" s="124"/>
      <c r="L85" s="124"/>
      <c r="M85" s="125"/>
      <c r="N85" s="125"/>
      <c r="O85" s="125"/>
      <c r="P85" s="126"/>
      <c r="Q85" s="103">
        <f t="shared" si="125"/>
        <v>0</v>
      </c>
      <c r="R85" s="104">
        <f t="shared" si="108"/>
        <v>0</v>
      </c>
      <c r="S85" s="105"/>
      <c r="T85" s="91"/>
      <c r="U85" s="164" t="s">
        <v>127</v>
      </c>
      <c r="V85" s="92"/>
      <c r="W85" s="101">
        <v>2020</v>
      </c>
      <c r="X85" s="102"/>
      <c r="Y85" s="124"/>
      <c r="Z85" s="124"/>
      <c r="AA85" s="124"/>
      <c r="AB85" s="124"/>
      <c r="AC85" s="124"/>
      <c r="AD85" s="124"/>
      <c r="AE85" s="124"/>
      <c r="AF85" s="125"/>
      <c r="AG85" s="125"/>
      <c r="AH85" s="125"/>
      <c r="AI85" s="126"/>
      <c r="AJ85" s="103">
        <f t="shared" si="128"/>
        <v>0</v>
      </c>
      <c r="AK85" s="104">
        <f t="shared" si="129"/>
        <v>0</v>
      </c>
      <c r="AL85" s="105"/>
    </row>
    <row r="86" spans="1:38" ht="15.6" hidden="1" thickBot="1">
      <c r="A86" s="91"/>
      <c r="B86" s="164" t="s">
        <v>128</v>
      </c>
      <c r="C86" s="92"/>
      <c r="D86" s="101" t="s">
        <v>102</v>
      </c>
      <c r="E86" s="106" t="e">
        <f t="shared" ref="E86:R86" si="130">E85/E84</f>
        <v>#DIV/0!</v>
      </c>
      <c r="F86" s="106" t="e">
        <f t="shared" si="130"/>
        <v>#DIV/0!</v>
      </c>
      <c r="G86" s="106" t="e">
        <f t="shared" si="130"/>
        <v>#DIV/0!</v>
      </c>
      <c r="H86" s="106" t="e">
        <f t="shared" si="130"/>
        <v>#DIV/0!</v>
      </c>
      <c r="I86" s="106" t="e">
        <f t="shared" si="130"/>
        <v>#DIV/0!</v>
      </c>
      <c r="J86" s="106" t="e">
        <f t="shared" si="130"/>
        <v>#DIV/0!</v>
      </c>
      <c r="K86" s="106" t="e">
        <f t="shared" si="130"/>
        <v>#DIV/0!</v>
      </c>
      <c r="L86" s="106" t="e">
        <f t="shared" si="130"/>
        <v>#DIV/0!</v>
      </c>
      <c r="M86" s="107" t="e">
        <f t="shared" si="130"/>
        <v>#DIV/0!</v>
      </c>
      <c r="N86" s="107" t="e">
        <f t="shared" si="130"/>
        <v>#DIV/0!</v>
      </c>
      <c r="O86" s="107" t="e">
        <f t="shared" si="130"/>
        <v>#DIV/0!</v>
      </c>
      <c r="P86" s="108" t="e">
        <f t="shared" si="130"/>
        <v>#DIV/0!</v>
      </c>
      <c r="Q86" s="109" t="e">
        <f t="shared" si="130"/>
        <v>#DIV/0!</v>
      </c>
      <c r="R86" s="110" t="e">
        <f t="shared" si="130"/>
        <v>#DIV/0!</v>
      </c>
      <c r="S86" s="105"/>
      <c r="T86" s="91"/>
      <c r="U86" s="164" t="s">
        <v>128</v>
      </c>
      <c r="V86" s="92"/>
      <c r="W86" s="101" t="s">
        <v>102</v>
      </c>
      <c r="X86" s="106" t="e">
        <f t="shared" ref="X86:AK86" si="131">X85/X84</f>
        <v>#DIV/0!</v>
      </c>
      <c r="Y86" s="106" t="e">
        <f t="shared" si="131"/>
        <v>#DIV/0!</v>
      </c>
      <c r="Z86" s="106" t="e">
        <f t="shared" si="131"/>
        <v>#DIV/0!</v>
      </c>
      <c r="AA86" s="106" t="e">
        <f t="shared" si="131"/>
        <v>#DIV/0!</v>
      </c>
      <c r="AB86" s="106" t="e">
        <f t="shared" si="131"/>
        <v>#DIV/0!</v>
      </c>
      <c r="AC86" s="106" t="e">
        <f t="shared" si="131"/>
        <v>#DIV/0!</v>
      </c>
      <c r="AD86" s="106" t="e">
        <f t="shared" si="131"/>
        <v>#DIV/0!</v>
      </c>
      <c r="AE86" s="106" t="e">
        <f t="shared" si="131"/>
        <v>#DIV/0!</v>
      </c>
      <c r="AF86" s="107" t="e">
        <f t="shared" si="131"/>
        <v>#DIV/0!</v>
      </c>
      <c r="AG86" s="107" t="e">
        <f t="shared" si="131"/>
        <v>#DIV/0!</v>
      </c>
      <c r="AH86" s="107" t="e">
        <f t="shared" si="131"/>
        <v>#DIV/0!</v>
      </c>
      <c r="AI86" s="108" t="e">
        <f t="shared" si="131"/>
        <v>#DIV/0!</v>
      </c>
      <c r="AJ86" s="109" t="e">
        <f t="shared" si="131"/>
        <v>#DIV/0!</v>
      </c>
      <c r="AK86" s="110" t="e">
        <f t="shared" si="131"/>
        <v>#DIV/0!</v>
      </c>
      <c r="AL86" s="105"/>
    </row>
    <row r="87" spans="1:38" ht="15.6" hidden="1" thickBot="1">
      <c r="A87" s="91"/>
      <c r="B87" s="100"/>
      <c r="C87" s="111"/>
      <c r="D87" s="112" t="s">
        <v>103</v>
      </c>
      <c r="E87" s="113" t="e">
        <f t="shared" ref="E87:R87" si="132">E85/E83</f>
        <v>#DIV/0!</v>
      </c>
      <c r="F87" s="113" t="e">
        <f t="shared" si="132"/>
        <v>#DIV/0!</v>
      </c>
      <c r="G87" s="113" t="e">
        <f t="shared" si="132"/>
        <v>#DIV/0!</v>
      </c>
      <c r="H87" s="113" t="e">
        <f t="shared" si="132"/>
        <v>#DIV/0!</v>
      </c>
      <c r="I87" s="113" t="e">
        <f t="shared" si="132"/>
        <v>#DIV/0!</v>
      </c>
      <c r="J87" s="113" t="e">
        <f t="shared" si="132"/>
        <v>#DIV/0!</v>
      </c>
      <c r="K87" s="113" t="e">
        <f t="shared" si="132"/>
        <v>#DIV/0!</v>
      </c>
      <c r="L87" s="113" t="e">
        <f t="shared" si="132"/>
        <v>#DIV/0!</v>
      </c>
      <c r="M87" s="113" t="e">
        <f t="shared" si="132"/>
        <v>#DIV/0!</v>
      </c>
      <c r="N87" s="113" t="e">
        <f t="shared" si="132"/>
        <v>#DIV/0!</v>
      </c>
      <c r="O87" s="113" t="e">
        <f t="shared" si="132"/>
        <v>#DIV/0!</v>
      </c>
      <c r="P87" s="114" t="e">
        <f t="shared" si="132"/>
        <v>#DIV/0!</v>
      </c>
      <c r="Q87" s="115" t="e">
        <f t="shared" si="132"/>
        <v>#DIV/0!</v>
      </c>
      <c r="R87" s="116" t="e">
        <f t="shared" si="132"/>
        <v>#DIV/0!</v>
      </c>
      <c r="T87" s="91"/>
      <c r="U87" s="100"/>
      <c r="V87" s="111"/>
      <c r="W87" s="112" t="s">
        <v>103</v>
      </c>
      <c r="X87" s="113" t="e">
        <f t="shared" ref="X87:AK87" si="133">X85/X83</f>
        <v>#DIV/0!</v>
      </c>
      <c r="Y87" s="113" t="e">
        <f t="shared" si="133"/>
        <v>#DIV/0!</v>
      </c>
      <c r="Z87" s="113" t="e">
        <f t="shared" si="133"/>
        <v>#DIV/0!</v>
      </c>
      <c r="AA87" s="113" t="e">
        <f t="shared" si="133"/>
        <v>#DIV/0!</v>
      </c>
      <c r="AB87" s="113" t="e">
        <f t="shared" si="133"/>
        <v>#DIV/0!</v>
      </c>
      <c r="AC87" s="113" t="e">
        <f t="shared" si="133"/>
        <v>#DIV/0!</v>
      </c>
      <c r="AD87" s="113" t="e">
        <f t="shared" si="133"/>
        <v>#DIV/0!</v>
      </c>
      <c r="AE87" s="113" t="e">
        <f t="shared" si="133"/>
        <v>#DIV/0!</v>
      </c>
      <c r="AF87" s="113" t="e">
        <f t="shared" si="133"/>
        <v>#DIV/0!</v>
      </c>
      <c r="AG87" s="113" t="e">
        <f t="shared" si="133"/>
        <v>#DIV/0!</v>
      </c>
      <c r="AH87" s="113" t="e">
        <f t="shared" si="133"/>
        <v>#DIV/0!</v>
      </c>
      <c r="AI87" s="114" t="e">
        <f t="shared" si="133"/>
        <v>#DIV/0!</v>
      </c>
      <c r="AJ87" s="115" t="e">
        <f t="shared" si="133"/>
        <v>#DIV/0!</v>
      </c>
      <c r="AK87" s="116" t="e">
        <f t="shared" si="133"/>
        <v>#DIV/0!</v>
      </c>
    </row>
    <row r="88" spans="1:38" ht="15.6" hidden="1" thickBot="1">
      <c r="A88" s="91"/>
      <c r="B88" s="100"/>
      <c r="C88" s="86"/>
      <c r="D88" s="87">
        <v>2019</v>
      </c>
      <c r="E88" s="88"/>
      <c r="F88" s="121"/>
      <c r="G88" s="121"/>
      <c r="H88" s="121"/>
      <c r="I88" s="121"/>
      <c r="J88" s="121"/>
      <c r="K88" s="121"/>
      <c r="L88" s="121"/>
      <c r="M88" s="122"/>
      <c r="N88" s="122"/>
      <c r="O88" s="122"/>
      <c r="P88" s="123"/>
      <c r="Q88" s="89">
        <f t="shared" ref="Q88:Q90" si="134">SUM(E88:P88)</f>
        <v>0</v>
      </c>
      <c r="R88" s="90">
        <f t="shared" ref="R88" si="135">SUM(E88:M88)</f>
        <v>0</v>
      </c>
      <c r="T88" s="91"/>
      <c r="U88" s="100"/>
      <c r="V88" s="86">
        <f t="shared" ref="V88:V89" si="136">C88</f>
        <v>0</v>
      </c>
      <c r="W88" s="87">
        <v>2019</v>
      </c>
      <c r="X88" s="88"/>
      <c r="Y88" s="121"/>
      <c r="Z88" s="121"/>
      <c r="AA88" s="121"/>
      <c r="AB88" s="121"/>
      <c r="AC88" s="121"/>
      <c r="AD88" s="121"/>
      <c r="AE88" s="121"/>
      <c r="AF88" s="122"/>
      <c r="AG88" s="122"/>
      <c r="AH88" s="122"/>
      <c r="AI88" s="123"/>
      <c r="AJ88" s="89">
        <f t="shared" ref="AJ88:AJ90" si="137">SUM(X88:AI88)</f>
        <v>0</v>
      </c>
      <c r="AK88" s="90">
        <f t="shared" ref="AK88:AK90" si="138">SUM(X88:AF88)</f>
        <v>0</v>
      </c>
    </row>
    <row r="89" spans="1:38" ht="15.6" hidden="1" thickBot="1">
      <c r="A89" s="91"/>
      <c r="B89" s="100"/>
      <c r="C89" s="92"/>
      <c r="D89" s="93" t="s">
        <v>92</v>
      </c>
      <c r="E89" s="94"/>
      <c r="F89" s="97"/>
      <c r="G89" s="97"/>
      <c r="H89" s="97"/>
      <c r="I89" s="97"/>
      <c r="J89" s="97"/>
      <c r="K89" s="97"/>
      <c r="L89" s="97"/>
      <c r="M89" s="98"/>
      <c r="N89" s="98"/>
      <c r="O89" s="98"/>
      <c r="P89" s="99"/>
      <c r="Q89" s="95">
        <f t="shared" si="134"/>
        <v>0</v>
      </c>
      <c r="R89" s="96">
        <f t="shared" si="108"/>
        <v>0</v>
      </c>
      <c r="T89" s="91"/>
      <c r="U89" s="100"/>
      <c r="V89" s="92">
        <f t="shared" si="136"/>
        <v>0</v>
      </c>
      <c r="W89" s="93" t="s">
        <v>92</v>
      </c>
      <c r="X89" s="94"/>
      <c r="Y89" s="97"/>
      <c r="Z89" s="97"/>
      <c r="AA89" s="97"/>
      <c r="AB89" s="97"/>
      <c r="AC89" s="97"/>
      <c r="AD89" s="97"/>
      <c r="AE89" s="97"/>
      <c r="AF89" s="98"/>
      <c r="AG89" s="98"/>
      <c r="AH89" s="98"/>
      <c r="AI89" s="99"/>
      <c r="AJ89" s="95">
        <f t="shared" si="137"/>
        <v>0</v>
      </c>
      <c r="AK89" s="96">
        <f t="shared" si="138"/>
        <v>0</v>
      </c>
    </row>
    <row r="90" spans="1:38" ht="15.6" hidden="1" thickBot="1">
      <c r="A90" s="91"/>
      <c r="B90" s="100"/>
      <c r="C90" s="92"/>
      <c r="D90" s="101">
        <v>2020</v>
      </c>
      <c r="E90" s="102"/>
      <c r="F90" s="124"/>
      <c r="G90" s="124"/>
      <c r="H90" s="124"/>
      <c r="I90" s="124"/>
      <c r="J90" s="124"/>
      <c r="K90" s="124"/>
      <c r="L90" s="124"/>
      <c r="M90" s="125"/>
      <c r="N90" s="125"/>
      <c r="O90" s="125"/>
      <c r="P90" s="126"/>
      <c r="Q90" s="103">
        <f t="shared" si="134"/>
        <v>0</v>
      </c>
      <c r="R90" s="104">
        <f t="shared" si="108"/>
        <v>0</v>
      </c>
      <c r="S90" s="105"/>
      <c r="T90" s="91"/>
      <c r="U90" s="100"/>
      <c r="V90" s="92"/>
      <c r="W90" s="101">
        <v>2020</v>
      </c>
      <c r="X90" s="102"/>
      <c r="Y90" s="124"/>
      <c r="Z90" s="124"/>
      <c r="AA90" s="124"/>
      <c r="AB90" s="124"/>
      <c r="AC90" s="124"/>
      <c r="AD90" s="124"/>
      <c r="AE90" s="124"/>
      <c r="AF90" s="125"/>
      <c r="AG90" s="125"/>
      <c r="AH90" s="125"/>
      <c r="AI90" s="126"/>
      <c r="AJ90" s="103">
        <f t="shared" si="137"/>
        <v>0</v>
      </c>
      <c r="AK90" s="104">
        <f t="shared" si="138"/>
        <v>0</v>
      </c>
      <c r="AL90" s="105"/>
    </row>
    <row r="91" spans="1:38" ht="15.6" hidden="1" thickBot="1">
      <c r="A91" s="91"/>
      <c r="B91" s="100"/>
      <c r="C91" s="92"/>
      <c r="D91" s="101" t="s">
        <v>102</v>
      </c>
      <c r="E91" s="106" t="e">
        <f t="shared" ref="E91:R91" si="139">E90/E89</f>
        <v>#DIV/0!</v>
      </c>
      <c r="F91" s="106" t="e">
        <f t="shared" si="139"/>
        <v>#DIV/0!</v>
      </c>
      <c r="G91" s="106" t="e">
        <f t="shared" si="139"/>
        <v>#DIV/0!</v>
      </c>
      <c r="H91" s="106" t="e">
        <f t="shared" si="139"/>
        <v>#DIV/0!</v>
      </c>
      <c r="I91" s="106" t="e">
        <f t="shared" si="139"/>
        <v>#DIV/0!</v>
      </c>
      <c r="J91" s="106" t="e">
        <f t="shared" si="139"/>
        <v>#DIV/0!</v>
      </c>
      <c r="K91" s="106" t="e">
        <f t="shared" si="139"/>
        <v>#DIV/0!</v>
      </c>
      <c r="L91" s="106" t="e">
        <f t="shared" si="139"/>
        <v>#DIV/0!</v>
      </c>
      <c r="M91" s="107" t="e">
        <f t="shared" si="139"/>
        <v>#DIV/0!</v>
      </c>
      <c r="N91" s="107" t="e">
        <f t="shared" si="139"/>
        <v>#DIV/0!</v>
      </c>
      <c r="O91" s="107" t="e">
        <f t="shared" si="139"/>
        <v>#DIV/0!</v>
      </c>
      <c r="P91" s="108" t="e">
        <f t="shared" si="139"/>
        <v>#DIV/0!</v>
      </c>
      <c r="Q91" s="109" t="e">
        <f t="shared" si="139"/>
        <v>#DIV/0!</v>
      </c>
      <c r="R91" s="110" t="e">
        <f t="shared" si="139"/>
        <v>#DIV/0!</v>
      </c>
      <c r="S91" s="105"/>
      <c r="T91" s="91"/>
      <c r="U91" s="100"/>
      <c r="V91" s="92"/>
      <c r="W91" s="101" t="s">
        <v>102</v>
      </c>
      <c r="X91" s="106" t="e">
        <f t="shared" ref="X91:AK91" si="140">X90/X89</f>
        <v>#DIV/0!</v>
      </c>
      <c r="Y91" s="106" t="e">
        <f t="shared" si="140"/>
        <v>#DIV/0!</v>
      </c>
      <c r="Z91" s="106" t="e">
        <f t="shared" si="140"/>
        <v>#DIV/0!</v>
      </c>
      <c r="AA91" s="106" t="e">
        <f t="shared" si="140"/>
        <v>#DIV/0!</v>
      </c>
      <c r="AB91" s="106" t="e">
        <f t="shared" si="140"/>
        <v>#DIV/0!</v>
      </c>
      <c r="AC91" s="106" t="e">
        <f t="shared" si="140"/>
        <v>#DIV/0!</v>
      </c>
      <c r="AD91" s="106" t="e">
        <f t="shared" si="140"/>
        <v>#DIV/0!</v>
      </c>
      <c r="AE91" s="106" t="e">
        <f t="shared" si="140"/>
        <v>#DIV/0!</v>
      </c>
      <c r="AF91" s="107" t="e">
        <f t="shared" si="140"/>
        <v>#DIV/0!</v>
      </c>
      <c r="AG91" s="107" t="e">
        <f t="shared" si="140"/>
        <v>#DIV/0!</v>
      </c>
      <c r="AH91" s="107" t="e">
        <f t="shared" si="140"/>
        <v>#DIV/0!</v>
      </c>
      <c r="AI91" s="108" t="e">
        <f t="shared" si="140"/>
        <v>#DIV/0!</v>
      </c>
      <c r="AJ91" s="109" t="e">
        <f t="shared" si="140"/>
        <v>#DIV/0!</v>
      </c>
      <c r="AK91" s="110" t="e">
        <f t="shared" si="140"/>
        <v>#DIV/0!</v>
      </c>
      <c r="AL91" s="105"/>
    </row>
    <row r="92" spans="1:38" ht="15.6" hidden="1" thickBot="1">
      <c r="A92" s="91"/>
      <c r="B92" s="100"/>
      <c r="C92" s="111"/>
      <c r="D92" s="112" t="s">
        <v>103</v>
      </c>
      <c r="E92" s="113" t="e">
        <f t="shared" ref="E92:R92" si="141">E90/E88</f>
        <v>#DIV/0!</v>
      </c>
      <c r="F92" s="113" t="e">
        <f t="shared" si="141"/>
        <v>#DIV/0!</v>
      </c>
      <c r="G92" s="113" t="e">
        <f t="shared" si="141"/>
        <v>#DIV/0!</v>
      </c>
      <c r="H92" s="113" t="e">
        <f t="shared" si="141"/>
        <v>#DIV/0!</v>
      </c>
      <c r="I92" s="113" t="e">
        <f t="shared" si="141"/>
        <v>#DIV/0!</v>
      </c>
      <c r="J92" s="113" t="e">
        <f t="shared" si="141"/>
        <v>#DIV/0!</v>
      </c>
      <c r="K92" s="113" t="e">
        <f t="shared" si="141"/>
        <v>#DIV/0!</v>
      </c>
      <c r="L92" s="113" t="e">
        <f t="shared" si="141"/>
        <v>#DIV/0!</v>
      </c>
      <c r="M92" s="113" t="e">
        <f t="shared" si="141"/>
        <v>#DIV/0!</v>
      </c>
      <c r="N92" s="113" t="e">
        <f t="shared" si="141"/>
        <v>#DIV/0!</v>
      </c>
      <c r="O92" s="113" t="e">
        <f t="shared" si="141"/>
        <v>#DIV/0!</v>
      </c>
      <c r="P92" s="114" t="e">
        <f t="shared" si="141"/>
        <v>#DIV/0!</v>
      </c>
      <c r="Q92" s="115" t="e">
        <f t="shared" si="141"/>
        <v>#DIV/0!</v>
      </c>
      <c r="R92" s="116" t="e">
        <f t="shared" si="141"/>
        <v>#DIV/0!</v>
      </c>
      <c r="T92" s="91"/>
      <c r="U92" s="100"/>
      <c r="V92" s="111"/>
      <c r="W92" s="112" t="s">
        <v>103</v>
      </c>
      <c r="X92" s="113" t="e">
        <f t="shared" ref="X92:AK92" si="142">X90/X88</f>
        <v>#DIV/0!</v>
      </c>
      <c r="Y92" s="113" t="e">
        <f t="shared" si="142"/>
        <v>#DIV/0!</v>
      </c>
      <c r="Z92" s="113" t="e">
        <f t="shared" si="142"/>
        <v>#DIV/0!</v>
      </c>
      <c r="AA92" s="113" t="e">
        <f t="shared" si="142"/>
        <v>#DIV/0!</v>
      </c>
      <c r="AB92" s="113" t="e">
        <f t="shared" si="142"/>
        <v>#DIV/0!</v>
      </c>
      <c r="AC92" s="113" t="e">
        <f t="shared" si="142"/>
        <v>#DIV/0!</v>
      </c>
      <c r="AD92" s="113" t="e">
        <f t="shared" si="142"/>
        <v>#DIV/0!</v>
      </c>
      <c r="AE92" s="113" t="e">
        <f t="shared" si="142"/>
        <v>#DIV/0!</v>
      </c>
      <c r="AF92" s="113" t="e">
        <f t="shared" si="142"/>
        <v>#DIV/0!</v>
      </c>
      <c r="AG92" s="113" t="e">
        <f t="shared" si="142"/>
        <v>#DIV/0!</v>
      </c>
      <c r="AH92" s="113" t="e">
        <f t="shared" si="142"/>
        <v>#DIV/0!</v>
      </c>
      <c r="AI92" s="114" t="e">
        <f t="shared" si="142"/>
        <v>#DIV/0!</v>
      </c>
      <c r="AJ92" s="115" t="e">
        <f t="shared" si="142"/>
        <v>#DIV/0!</v>
      </c>
      <c r="AK92" s="116" t="e">
        <f t="shared" si="142"/>
        <v>#DIV/0!</v>
      </c>
    </row>
    <row r="93" spans="1:38" ht="15.6" hidden="1" thickBot="1">
      <c r="A93" s="91"/>
      <c r="B93" s="100"/>
      <c r="C93" s="86"/>
      <c r="D93" s="87">
        <v>2019</v>
      </c>
      <c r="E93" s="88"/>
      <c r="F93" s="121"/>
      <c r="G93" s="121"/>
      <c r="H93" s="121"/>
      <c r="I93" s="121"/>
      <c r="J93" s="121"/>
      <c r="K93" s="121"/>
      <c r="L93" s="121"/>
      <c r="M93" s="122"/>
      <c r="N93" s="122"/>
      <c r="O93" s="122"/>
      <c r="P93" s="123"/>
      <c r="Q93" s="89">
        <f t="shared" ref="Q93:Q95" si="143">SUM(E93:P93)</f>
        <v>0</v>
      </c>
      <c r="R93" s="90">
        <f t="shared" ref="R93" si="144">SUM(E93:M93)</f>
        <v>0</v>
      </c>
      <c r="T93" s="91"/>
      <c r="U93" s="100"/>
      <c r="V93" s="86">
        <f t="shared" ref="V93:V94" si="145">C93</f>
        <v>0</v>
      </c>
      <c r="W93" s="87">
        <v>2019</v>
      </c>
      <c r="X93" s="88"/>
      <c r="Y93" s="121"/>
      <c r="Z93" s="121"/>
      <c r="AA93" s="121"/>
      <c r="AB93" s="121"/>
      <c r="AC93" s="121"/>
      <c r="AD93" s="121"/>
      <c r="AE93" s="121"/>
      <c r="AF93" s="122"/>
      <c r="AG93" s="122"/>
      <c r="AH93" s="122"/>
      <c r="AI93" s="123"/>
      <c r="AJ93" s="89">
        <f t="shared" ref="AJ93:AJ95" si="146">SUM(X93:AI93)</f>
        <v>0</v>
      </c>
      <c r="AK93" s="90">
        <f t="shared" ref="AK93:AK95" si="147">SUM(X93:AF93)</f>
        <v>0</v>
      </c>
    </row>
    <row r="94" spans="1:38" ht="15.6" hidden="1" thickBot="1">
      <c r="A94" s="91"/>
      <c r="B94" s="100"/>
      <c r="C94" s="92"/>
      <c r="D94" s="93" t="s">
        <v>92</v>
      </c>
      <c r="E94" s="94"/>
      <c r="F94" s="97"/>
      <c r="G94" s="97"/>
      <c r="H94" s="97"/>
      <c r="I94" s="97"/>
      <c r="J94" s="97"/>
      <c r="K94" s="97"/>
      <c r="L94" s="97"/>
      <c r="M94" s="98"/>
      <c r="N94" s="98"/>
      <c r="O94" s="98"/>
      <c r="P94" s="99"/>
      <c r="Q94" s="95">
        <f t="shared" si="143"/>
        <v>0</v>
      </c>
      <c r="R94" s="96">
        <f t="shared" si="108"/>
        <v>0</v>
      </c>
      <c r="T94" s="91"/>
      <c r="U94" s="100"/>
      <c r="V94" s="92">
        <f t="shared" si="145"/>
        <v>0</v>
      </c>
      <c r="W94" s="93" t="s">
        <v>92</v>
      </c>
      <c r="X94" s="94"/>
      <c r="Y94" s="97"/>
      <c r="Z94" s="97"/>
      <c r="AA94" s="97"/>
      <c r="AB94" s="97"/>
      <c r="AC94" s="97"/>
      <c r="AD94" s="97"/>
      <c r="AE94" s="97"/>
      <c r="AF94" s="98"/>
      <c r="AG94" s="98"/>
      <c r="AH94" s="98"/>
      <c r="AI94" s="99"/>
      <c r="AJ94" s="95">
        <f t="shared" si="146"/>
        <v>0</v>
      </c>
      <c r="AK94" s="96">
        <f t="shared" si="147"/>
        <v>0</v>
      </c>
    </row>
    <row r="95" spans="1:38" ht="15.6" hidden="1" thickBot="1">
      <c r="A95" s="91"/>
      <c r="B95" s="100"/>
      <c r="C95" s="92"/>
      <c r="D95" s="101">
        <v>2020</v>
      </c>
      <c r="E95" s="102"/>
      <c r="F95" s="124"/>
      <c r="G95" s="124"/>
      <c r="H95" s="124"/>
      <c r="I95" s="124"/>
      <c r="J95" s="124"/>
      <c r="K95" s="124"/>
      <c r="L95" s="124"/>
      <c r="M95" s="125"/>
      <c r="N95" s="125"/>
      <c r="O95" s="125"/>
      <c r="P95" s="126"/>
      <c r="Q95" s="103">
        <f t="shared" si="143"/>
        <v>0</v>
      </c>
      <c r="R95" s="104">
        <f t="shared" si="108"/>
        <v>0</v>
      </c>
      <c r="S95" s="105"/>
      <c r="T95" s="91"/>
      <c r="U95" s="100"/>
      <c r="V95" s="92"/>
      <c r="W95" s="101">
        <v>2020</v>
      </c>
      <c r="X95" s="102"/>
      <c r="Y95" s="124"/>
      <c r="Z95" s="124"/>
      <c r="AA95" s="124"/>
      <c r="AB95" s="124"/>
      <c r="AC95" s="124"/>
      <c r="AD95" s="124"/>
      <c r="AE95" s="124"/>
      <c r="AF95" s="125"/>
      <c r="AG95" s="125"/>
      <c r="AH95" s="125"/>
      <c r="AI95" s="126"/>
      <c r="AJ95" s="103">
        <f t="shared" si="146"/>
        <v>0</v>
      </c>
      <c r="AK95" s="104">
        <f t="shared" si="147"/>
        <v>0</v>
      </c>
      <c r="AL95" s="105"/>
    </row>
    <row r="96" spans="1:38" ht="15.6" hidden="1" thickBot="1">
      <c r="A96" s="91"/>
      <c r="B96" s="100"/>
      <c r="C96" s="92"/>
      <c r="D96" s="101" t="s">
        <v>102</v>
      </c>
      <c r="E96" s="106" t="e">
        <f t="shared" ref="E96:R96" si="148">E95/E94</f>
        <v>#DIV/0!</v>
      </c>
      <c r="F96" s="106" t="e">
        <f t="shared" si="148"/>
        <v>#DIV/0!</v>
      </c>
      <c r="G96" s="106" t="e">
        <f t="shared" si="148"/>
        <v>#DIV/0!</v>
      </c>
      <c r="H96" s="106" t="e">
        <f t="shared" si="148"/>
        <v>#DIV/0!</v>
      </c>
      <c r="I96" s="106" t="e">
        <f t="shared" si="148"/>
        <v>#DIV/0!</v>
      </c>
      <c r="J96" s="106" t="e">
        <f t="shared" si="148"/>
        <v>#DIV/0!</v>
      </c>
      <c r="K96" s="106" t="e">
        <f t="shared" si="148"/>
        <v>#DIV/0!</v>
      </c>
      <c r="L96" s="106" t="e">
        <f t="shared" si="148"/>
        <v>#DIV/0!</v>
      </c>
      <c r="M96" s="107" t="e">
        <f t="shared" si="148"/>
        <v>#DIV/0!</v>
      </c>
      <c r="N96" s="107" t="e">
        <f t="shared" si="148"/>
        <v>#DIV/0!</v>
      </c>
      <c r="O96" s="107" t="e">
        <f t="shared" si="148"/>
        <v>#DIV/0!</v>
      </c>
      <c r="P96" s="108" t="e">
        <f t="shared" si="148"/>
        <v>#DIV/0!</v>
      </c>
      <c r="Q96" s="109" t="e">
        <f t="shared" si="148"/>
        <v>#DIV/0!</v>
      </c>
      <c r="R96" s="110" t="e">
        <f t="shared" si="148"/>
        <v>#DIV/0!</v>
      </c>
      <c r="S96" s="105"/>
      <c r="T96" s="91"/>
      <c r="U96" s="100"/>
      <c r="V96" s="92"/>
      <c r="W96" s="101" t="s">
        <v>102</v>
      </c>
      <c r="X96" s="106" t="e">
        <f t="shared" ref="X96:AK96" si="149">X95/X94</f>
        <v>#DIV/0!</v>
      </c>
      <c r="Y96" s="106" t="e">
        <f t="shared" si="149"/>
        <v>#DIV/0!</v>
      </c>
      <c r="Z96" s="106" t="e">
        <f t="shared" si="149"/>
        <v>#DIV/0!</v>
      </c>
      <c r="AA96" s="106" t="e">
        <f t="shared" si="149"/>
        <v>#DIV/0!</v>
      </c>
      <c r="AB96" s="106" t="e">
        <f t="shared" si="149"/>
        <v>#DIV/0!</v>
      </c>
      <c r="AC96" s="106" t="e">
        <f t="shared" si="149"/>
        <v>#DIV/0!</v>
      </c>
      <c r="AD96" s="106" t="e">
        <f t="shared" si="149"/>
        <v>#DIV/0!</v>
      </c>
      <c r="AE96" s="106" t="e">
        <f t="shared" si="149"/>
        <v>#DIV/0!</v>
      </c>
      <c r="AF96" s="107" t="e">
        <f t="shared" si="149"/>
        <v>#DIV/0!</v>
      </c>
      <c r="AG96" s="107" t="e">
        <f t="shared" si="149"/>
        <v>#DIV/0!</v>
      </c>
      <c r="AH96" s="107" t="e">
        <f t="shared" si="149"/>
        <v>#DIV/0!</v>
      </c>
      <c r="AI96" s="108" t="e">
        <f t="shared" si="149"/>
        <v>#DIV/0!</v>
      </c>
      <c r="AJ96" s="109" t="e">
        <f t="shared" si="149"/>
        <v>#DIV/0!</v>
      </c>
      <c r="AK96" s="110" t="e">
        <f t="shared" si="149"/>
        <v>#DIV/0!</v>
      </c>
      <c r="AL96" s="105"/>
    </row>
    <row r="97" spans="1:38" ht="15.6" hidden="1" thickBot="1">
      <c r="A97" s="91"/>
      <c r="B97" s="100"/>
      <c r="C97" s="111"/>
      <c r="D97" s="112" t="s">
        <v>103</v>
      </c>
      <c r="E97" s="113" t="e">
        <f t="shared" ref="E97:R97" si="150">E95/E93</f>
        <v>#DIV/0!</v>
      </c>
      <c r="F97" s="113" t="e">
        <f t="shared" si="150"/>
        <v>#DIV/0!</v>
      </c>
      <c r="G97" s="113" t="e">
        <f t="shared" si="150"/>
        <v>#DIV/0!</v>
      </c>
      <c r="H97" s="113" t="e">
        <f t="shared" si="150"/>
        <v>#DIV/0!</v>
      </c>
      <c r="I97" s="113" t="e">
        <f t="shared" si="150"/>
        <v>#DIV/0!</v>
      </c>
      <c r="J97" s="113" t="e">
        <f t="shared" si="150"/>
        <v>#DIV/0!</v>
      </c>
      <c r="K97" s="113" t="e">
        <f t="shared" si="150"/>
        <v>#DIV/0!</v>
      </c>
      <c r="L97" s="113" t="e">
        <f t="shared" si="150"/>
        <v>#DIV/0!</v>
      </c>
      <c r="M97" s="113" t="e">
        <f t="shared" si="150"/>
        <v>#DIV/0!</v>
      </c>
      <c r="N97" s="113" t="e">
        <f t="shared" si="150"/>
        <v>#DIV/0!</v>
      </c>
      <c r="O97" s="113" t="e">
        <f t="shared" si="150"/>
        <v>#DIV/0!</v>
      </c>
      <c r="P97" s="114" t="e">
        <f t="shared" si="150"/>
        <v>#DIV/0!</v>
      </c>
      <c r="Q97" s="115" t="e">
        <f t="shared" si="150"/>
        <v>#DIV/0!</v>
      </c>
      <c r="R97" s="116" t="e">
        <f t="shared" si="150"/>
        <v>#DIV/0!</v>
      </c>
      <c r="T97" s="91"/>
      <c r="U97" s="100"/>
      <c r="V97" s="111"/>
      <c r="W97" s="112" t="s">
        <v>103</v>
      </c>
      <c r="X97" s="113" t="e">
        <f t="shared" ref="X97:AK97" si="151">X95/X93</f>
        <v>#DIV/0!</v>
      </c>
      <c r="Y97" s="113" t="e">
        <f t="shared" si="151"/>
        <v>#DIV/0!</v>
      </c>
      <c r="Z97" s="113" t="e">
        <f t="shared" si="151"/>
        <v>#DIV/0!</v>
      </c>
      <c r="AA97" s="113" t="e">
        <f t="shared" si="151"/>
        <v>#DIV/0!</v>
      </c>
      <c r="AB97" s="113" t="e">
        <f t="shared" si="151"/>
        <v>#DIV/0!</v>
      </c>
      <c r="AC97" s="113" t="e">
        <f t="shared" si="151"/>
        <v>#DIV/0!</v>
      </c>
      <c r="AD97" s="113" t="e">
        <f t="shared" si="151"/>
        <v>#DIV/0!</v>
      </c>
      <c r="AE97" s="113" t="e">
        <f t="shared" si="151"/>
        <v>#DIV/0!</v>
      </c>
      <c r="AF97" s="113" t="e">
        <f t="shared" si="151"/>
        <v>#DIV/0!</v>
      </c>
      <c r="AG97" s="113" t="e">
        <f t="shared" si="151"/>
        <v>#DIV/0!</v>
      </c>
      <c r="AH97" s="113" t="e">
        <f t="shared" si="151"/>
        <v>#DIV/0!</v>
      </c>
      <c r="AI97" s="114" t="e">
        <f t="shared" si="151"/>
        <v>#DIV/0!</v>
      </c>
      <c r="AJ97" s="115" t="e">
        <f t="shared" si="151"/>
        <v>#DIV/0!</v>
      </c>
      <c r="AK97" s="116" t="e">
        <f t="shared" si="151"/>
        <v>#DIV/0!</v>
      </c>
    </row>
    <row r="98" spans="1:38" ht="15.6" hidden="1" thickBot="1">
      <c r="A98" s="91"/>
      <c r="B98" s="100"/>
      <c r="C98" s="86"/>
      <c r="D98" s="87">
        <v>2019</v>
      </c>
      <c r="E98" s="88"/>
      <c r="F98" s="121"/>
      <c r="G98" s="121"/>
      <c r="H98" s="121"/>
      <c r="I98" s="121"/>
      <c r="J98" s="121"/>
      <c r="K98" s="121"/>
      <c r="L98" s="121"/>
      <c r="M98" s="122"/>
      <c r="N98" s="122"/>
      <c r="O98" s="122"/>
      <c r="P98" s="123"/>
      <c r="Q98" s="89">
        <f t="shared" ref="Q98:Q100" si="152">SUM(E98:P98)</f>
        <v>0</v>
      </c>
      <c r="R98" s="90">
        <f t="shared" ref="R98" si="153">SUM(E98:M98)</f>
        <v>0</v>
      </c>
      <c r="T98" s="91"/>
      <c r="U98" s="100"/>
      <c r="V98" s="86">
        <f t="shared" ref="V98:V99" si="154">C98</f>
        <v>0</v>
      </c>
      <c r="W98" s="87">
        <v>2019</v>
      </c>
      <c r="X98" s="88"/>
      <c r="Y98" s="121"/>
      <c r="Z98" s="121"/>
      <c r="AA98" s="121"/>
      <c r="AB98" s="121"/>
      <c r="AC98" s="121"/>
      <c r="AD98" s="121"/>
      <c r="AE98" s="121"/>
      <c r="AF98" s="122"/>
      <c r="AG98" s="122"/>
      <c r="AH98" s="122"/>
      <c r="AI98" s="123"/>
      <c r="AJ98" s="89">
        <f t="shared" ref="AJ98:AJ100" si="155">SUM(X98:AI98)</f>
        <v>0</v>
      </c>
      <c r="AK98" s="90">
        <f t="shared" ref="AK98:AK100" si="156">SUM(X98:AF98)</f>
        <v>0</v>
      </c>
    </row>
    <row r="99" spans="1:38" ht="15.6" hidden="1" thickBot="1">
      <c r="A99" s="91"/>
      <c r="B99" s="100"/>
      <c r="C99" s="92"/>
      <c r="D99" s="93" t="s">
        <v>92</v>
      </c>
      <c r="E99" s="94"/>
      <c r="F99" s="97"/>
      <c r="G99" s="97"/>
      <c r="H99" s="97"/>
      <c r="I99" s="97"/>
      <c r="J99" s="97"/>
      <c r="K99" s="97"/>
      <c r="L99" s="97"/>
      <c r="M99" s="98"/>
      <c r="N99" s="98"/>
      <c r="O99" s="98"/>
      <c r="P99" s="99"/>
      <c r="Q99" s="95">
        <f t="shared" si="152"/>
        <v>0</v>
      </c>
      <c r="R99" s="96">
        <f t="shared" si="108"/>
        <v>0</v>
      </c>
      <c r="T99" s="91"/>
      <c r="U99" s="100"/>
      <c r="V99" s="92">
        <f t="shared" si="154"/>
        <v>0</v>
      </c>
      <c r="W99" s="93" t="s">
        <v>92</v>
      </c>
      <c r="X99" s="94"/>
      <c r="Y99" s="97"/>
      <c r="Z99" s="97"/>
      <c r="AA99" s="97"/>
      <c r="AB99" s="97"/>
      <c r="AC99" s="97"/>
      <c r="AD99" s="97"/>
      <c r="AE99" s="97"/>
      <c r="AF99" s="98"/>
      <c r="AG99" s="98"/>
      <c r="AH99" s="98"/>
      <c r="AI99" s="99"/>
      <c r="AJ99" s="95">
        <f t="shared" si="155"/>
        <v>0</v>
      </c>
      <c r="AK99" s="96">
        <f t="shared" si="156"/>
        <v>0</v>
      </c>
    </row>
    <row r="100" spans="1:38" ht="15.6" hidden="1" thickBot="1">
      <c r="A100" s="91"/>
      <c r="B100" s="100"/>
      <c r="C100" s="92"/>
      <c r="D100" s="101">
        <v>2020</v>
      </c>
      <c r="E100" s="102"/>
      <c r="F100" s="124"/>
      <c r="G100" s="124"/>
      <c r="H100" s="124"/>
      <c r="I100" s="124"/>
      <c r="J100" s="124"/>
      <c r="K100" s="124"/>
      <c r="L100" s="124"/>
      <c r="M100" s="125"/>
      <c r="N100" s="125"/>
      <c r="O100" s="125"/>
      <c r="P100" s="126"/>
      <c r="Q100" s="103">
        <f t="shared" si="152"/>
        <v>0</v>
      </c>
      <c r="R100" s="104">
        <f t="shared" si="108"/>
        <v>0</v>
      </c>
      <c r="S100" s="105"/>
      <c r="T100" s="91"/>
      <c r="U100" s="100"/>
      <c r="V100" s="92"/>
      <c r="W100" s="101">
        <v>2020</v>
      </c>
      <c r="X100" s="102"/>
      <c r="Y100" s="124"/>
      <c r="Z100" s="124"/>
      <c r="AA100" s="124"/>
      <c r="AB100" s="124"/>
      <c r="AC100" s="124"/>
      <c r="AD100" s="124"/>
      <c r="AE100" s="124"/>
      <c r="AF100" s="125"/>
      <c r="AG100" s="125"/>
      <c r="AH100" s="125"/>
      <c r="AI100" s="126"/>
      <c r="AJ100" s="103">
        <f t="shared" si="155"/>
        <v>0</v>
      </c>
      <c r="AK100" s="104">
        <f t="shared" si="156"/>
        <v>0</v>
      </c>
      <c r="AL100" s="105"/>
    </row>
    <row r="101" spans="1:38" ht="15.6" hidden="1" thickBot="1">
      <c r="A101" s="91"/>
      <c r="B101" s="100"/>
      <c r="C101" s="92"/>
      <c r="D101" s="101" t="s">
        <v>102</v>
      </c>
      <c r="E101" s="106" t="e">
        <f t="shared" ref="E101:R101" si="157">E100/E99</f>
        <v>#DIV/0!</v>
      </c>
      <c r="F101" s="106" t="e">
        <f t="shared" si="157"/>
        <v>#DIV/0!</v>
      </c>
      <c r="G101" s="106" t="e">
        <f t="shared" si="157"/>
        <v>#DIV/0!</v>
      </c>
      <c r="H101" s="106" t="e">
        <f t="shared" si="157"/>
        <v>#DIV/0!</v>
      </c>
      <c r="I101" s="106" t="e">
        <f t="shared" si="157"/>
        <v>#DIV/0!</v>
      </c>
      <c r="J101" s="106" t="e">
        <f t="shared" si="157"/>
        <v>#DIV/0!</v>
      </c>
      <c r="K101" s="106" t="e">
        <f t="shared" si="157"/>
        <v>#DIV/0!</v>
      </c>
      <c r="L101" s="106" t="e">
        <f t="shared" si="157"/>
        <v>#DIV/0!</v>
      </c>
      <c r="M101" s="107" t="e">
        <f t="shared" si="157"/>
        <v>#DIV/0!</v>
      </c>
      <c r="N101" s="107" t="e">
        <f t="shared" si="157"/>
        <v>#DIV/0!</v>
      </c>
      <c r="O101" s="107" t="e">
        <f t="shared" si="157"/>
        <v>#DIV/0!</v>
      </c>
      <c r="P101" s="108" t="e">
        <f t="shared" si="157"/>
        <v>#DIV/0!</v>
      </c>
      <c r="Q101" s="109" t="e">
        <f t="shared" si="157"/>
        <v>#DIV/0!</v>
      </c>
      <c r="R101" s="110" t="e">
        <f t="shared" si="157"/>
        <v>#DIV/0!</v>
      </c>
      <c r="S101" s="105"/>
      <c r="T101" s="91"/>
      <c r="U101" s="100"/>
      <c r="V101" s="92"/>
      <c r="W101" s="101" t="s">
        <v>102</v>
      </c>
      <c r="X101" s="106" t="e">
        <f t="shared" ref="X101:AK101" si="158">X100/X99</f>
        <v>#DIV/0!</v>
      </c>
      <c r="Y101" s="106" t="e">
        <f t="shared" si="158"/>
        <v>#DIV/0!</v>
      </c>
      <c r="Z101" s="106" t="e">
        <f t="shared" si="158"/>
        <v>#DIV/0!</v>
      </c>
      <c r="AA101" s="106" t="e">
        <f t="shared" si="158"/>
        <v>#DIV/0!</v>
      </c>
      <c r="AB101" s="106" t="e">
        <f t="shared" si="158"/>
        <v>#DIV/0!</v>
      </c>
      <c r="AC101" s="106" t="e">
        <f t="shared" si="158"/>
        <v>#DIV/0!</v>
      </c>
      <c r="AD101" s="106" t="e">
        <f t="shared" si="158"/>
        <v>#DIV/0!</v>
      </c>
      <c r="AE101" s="106" t="e">
        <f t="shared" si="158"/>
        <v>#DIV/0!</v>
      </c>
      <c r="AF101" s="107" t="e">
        <f t="shared" si="158"/>
        <v>#DIV/0!</v>
      </c>
      <c r="AG101" s="107" t="e">
        <f t="shared" si="158"/>
        <v>#DIV/0!</v>
      </c>
      <c r="AH101" s="107" t="e">
        <f t="shared" si="158"/>
        <v>#DIV/0!</v>
      </c>
      <c r="AI101" s="108" t="e">
        <f t="shared" si="158"/>
        <v>#DIV/0!</v>
      </c>
      <c r="AJ101" s="109" t="e">
        <f t="shared" si="158"/>
        <v>#DIV/0!</v>
      </c>
      <c r="AK101" s="110" t="e">
        <f t="shared" si="158"/>
        <v>#DIV/0!</v>
      </c>
      <c r="AL101" s="105"/>
    </row>
    <row r="102" spans="1:38" ht="15.6" hidden="1" thickBot="1">
      <c r="A102" s="91"/>
      <c r="B102" s="100"/>
      <c r="C102" s="111"/>
      <c r="D102" s="112" t="s">
        <v>103</v>
      </c>
      <c r="E102" s="113" t="e">
        <f t="shared" ref="E102:R102" si="159">E100/E98</f>
        <v>#DIV/0!</v>
      </c>
      <c r="F102" s="113" t="e">
        <f t="shared" si="159"/>
        <v>#DIV/0!</v>
      </c>
      <c r="G102" s="113" t="e">
        <f t="shared" si="159"/>
        <v>#DIV/0!</v>
      </c>
      <c r="H102" s="113" t="e">
        <f t="shared" si="159"/>
        <v>#DIV/0!</v>
      </c>
      <c r="I102" s="113" t="e">
        <f t="shared" si="159"/>
        <v>#DIV/0!</v>
      </c>
      <c r="J102" s="113" t="e">
        <f t="shared" si="159"/>
        <v>#DIV/0!</v>
      </c>
      <c r="K102" s="113" t="e">
        <f t="shared" si="159"/>
        <v>#DIV/0!</v>
      </c>
      <c r="L102" s="113" t="e">
        <f t="shared" si="159"/>
        <v>#DIV/0!</v>
      </c>
      <c r="M102" s="113" t="e">
        <f t="shared" si="159"/>
        <v>#DIV/0!</v>
      </c>
      <c r="N102" s="113" t="e">
        <f t="shared" si="159"/>
        <v>#DIV/0!</v>
      </c>
      <c r="O102" s="113" t="e">
        <f t="shared" si="159"/>
        <v>#DIV/0!</v>
      </c>
      <c r="P102" s="114" t="e">
        <f t="shared" si="159"/>
        <v>#DIV/0!</v>
      </c>
      <c r="Q102" s="115" t="e">
        <f t="shared" si="159"/>
        <v>#DIV/0!</v>
      </c>
      <c r="R102" s="116" t="e">
        <f t="shared" si="159"/>
        <v>#DIV/0!</v>
      </c>
      <c r="T102" s="91"/>
      <c r="U102" s="100"/>
      <c r="V102" s="111"/>
      <c r="W102" s="112" t="s">
        <v>103</v>
      </c>
      <c r="X102" s="113" t="e">
        <f t="shared" ref="X102:AK102" si="160">X100/X98</f>
        <v>#DIV/0!</v>
      </c>
      <c r="Y102" s="113" t="e">
        <f t="shared" si="160"/>
        <v>#DIV/0!</v>
      </c>
      <c r="Z102" s="113" t="e">
        <f t="shared" si="160"/>
        <v>#DIV/0!</v>
      </c>
      <c r="AA102" s="113" t="e">
        <f t="shared" si="160"/>
        <v>#DIV/0!</v>
      </c>
      <c r="AB102" s="113" t="e">
        <f t="shared" si="160"/>
        <v>#DIV/0!</v>
      </c>
      <c r="AC102" s="113" t="e">
        <f t="shared" si="160"/>
        <v>#DIV/0!</v>
      </c>
      <c r="AD102" s="113" t="e">
        <f t="shared" si="160"/>
        <v>#DIV/0!</v>
      </c>
      <c r="AE102" s="113" t="e">
        <f t="shared" si="160"/>
        <v>#DIV/0!</v>
      </c>
      <c r="AF102" s="113" t="e">
        <f t="shared" si="160"/>
        <v>#DIV/0!</v>
      </c>
      <c r="AG102" s="113" t="e">
        <f t="shared" si="160"/>
        <v>#DIV/0!</v>
      </c>
      <c r="AH102" s="113" t="e">
        <f t="shared" si="160"/>
        <v>#DIV/0!</v>
      </c>
      <c r="AI102" s="114" t="e">
        <f t="shared" si="160"/>
        <v>#DIV/0!</v>
      </c>
      <c r="AJ102" s="115" t="e">
        <f t="shared" si="160"/>
        <v>#DIV/0!</v>
      </c>
      <c r="AK102" s="116" t="e">
        <f t="shared" si="160"/>
        <v>#DIV/0!</v>
      </c>
    </row>
    <row r="103" spans="1:38" ht="15.6" hidden="1" thickBot="1">
      <c r="A103" s="91"/>
      <c r="B103" s="100"/>
      <c r="C103" s="86"/>
      <c r="D103" s="87">
        <v>2019</v>
      </c>
      <c r="E103" s="88"/>
      <c r="F103" s="121"/>
      <c r="G103" s="121"/>
      <c r="H103" s="121"/>
      <c r="I103" s="121"/>
      <c r="J103" s="121"/>
      <c r="K103" s="121"/>
      <c r="L103" s="121"/>
      <c r="M103" s="122"/>
      <c r="N103" s="122"/>
      <c r="O103" s="122"/>
      <c r="P103" s="123"/>
      <c r="Q103" s="89">
        <f t="shared" ref="Q103:Q105" si="161">SUM(E103:P103)</f>
        <v>0</v>
      </c>
      <c r="R103" s="90">
        <f t="shared" ref="R103" si="162">SUM(E103:M103)</f>
        <v>0</v>
      </c>
      <c r="T103" s="91"/>
      <c r="U103" s="100"/>
      <c r="V103" s="86">
        <f t="shared" ref="V103:V104" si="163">C103</f>
        <v>0</v>
      </c>
      <c r="W103" s="87">
        <v>2019</v>
      </c>
      <c r="X103" s="88"/>
      <c r="Y103" s="121"/>
      <c r="Z103" s="121"/>
      <c r="AA103" s="121"/>
      <c r="AB103" s="121"/>
      <c r="AC103" s="121"/>
      <c r="AD103" s="121"/>
      <c r="AE103" s="121"/>
      <c r="AF103" s="122"/>
      <c r="AG103" s="122"/>
      <c r="AH103" s="122"/>
      <c r="AI103" s="123"/>
      <c r="AJ103" s="89">
        <f t="shared" ref="AJ103:AJ105" si="164">SUM(X103:AI103)</f>
        <v>0</v>
      </c>
      <c r="AK103" s="90">
        <f t="shared" ref="AK103:AK105" si="165">SUM(X103:AF103)</f>
        <v>0</v>
      </c>
    </row>
    <row r="104" spans="1:38" ht="15.6" hidden="1" thickBot="1">
      <c r="A104" s="91"/>
      <c r="B104" s="100"/>
      <c r="C104" s="92"/>
      <c r="D104" s="93" t="s">
        <v>92</v>
      </c>
      <c r="E104" s="94"/>
      <c r="F104" s="97"/>
      <c r="G104" s="97"/>
      <c r="H104" s="97"/>
      <c r="I104" s="97"/>
      <c r="J104" s="97"/>
      <c r="K104" s="97"/>
      <c r="L104" s="97"/>
      <c r="M104" s="98"/>
      <c r="N104" s="98"/>
      <c r="O104" s="98"/>
      <c r="P104" s="99"/>
      <c r="Q104" s="95">
        <f t="shared" si="161"/>
        <v>0</v>
      </c>
      <c r="R104" s="96">
        <f t="shared" si="108"/>
        <v>0</v>
      </c>
      <c r="T104" s="91"/>
      <c r="U104" s="100"/>
      <c r="V104" s="92">
        <f t="shared" si="163"/>
        <v>0</v>
      </c>
      <c r="W104" s="93" t="s">
        <v>92</v>
      </c>
      <c r="X104" s="94"/>
      <c r="Y104" s="97"/>
      <c r="Z104" s="97"/>
      <c r="AA104" s="97"/>
      <c r="AB104" s="97"/>
      <c r="AC104" s="97"/>
      <c r="AD104" s="97"/>
      <c r="AE104" s="97"/>
      <c r="AF104" s="98"/>
      <c r="AG104" s="98"/>
      <c r="AH104" s="98"/>
      <c r="AI104" s="99"/>
      <c r="AJ104" s="95">
        <f t="shared" si="164"/>
        <v>0</v>
      </c>
      <c r="AK104" s="96">
        <f t="shared" si="165"/>
        <v>0</v>
      </c>
    </row>
    <row r="105" spans="1:38" ht="15.6" hidden="1" thickBot="1">
      <c r="A105" s="91"/>
      <c r="B105" s="100"/>
      <c r="C105" s="92"/>
      <c r="D105" s="101">
        <v>2020</v>
      </c>
      <c r="E105" s="102"/>
      <c r="F105" s="124"/>
      <c r="G105" s="124"/>
      <c r="H105" s="124"/>
      <c r="I105" s="124"/>
      <c r="J105" s="124"/>
      <c r="K105" s="124"/>
      <c r="L105" s="124"/>
      <c r="M105" s="125"/>
      <c r="N105" s="125"/>
      <c r="O105" s="125"/>
      <c r="P105" s="126"/>
      <c r="Q105" s="103">
        <f t="shared" si="161"/>
        <v>0</v>
      </c>
      <c r="R105" s="104">
        <f t="shared" si="108"/>
        <v>0</v>
      </c>
      <c r="S105" s="105"/>
      <c r="T105" s="91"/>
      <c r="U105" s="100"/>
      <c r="V105" s="92"/>
      <c r="W105" s="101">
        <v>2020</v>
      </c>
      <c r="X105" s="102"/>
      <c r="Y105" s="124"/>
      <c r="Z105" s="124"/>
      <c r="AA105" s="124"/>
      <c r="AB105" s="124"/>
      <c r="AC105" s="124"/>
      <c r="AD105" s="124"/>
      <c r="AE105" s="124"/>
      <c r="AF105" s="125"/>
      <c r="AG105" s="125"/>
      <c r="AH105" s="125"/>
      <c r="AI105" s="126"/>
      <c r="AJ105" s="103">
        <f t="shared" si="164"/>
        <v>0</v>
      </c>
      <c r="AK105" s="104">
        <f t="shared" si="165"/>
        <v>0</v>
      </c>
      <c r="AL105" s="105"/>
    </row>
    <row r="106" spans="1:38" ht="15.6" hidden="1" thickBot="1">
      <c r="A106" s="91"/>
      <c r="B106" s="100"/>
      <c r="C106" s="92"/>
      <c r="D106" s="101" t="s">
        <v>102</v>
      </c>
      <c r="E106" s="106" t="e">
        <f t="shared" ref="E106:R106" si="166">E105/E104</f>
        <v>#DIV/0!</v>
      </c>
      <c r="F106" s="106" t="e">
        <f t="shared" si="166"/>
        <v>#DIV/0!</v>
      </c>
      <c r="G106" s="106" t="e">
        <f t="shared" si="166"/>
        <v>#DIV/0!</v>
      </c>
      <c r="H106" s="106" t="e">
        <f t="shared" si="166"/>
        <v>#DIV/0!</v>
      </c>
      <c r="I106" s="106" t="e">
        <f t="shared" si="166"/>
        <v>#DIV/0!</v>
      </c>
      <c r="J106" s="106" t="e">
        <f t="shared" si="166"/>
        <v>#DIV/0!</v>
      </c>
      <c r="K106" s="106" t="e">
        <f t="shared" si="166"/>
        <v>#DIV/0!</v>
      </c>
      <c r="L106" s="106" t="e">
        <f t="shared" si="166"/>
        <v>#DIV/0!</v>
      </c>
      <c r="M106" s="107" t="e">
        <f t="shared" si="166"/>
        <v>#DIV/0!</v>
      </c>
      <c r="N106" s="107" t="e">
        <f t="shared" si="166"/>
        <v>#DIV/0!</v>
      </c>
      <c r="O106" s="107" t="e">
        <f t="shared" si="166"/>
        <v>#DIV/0!</v>
      </c>
      <c r="P106" s="108" t="e">
        <f t="shared" si="166"/>
        <v>#DIV/0!</v>
      </c>
      <c r="Q106" s="109" t="e">
        <f t="shared" si="166"/>
        <v>#DIV/0!</v>
      </c>
      <c r="R106" s="110" t="e">
        <f t="shared" si="166"/>
        <v>#DIV/0!</v>
      </c>
      <c r="S106" s="105"/>
      <c r="T106" s="91"/>
      <c r="U106" s="100"/>
      <c r="V106" s="92"/>
      <c r="W106" s="101" t="s">
        <v>102</v>
      </c>
      <c r="X106" s="106" t="e">
        <f t="shared" ref="X106:AK106" si="167">X105/X104</f>
        <v>#DIV/0!</v>
      </c>
      <c r="Y106" s="106" t="e">
        <f t="shared" si="167"/>
        <v>#DIV/0!</v>
      </c>
      <c r="Z106" s="106" t="e">
        <f t="shared" si="167"/>
        <v>#DIV/0!</v>
      </c>
      <c r="AA106" s="106" t="e">
        <f t="shared" si="167"/>
        <v>#DIV/0!</v>
      </c>
      <c r="AB106" s="106" t="e">
        <f t="shared" si="167"/>
        <v>#DIV/0!</v>
      </c>
      <c r="AC106" s="106" t="e">
        <f t="shared" si="167"/>
        <v>#DIV/0!</v>
      </c>
      <c r="AD106" s="106" t="e">
        <f t="shared" si="167"/>
        <v>#DIV/0!</v>
      </c>
      <c r="AE106" s="106" t="e">
        <f t="shared" si="167"/>
        <v>#DIV/0!</v>
      </c>
      <c r="AF106" s="107" t="e">
        <f t="shared" si="167"/>
        <v>#DIV/0!</v>
      </c>
      <c r="AG106" s="107" t="e">
        <f t="shared" si="167"/>
        <v>#DIV/0!</v>
      </c>
      <c r="AH106" s="107" t="e">
        <f t="shared" si="167"/>
        <v>#DIV/0!</v>
      </c>
      <c r="AI106" s="108" t="e">
        <f t="shared" si="167"/>
        <v>#DIV/0!</v>
      </c>
      <c r="AJ106" s="109" t="e">
        <f t="shared" si="167"/>
        <v>#DIV/0!</v>
      </c>
      <c r="AK106" s="110" t="e">
        <f t="shared" si="167"/>
        <v>#DIV/0!</v>
      </c>
      <c r="AL106" s="105"/>
    </row>
    <row r="107" spans="1:38" ht="15.6" hidden="1" thickBot="1">
      <c r="A107" s="91"/>
      <c r="B107" s="100"/>
      <c r="C107" s="111"/>
      <c r="D107" s="112" t="s">
        <v>103</v>
      </c>
      <c r="E107" s="113" t="e">
        <f t="shared" ref="E107:R107" si="168">E105/E103</f>
        <v>#DIV/0!</v>
      </c>
      <c r="F107" s="113" t="e">
        <f t="shared" si="168"/>
        <v>#DIV/0!</v>
      </c>
      <c r="G107" s="113" t="e">
        <f t="shared" si="168"/>
        <v>#DIV/0!</v>
      </c>
      <c r="H107" s="113" t="e">
        <f t="shared" si="168"/>
        <v>#DIV/0!</v>
      </c>
      <c r="I107" s="113" t="e">
        <f t="shared" si="168"/>
        <v>#DIV/0!</v>
      </c>
      <c r="J107" s="113" t="e">
        <f t="shared" si="168"/>
        <v>#DIV/0!</v>
      </c>
      <c r="K107" s="113" t="e">
        <f t="shared" si="168"/>
        <v>#DIV/0!</v>
      </c>
      <c r="L107" s="113" t="e">
        <f t="shared" si="168"/>
        <v>#DIV/0!</v>
      </c>
      <c r="M107" s="113" t="e">
        <f t="shared" si="168"/>
        <v>#DIV/0!</v>
      </c>
      <c r="N107" s="113" t="e">
        <f t="shared" si="168"/>
        <v>#DIV/0!</v>
      </c>
      <c r="O107" s="113" t="e">
        <f t="shared" si="168"/>
        <v>#DIV/0!</v>
      </c>
      <c r="P107" s="114" t="e">
        <f t="shared" si="168"/>
        <v>#DIV/0!</v>
      </c>
      <c r="Q107" s="115" t="e">
        <f t="shared" si="168"/>
        <v>#DIV/0!</v>
      </c>
      <c r="R107" s="116" t="e">
        <f t="shared" si="168"/>
        <v>#DIV/0!</v>
      </c>
      <c r="T107" s="91"/>
      <c r="U107" s="100"/>
      <c r="V107" s="111"/>
      <c r="W107" s="112" t="s">
        <v>103</v>
      </c>
      <c r="X107" s="113" t="e">
        <f t="shared" ref="X107:AK107" si="169">X105/X103</f>
        <v>#DIV/0!</v>
      </c>
      <c r="Y107" s="113" t="e">
        <f t="shared" si="169"/>
        <v>#DIV/0!</v>
      </c>
      <c r="Z107" s="113" t="e">
        <f t="shared" si="169"/>
        <v>#DIV/0!</v>
      </c>
      <c r="AA107" s="113" t="e">
        <f t="shared" si="169"/>
        <v>#DIV/0!</v>
      </c>
      <c r="AB107" s="113" t="e">
        <f t="shared" si="169"/>
        <v>#DIV/0!</v>
      </c>
      <c r="AC107" s="113" t="e">
        <f t="shared" si="169"/>
        <v>#DIV/0!</v>
      </c>
      <c r="AD107" s="113" t="e">
        <f t="shared" si="169"/>
        <v>#DIV/0!</v>
      </c>
      <c r="AE107" s="113" t="e">
        <f t="shared" si="169"/>
        <v>#DIV/0!</v>
      </c>
      <c r="AF107" s="113" t="e">
        <f t="shared" si="169"/>
        <v>#DIV/0!</v>
      </c>
      <c r="AG107" s="113" t="e">
        <f t="shared" si="169"/>
        <v>#DIV/0!</v>
      </c>
      <c r="AH107" s="113" t="e">
        <f t="shared" si="169"/>
        <v>#DIV/0!</v>
      </c>
      <c r="AI107" s="114" t="e">
        <f t="shared" si="169"/>
        <v>#DIV/0!</v>
      </c>
      <c r="AJ107" s="115" t="e">
        <f t="shared" si="169"/>
        <v>#DIV/0!</v>
      </c>
      <c r="AK107" s="116" t="e">
        <f t="shared" si="169"/>
        <v>#DIV/0!</v>
      </c>
    </row>
    <row r="108" spans="1:38" ht="15.6" hidden="1" thickBot="1">
      <c r="A108" s="91"/>
      <c r="B108" s="100"/>
      <c r="C108" s="86"/>
      <c r="D108" s="87">
        <v>2019</v>
      </c>
      <c r="E108" s="88"/>
      <c r="F108" s="121"/>
      <c r="G108" s="121"/>
      <c r="H108" s="121"/>
      <c r="I108" s="121"/>
      <c r="J108" s="121"/>
      <c r="K108" s="121"/>
      <c r="L108" s="121"/>
      <c r="M108" s="122"/>
      <c r="N108" s="122"/>
      <c r="O108" s="122"/>
      <c r="P108" s="123"/>
      <c r="Q108" s="89">
        <f t="shared" ref="Q108:Q110" si="170">SUM(E108:P108)</f>
        <v>0</v>
      </c>
      <c r="R108" s="90">
        <f t="shared" ref="R108" si="171">SUM(E108:M108)</f>
        <v>0</v>
      </c>
      <c r="T108" s="91"/>
      <c r="U108" s="100"/>
      <c r="V108" s="86">
        <f t="shared" ref="V108:V109" si="172">C108</f>
        <v>0</v>
      </c>
      <c r="W108" s="87">
        <v>2019</v>
      </c>
      <c r="X108" s="88"/>
      <c r="Y108" s="121"/>
      <c r="Z108" s="121"/>
      <c r="AA108" s="121"/>
      <c r="AB108" s="121"/>
      <c r="AC108" s="121"/>
      <c r="AD108" s="121"/>
      <c r="AE108" s="121"/>
      <c r="AF108" s="122"/>
      <c r="AG108" s="122"/>
      <c r="AH108" s="122"/>
      <c r="AI108" s="123"/>
      <c r="AJ108" s="89">
        <f t="shared" ref="AJ108:AJ110" si="173">SUM(X108:AI108)</f>
        <v>0</v>
      </c>
      <c r="AK108" s="90">
        <f t="shared" ref="AK108:AK110" si="174">SUM(X108:AF108)</f>
        <v>0</v>
      </c>
    </row>
    <row r="109" spans="1:38" ht="15.6" hidden="1" thickBot="1">
      <c r="A109" s="91"/>
      <c r="B109" s="100"/>
      <c r="C109" s="92"/>
      <c r="D109" s="93" t="s">
        <v>92</v>
      </c>
      <c r="E109" s="94"/>
      <c r="F109" s="97"/>
      <c r="G109" s="97"/>
      <c r="H109" s="97"/>
      <c r="I109" s="97"/>
      <c r="J109" s="97"/>
      <c r="K109" s="97"/>
      <c r="L109" s="97"/>
      <c r="M109" s="98"/>
      <c r="N109" s="98"/>
      <c r="O109" s="98"/>
      <c r="P109" s="99"/>
      <c r="Q109" s="95">
        <f t="shared" si="170"/>
        <v>0</v>
      </c>
      <c r="R109" s="96">
        <f t="shared" si="108"/>
        <v>0</v>
      </c>
      <c r="T109" s="91"/>
      <c r="U109" s="100"/>
      <c r="V109" s="92">
        <f t="shared" si="172"/>
        <v>0</v>
      </c>
      <c r="W109" s="93" t="s">
        <v>92</v>
      </c>
      <c r="X109" s="94"/>
      <c r="Y109" s="97"/>
      <c r="Z109" s="97"/>
      <c r="AA109" s="97"/>
      <c r="AB109" s="97"/>
      <c r="AC109" s="97"/>
      <c r="AD109" s="97"/>
      <c r="AE109" s="97"/>
      <c r="AF109" s="98"/>
      <c r="AG109" s="98"/>
      <c r="AH109" s="98"/>
      <c r="AI109" s="99"/>
      <c r="AJ109" s="95">
        <f t="shared" si="173"/>
        <v>0</v>
      </c>
      <c r="AK109" s="96">
        <f t="shared" si="174"/>
        <v>0</v>
      </c>
    </row>
    <row r="110" spans="1:38" ht="15.6" hidden="1" thickBot="1">
      <c r="A110" s="91"/>
      <c r="B110" s="100"/>
      <c r="C110" s="92"/>
      <c r="D110" s="101">
        <v>2020</v>
      </c>
      <c r="E110" s="102"/>
      <c r="F110" s="124"/>
      <c r="G110" s="124"/>
      <c r="H110" s="124"/>
      <c r="I110" s="124"/>
      <c r="J110" s="124"/>
      <c r="K110" s="124"/>
      <c r="L110" s="124"/>
      <c r="M110" s="125"/>
      <c r="N110" s="125"/>
      <c r="O110" s="125"/>
      <c r="P110" s="126"/>
      <c r="Q110" s="103">
        <f t="shared" si="170"/>
        <v>0</v>
      </c>
      <c r="R110" s="104">
        <f t="shared" si="108"/>
        <v>0</v>
      </c>
      <c r="S110" s="105"/>
      <c r="T110" s="91"/>
      <c r="U110" s="100"/>
      <c r="V110" s="92"/>
      <c r="W110" s="101">
        <v>2020</v>
      </c>
      <c r="X110" s="102"/>
      <c r="Y110" s="124"/>
      <c r="Z110" s="124"/>
      <c r="AA110" s="124"/>
      <c r="AB110" s="124"/>
      <c r="AC110" s="124"/>
      <c r="AD110" s="124"/>
      <c r="AE110" s="124"/>
      <c r="AF110" s="125"/>
      <c r="AG110" s="125"/>
      <c r="AH110" s="125"/>
      <c r="AI110" s="126"/>
      <c r="AJ110" s="103">
        <f t="shared" si="173"/>
        <v>0</v>
      </c>
      <c r="AK110" s="104">
        <f t="shared" si="174"/>
        <v>0</v>
      </c>
      <c r="AL110" s="105"/>
    </row>
    <row r="111" spans="1:38" ht="15.6" hidden="1" thickBot="1">
      <c r="A111" s="91"/>
      <c r="B111" s="100"/>
      <c r="C111" s="92"/>
      <c r="D111" s="101" t="s">
        <v>102</v>
      </c>
      <c r="E111" s="106" t="e">
        <f t="shared" ref="E111:R111" si="175">E110/E109</f>
        <v>#DIV/0!</v>
      </c>
      <c r="F111" s="106" t="e">
        <f t="shared" si="175"/>
        <v>#DIV/0!</v>
      </c>
      <c r="G111" s="106" t="e">
        <f t="shared" si="175"/>
        <v>#DIV/0!</v>
      </c>
      <c r="H111" s="106" t="e">
        <f t="shared" si="175"/>
        <v>#DIV/0!</v>
      </c>
      <c r="I111" s="106" t="e">
        <f t="shared" si="175"/>
        <v>#DIV/0!</v>
      </c>
      <c r="J111" s="106" t="e">
        <f t="shared" si="175"/>
        <v>#DIV/0!</v>
      </c>
      <c r="K111" s="106" t="e">
        <f t="shared" si="175"/>
        <v>#DIV/0!</v>
      </c>
      <c r="L111" s="106" t="e">
        <f t="shared" si="175"/>
        <v>#DIV/0!</v>
      </c>
      <c r="M111" s="107" t="e">
        <f t="shared" si="175"/>
        <v>#DIV/0!</v>
      </c>
      <c r="N111" s="107" t="e">
        <f t="shared" si="175"/>
        <v>#DIV/0!</v>
      </c>
      <c r="O111" s="107" t="e">
        <f t="shared" si="175"/>
        <v>#DIV/0!</v>
      </c>
      <c r="P111" s="108" t="e">
        <f t="shared" si="175"/>
        <v>#DIV/0!</v>
      </c>
      <c r="Q111" s="109" t="e">
        <f t="shared" si="175"/>
        <v>#DIV/0!</v>
      </c>
      <c r="R111" s="110" t="e">
        <f t="shared" si="175"/>
        <v>#DIV/0!</v>
      </c>
      <c r="S111" s="105"/>
      <c r="T111" s="91"/>
      <c r="U111" s="100"/>
      <c r="V111" s="92"/>
      <c r="W111" s="101" t="s">
        <v>102</v>
      </c>
      <c r="X111" s="106" t="e">
        <f t="shared" ref="X111:AK111" si="176">X110/X109</f>
        <v>#DIV/0!</v>
      </c>
      <c r="Y111" s="106" t="e">
        <f t="shared" si="176"/>
        <v>#DIV/0!</v>
      </c>
      <c r="Z111" s="106" t="e">
        <f t="shared" si="176"/>
        <v>#DIV/0!</v>
      </c>
      <c r="AA111" s="106" t="e">
        <f t="shared" si="176"/>
        <v>#DIV/0!</v>
      </c>
      <c r="AB111" s="106" t="e">
        <f t="shared" si="176"/>
        <v>#DIV/0!</v>
      </c>
      <c r="AC111" s="106" t="e">
        <f t="shared" si="176"/>
        <v>#DIV/0!</v>
      </c>
      <c r="AD111" s="106" t="e">
        <f t="shared" si="176"/>
        <v>#DIV/0!</v>
      </c>
      <c r="AE111" s="106" t="e">
        <f t="shared" si="176"/>
        <v>#DIV/0!</v>
      </c>
      <c r="AF111" s="107" t="e">
        <f t="shared" si="176"/>
        <v>#DIV/0!</v>
      </c>
      <c r="AG111" s="107" t="e">
        <f t="shared" si="176"/>
        <v>#DIV/0!</v>
      </c>
      <c r="AH111" s="107" t="e">
        <f t="shared" si="176"/>
        <v>#DIV/0!</v>
      </c>
      <c r="AI111" s="108" t="e">
        <f t="shared" si="176"/>
        <v>#DIV/0!</v>
      </c>
      <c r="AJ111" s="109" t="e">
        <f t="shared" si="176"/>
        <v>#DIV/0!</v>
      </c>
      <c r="AK111" s="110" t="e">
        <f t="shared" si="176"/>
        <v>#DIV/0!</v>
      </c>
      <c r="AL111" s="105"/>
    </row>
    <row r="112" spans="1:38" ht="15.6" hidden="1" thickBot="1">
      <c r="A112" s="91"/>
      <c r="B112" s="100"/>
      <c r="C112" s="111"/>
      <c r="D112" s="112" t="s">
        <v>103</v>
      </c>
      <c r="E112" s="113" t="e">
        <f t="shared" ref="E112:R112" si="177">E110/E108</f>
        <v>#DIV/0!</v>
      </c>
      <c r="F112" s="113" t="e">
        <f t="shared" si="177"/>
        <v>#DIV/0!</v>
      </c>
      <c r="G112" s="113" t="e">
        <f t="shared" si="177"/>
        <v>#DIV/0!</v>
      </c>
      <c r="H112" s="113" t="e">
        <f t="shared" si="177"/>
        <v>#DIV/0!</v>
      </c>
      <c r="I112" s="113" t="e">
        <f t="shared" si="177"/>
        <v>#DIV/0!</v>
      </c>
      <c r="J112" s="113" t="e">
        <f t="shared" si="177"/>
        <v>#DIV/0!</v>
      </c>
      <c r="K112" s="113" t="e">
        <f t="shared" si="177"/>
        <v>#DIV/0!</v>
      </c>
      <c r="L112" s="113" t="e">
        <f t="shared" si="177"/>
        <v>#DIV/0!</v>
      </c>
      <c r="M112" s="113" t="e">
        <f t="shared" si="177"/>
        <v>#DIV/0!</v>
      </c>
      <c r="N112" s="113" t="e">
        <f t="shared" si="177"/>
        <v>#DIV/0!</v>
      </c>
      <c r="O112" s="113" t="e">
        <f t="shared" si="177"/>
        <v>#DIV/0!</v>
      </c>
      <c r="P112" s="114" t="e">
        <f t="shared" si="177"/>
        <v>#DIV/0!</v>
      </c>
      <c r="Q112" s="115" t="e">
        <f t="shared" si="177"/>
        <v>#DIV/0!</v>
      </c>
      <c r="R112" s="116" t="e">
        <f t="shared" si="177"/>
        <v>#DIV/0!</v>
      </c>
      <c r="T112" s="91"/>
      <c r="U112" s="100"/>
      <c r="V112" s="111"/>
      <c r="W112" s="112" t="s">
        <v>103</v>
      </c>
      <c r="X112" s="113" t="e">
        <f t="shared" ref="X112:AK112" si="178">X110/X108</f>
        <v>#DIV/0!</v>
      </c>
      <c r="Y112" s="113" t="e">
        <f t="shared" si="178"/>
        <v>#DIV/0!</v>
      </c>
      <c r="Z112" s="113" t="e">
        <f t="shared" si="178"/>
        <v>#DIV/0!</v>
      </c>
      <c r="AA112" s="113" t="e">
        <f t="shared" si="178"/>
        <v>#DIV/0!</v>
      </c>
      <c r="AB112" s="113" t="e">
        <f t="shared" si="178"/>
        <v>#DIV/0!</v>
      </c>
      <c r="AC112" s="113" t="e">
        <f t="shared" si="178"/>
        <v>#DIV/0!</v>
      </c>
      <c r="AD112" s="113" t="e">
        <f t="shared" si="178"/>
        <v>#DIV/0!</v>
      </c>
      <c r="AE112" s="113" t="e">
        <f t="shared" si="178"/>
        <v>#DIV/0!</v>
      </c>
      <c r="AF112" s="113" t="e">
        <f t="shared" si="178"/>
        <v>#DIV/0!</v>
      </c>
      <c r="AG112" s="113" t="e">
        <f t="shared" si="178"/>
        <v>#DIV/0!</v>
      </c>
      <c r="AH112" s="113" t="e">
        <f t="shared" si="178"/>
        <v>#DIV/0!</v>
      </c>
      <c r="AI112" s="114" t="e">
        <f t="shared" si="178"/>
        <v>#DIV/0!</v>
      </c>
      <c r="AJ112" s="115" t="e">
        <f t="shared" si="178"/>
        <v>#DIV/0!</v>
      </c>
      <c r="AK112" s="116" t="e">
        <f t="shared" si="178"/>
        <v>#DIV/0!</v>
      </c>
    </row>
    <row r="113" spans="1:38" ht="15.6" hidden="1" thickBot="1">
      <c r="A113" s="91"/>
      <c r="B113" s="100"/>
      <c r="C113" s="86"/>
      <c r="D113" s="87">
        <v>2019</v>
      </c>
      <c r="E113" s="88"/>
      <c r="F113" s="121"/>
      <c r="G113" s="121"/>
      <c r="H113" s="121"/>
      <c r="I113" s="121"/>
      <c r="J113" s="121"/>
      <c r="K113" s="121"/>
      <c r="L113" s="121"/>
      <c r="M113" s="122"/>
      <c r="N113" s="122"/>
      <c r="O113" s="122"/>
      <c r="P113" s="123"/>
      <c r="Q113" s="89">
        <f t="shared" ref="Q113:Q115" si="179">SUM(E113:P113)</f>
        <v>0</v>
      </c>
      <c r="R113" s="90">
        <f t="shared" ref="R113" si="180">SUM(E113:M113)</f>
        <v>0</v>
      </c>
      <c r="T113" s="91"/>
      <c r="U113" s="100"/>
      <c r="V113" s="86">
        <f t="shared" ref="V113:V114" si="181">C113</f>
        <v>0</v>
      </c>
      <c r="W113" s="87">
        <v>2019</v>
      </c>
      <c r="X113" s="88"/>
      <c r="Y113" s="121"/>
      <c r="Z113" s="121"/>
      <c r="AA113" s="121"/>
      <c r="AB113" s="121"/>
      <c r="AC113" s="121"/>
      <c r="AD113" s="121"/>
      <c r="AE113" s="121"/>
      <c r="AF113" s="122"/>
      <c r="AG113" s="122"/>
      <c r="AH113" s="122"/>
      <c r="AI113" s="123"/>
      <c r="AJ113" s="89">
        <f t="shared" ref="AJ113:AJ115" si="182">SUM(X113:AI113)</f>
        <v>0</v>
      </c>
      <c r="AK113" s="90">
        <f t="shared" ref="AK113:AK115" si="183">SUM(X113:AF113)</f>
        <v>0</v>
      </c>
    </row>
    <row r="114" spans="1:38" ht="15.6" hidden="1" thickBot="1">
      <c r="A114" s="91"/>
      <c r="B114" s="100"/>
      <c r="C114" s="92"/>
      <c r="D114" s="93" t="s">
        <v>92</v>
      </c>
      <c r="E114" s="94"/>
      <c r="F114" s="97"/>
      <c r="G114" s="97"/>
      <c r="H114" s="97"/>
      <c r="I114" s="97"/>
      <c r="J114" s="97"/>
      <c r="K114" s="97"/>
      <c r="L114" s="97"/>
      <c r="M114" s="98"/>
      <c r="N114" s="98"/>
      <c r="O114" s="98"/>
      <c r="P114" s="99"/>
      <c r="Q114" s="95">
        <f t="shared" si="179"/>
        <v>0</v>
      </c>
      <c r="R114" s="96">
        <f t="shared" si="108"/>
        <v>0</v>
      </c>
      <c r="T114" s="91"/>
      <c r="U114" s="100"/>
      <c r="V114" s="92">
        <f t="shared" si="181"/>
        <v>0</v>
      </c>
      <c r="W114" s="93" t="s">
        <v>92</v>
      </c>
      <c r="X114" s="94"/>
      <c r="Y114" s="97"/>
      <c r="Z114" s="97"/>
      <c r="AA114" s="97"/>
      <c r="AB114" s="97"/>
      <c r="AC114" s="97"/>
      <c r="AD114" s="97"/>
      <c r="AE114" s="97"/>
      <c r="AF114" s="98"/>
      <c r="AG114" s="98"/>
      <c r="AH114" s="98"/>
      <c r="AI114" s="99"/>
      <c r="AJ114" s="95">
        <f t="shared" si="182"/>
        <v>0</v>
      </c>
      <c r="AK114" s="96">
        <f t="shared" si="183"/>
        <v>0</v>
      </c>
    </row>
    <row r="115" spans="1:38" ht="15.6" hidden="1" thickBot="1">
      <c r="A115" s="91"/>
      <c r="B115" s="100"/>
      <c r="C115" s="92"/>
      <c r="D115" s="101">
        <v>2020</v>
      </c>
      <c r="E115" s="102"/>
      <c r="F115" s="124"/>
      <c r="G115" s="124"/>
      <c r="H115" s="124"/>
      <c r="I115" s="124"/>
      <c r="J115" s="124"/>
      <c r="K115" s="124"/>
      <c r="L115" s="124"/>
      <c r="M115" s="125"/>
      <c r="N115" s="125"/>
      <c r="O115" s="125"/>
      <c r="P115" s="126"/>
      <c r="Q115" s="103">
        <f t="shared" si="179"/>
        <v>0</v>
      </c>
      <c r="R115" s="104">
        <f t="shared" si="108"/>
        <v>0</v>
      </c>
      <c r="S115" s="105"/>
      <c r="T115" s="91"/>
      <c r="U115" s="100"/>
      <c r="V115" s="92"/>
      <c r="W115" s="101">
        <v>2020</v>
      </c>
      <c r="X115" s="102"/>
      <c r="Y115" s="124"/>
      <c r="Z115" s="124"/>
      <c r="AA115" s="124"/>
      <c r="AB115" s="124"/>
      <c r="AC115" s="124"/>
      <c r="AD115" s="124"/>
      <c r="AE115" s="124"/>
      <c r="AF115" s="125"/>
      <c r="AG115" s="125"/>
      <c r="AH115" s="125"/>
      <c r="AI115" s="126"/>
      <c r="AJ115" s="103">
        <f t="shared" si="182"/>
        <v>0</v>
      </c>
      <c r="AK115" s="104">
        <f t="shared" si="183"/>
        <v>0</v>
      </c>
      <c r="AL115" s="105"/>
    </row>
    <row r="116" spans="1:38" ht="15.6" hidden="1" thickBot="1">
      <c r="A116" s="91"/>
      <c r="B116" s="100"/>
      <c r="C116" s="92"/>
      <c r="D116" s="101" t="s">
        <v>102</v>
      </c>
      <c r="E116" s="106" t="e">
        <f t="shared" ref="E116:R116" si="184">E115/E114</f>
        <v>#DIV/0!</v>
      </c>
      <c r="F116" s="106" t="e">
        <f t="shared" si="184"/>
        <v>#DIV/0!</v>
      </c>
      <c r="G116" s="106" t="e">
        <f t="shared" si="184"/>
        <v>#DIV/0!</v>
      </c>
      <c r="H116" s="106" t="e">
        <f t="shared" si="184"/>
        <v>#DIV/0!</v>
      </c>
      <c r="I116" s="106" t="e">
        <f t="shared" si="184"/>
        <v>#DIV/0!</v>
      </c>
      <c r="J116" s="106" t="e">
        <f t="shared" si="184"/>
        <v>#DIV/0!</v>
      </c>
      <c r="K116" s="106" t="e">
        <f t="shared" si="184"/>
        <v>#DIV/0!</v>
      </c>
      <c r="L116" s="106" t="e">
        <f t="shared" si="184"/>
        <v>#DIV/0!</v>
      </c>
      <c r="M116" s="107" t="e">
        <f t="shared" si="184"/>
        <v>#DIV/0!</v>
      </c>
      <c r="N116" s="107" t="e">
        <f t="shared" si="184"/>
        <v>#DIV/0!</v>
      </c>
      <c r="O116" s="107" t="e">
        <f t="shared" si="184"/>
        <v>#DIV/0!</v>
      </c>
      <c r="P116" s="108" t="e">
        <f t="shared" si="184"/>
        <v>#DIV/0!</v>
      </c>
      <c r="Q116" s="109" t="e">
        <f t="shared" si="184"/>
        <v>#DIV/0!</v>
      </c>
      <c r="R116" s="110" t="e">
        <f t="shared" si="184"/>
        <v>#DIV/0!</v>
      </c>
      <c r="S116" s="105"/>
      <c r="T116" s="91"/>
      <c r="U116" s="100"/>
      <c r="V116" s="92"/>
      <c r="W116" s="101" t="s">
        <v>102</v>
      </c>
      <c r="X116" s="106" t="e">
        <f t="shared" ref="X116:AK116" si="185">X115/X114</f>
        <v>#DIV/0!</v>
      </c>
      <c r="Y116" s="106" t="e">
        <f t="shared" si="185"/>
        <v>#DIV/0!</v>
      </c>
      <c r="Z116" s="106" t="e">
        <f t="shared" si="185"/>
        <v>#DIV/0!</v>
      </c>
      <c r="AA116" s="106" t="e">
        <f t="shared" si="185"/>
        <v>#DIV/0!</v>
      </c>
      <c r="AB116" s="106" t="e">
        <f t="shared" si="185"/>
        <v>#DIV/0!</v>
      </c>
      <c r="AC116" s="106" t="e">
        <f t="shared" si="185"/>
        <v>#DIV/0!</v>
      </c>
      <c r="AD116" s="106" t="e">
        <f t="shared" si="185"/>
        <v>#DIV/0!</v>
      </c>
      <c r="AE116" s="106" t="e">
        <f t="shared" si="185"/>
        <v>#DIV/0!</v>
      </c>
      <c r="AF116" s="107" t="e">
        <f t="shared" si="185"/>
        <v>#DIV/0!</v>
      </c>
      <c r="AG116" s="107" t="e">
        <f t="shared" si="185"/>
        <v>#DIV/0!</v>
      </c>
      <c r="AH116" s="107" t="e">
        <f t="shared" si="185"/>
        <v>#DIV/0!</v>
      </c>
      <c r="AI116" s="108" t="e">
        <f t="shared" si="185"/>
        <v>#DIV/0!</v>
      </c>
      <c r="AJ116" s="109" t="e">
        <f t="shared" si="185"/>
        <v>#DIV/0!</v>
      </c>
      <c r="AK116" s="110" t="e">
        <f t="shared" si="185"/>
        <v>#DIV/0!</v>
      </c>
      <c r="AL116" s="105"/>
    </row>
    <row r="117" spans="1:38" ht="15.6" hidden="1" thickBot="1">
      <c r="A117" s="91"/>
      <c r="B117" s="100"/>
      <c r="C117" s="111"/>
      <c r="D117" s="112" t="s">
        <v>103</v>
      </c>
      <c r="E117" s="113" t="e">
        <f t="shared" ref="E117:R117" si="186">E115/E113</f>
        <v>#DIV/0!</v>
      </c>
      <c r="F117" s="113" t="e">
        <f t="shared" si="186"/>
        <v>#DIV/0!</v>
      </c>
      <c r="G117" s="113" t="e">
        <f t="shared" si="186"/>
        <v>#DIV/0!</v>
      </c>
      <c r="H117" s="113" t="e">
        <f t="shared" si="186"/>
        <v>#DIV/0!</v>
      </c>
      <c r="I117" s="113" t="e">
        <f t="shared" si="186"/>
        <v>#DIV/0!</v>
      </c>
      <c r="J117" s="113" t="e">
        <f t="shared" si="186"/>
        <v>#DIV/0!</v>
      </c>
      <c r="K117" s="113" t="e">
        <f t="shared" si="186"/>
        <v>#DIV/0!</v>
      </c>
      <c r="L117" s="113" t="e">
        <f t="shared" si="186"/>
        <v>#DIV/0!</v>
      </c>
      <c r="M117" s="113" t="e">
        <f t="shared" si="186"/>
        <v>#DIV/0!</v>
      </c>
      <c r="N117" s="113" t="e">
        <f t="shared" si="186"/>
        <v>#DIV/0!</v>
      </c>
      <c r="O117" s="113" t="e">
        <f t="shared" si="186"/>
        <v>#DIV/0!</v>
      </c>
      <c r="P117" s="114" t="e">
        <f t="shared" si="186"/>
        <v>#DIV/0!</v>
      </c>
      <c r="Q117" s="115" t="e">
        <f t="shared" si="186"/>
        <v>#DIV/0!</v>
      </c>
      <c r="R117" s="116" t="e">
        <f t="shared" si="186"/>
        <v>#DIV/0!</v>
      </c>
      <c r="T117" s="91"/>
      <c r="U117" s="100"/>
      <c r="V117" s="111"/>
      <c r="W117" s="112" t="s">
        <v>103</v>
      </c>
      <c r="X117" s="113" t="e">
        <f t="shared" ref="X117:AK117" si="187">X115/X113</f>
        <v>#DIV/0!</v>
      </c>
      <c r="Y117" s="113" t="e">
        <f t="shared" si="187"/>
        <v>#DIV/0!</v>
      </c>
      <c r="Z117" s="113" t="e">
        <f t="shared" si="187"/>
        <v>#DIV/0!</v>
      </c>
      <c r="AA117" s="113" t="e">
        <f t="shared" si="187"/>
        <v>#DIV/0!</v>
      </c>
      <c r="AB117" s="113" t="e">
        <f t="shared" si="187"/>
        <v>#DIV/0!</v>
      </c>
      <c r="AC117" s="113" t="e">
        <f t="shared" si="187"/>
        <v>#DIV/0!</v>
      </c>
      <c r="AD117" s="113" t="e">
        <f t="shared" si="187"/>
        <v>#DIV/0!</v>
      </c>
      <c r="AE117" s="113" t="e">
        <f t="shared" si="187"/>
        <v>#DIV/0!</v>
      </c>
      <c r="AF117" s="113" t="e">
        <f t="shared" si="187"/>
        <v>#DIV/0!</v>
      </c>
      <c r="AG117" s="113" t="e">
        <f t="shared" si="187"/>
        <v>#DIV/0!</v>
      </c>
      <c r="AH117" s="113" t="e">
        <f t="shared" si="187"/>
        <v>#DIV/0!</v>
      </c>
      <c r="AI117" s="114" t="e">
        <f t="shared" si="187"/>
        <v>#DIV/0!</v>
      </c>
      <c r="AJ117" s="115" t="e">
        <f t="shared" si="187"/>
        <v>#DIV/0!</v>
      </c>
      <c r="AK117" s="116" t="e">
        <f t="shared" si="187"/>
        <v>#DIV/0!</v>
      </c>
    </row>
    <row r="118" spans="1:38" ht="15.6" hidden="1" thickBot="1">
      <c r="A118" s="91"/>
      <c r="B118" s="100"/>
      <c r="C118" s="86"/>
      <c r="D118" s="87">
        <v>2019</v>
      </c>
      <c r="E118" s="88"/>
      <c r="F118" s="121"/>
      <c r="G118" s="121"/>
      <c r="H118" s="121"/>
      <c r="I118" s="121"/>
      <c r="J118" s="121"/>
      <c r="K118" s="121"/>
      <c r="L118" s="121"/>
      <c r="M118" s="122"/>
      <c r="N118" s="122"/>
      <c r="O118" s="122"/>
      <c r="P118" s="123"/>
      <c r="Q118" s="89">
        <f t="shared" ref="Q118:Q120" si="188">SUM(E118:P118)</f>
        <v>0</v>
      </c>
      <c r="R118" s="90">
        <f t="shared" ref="R118" si="189">SUM(E118:M118)</f>
        <v>0</v>
      </c>
      <c r="T118" s="91"/>
      <c r="U118" s="100"/>
      <c r="V118" s="86">
        <f t="shared" ref="V118:V119" si="190">C118</f>
        <v>0</v>
      </c>
      <c r="W118" s="87">
        <v>2019</v>
      </c>
      <c r="X118" s="88"/>
      <c r="Y118" s="121"/>
      <c r="Z118" s="121"/>
      <c r="AA118" s="121"/>
      <c r="AB118" s="121"/>
      <c r="AC118" s="121"/>
      <c r="AD118" s="121"/>
      <c r="AE118" s="121"/>
      <c r="AF118" s="122"/>
      <c r="AG118" s="122"/>
      <c r="AH118" s="122"/>
      <c r="AI118" s="123"/>
      <c r="AJ118" s="89">
        <f t="shared" ref="AJ118:AJ120" si="191">SUM(X118:AI118)</f>
        <v>0</v>
      </c>
      <c r="AK118" s="90">
        <f t="shared" ref="AK118:AK120" si="192">SUM(X118:AF118)</f>
        <v>0</v>
      </c>
    </row>
    <row r="119" spans="1:38" ht="15.6" hidden="1" thickBot="1">
      <c r="A119" s="91"/>
      <c r="B119" s="100"/>
      <c r="C119" s="92"/>
      <c r="D119" s="93" t="s">
        <v>92</v>
      </c>
      <c r="E119" s="94"/>
      <c r="F119" s="97"/>
      <c r="G119" s="97"/>
      <c r="H119" s="97"/>
      <c r="I119" s="97"/>
      <c r="J119" s="97"/>
      <c r="K119" s="97"/>
      <c r="L119" s="97"/>
      <c r="M119" s="98"/>
      <c r="N119" s="98"/>
      <c r="O119" s="98"/>
      <c r="P119" s="99"/>
      <c r="Q119" s="95">
        <f t="shared" si="188"/>
        <v>0</v>
      </c>
      <c r="R119" s="96">
        <f t="shared" si="108"/>
        <v>0</v>
      </c>
      <c r="T119" s="91"/>
      <c r="U119" s="100"/>
      <c r="V119" s="92">
        <f t="shared" si="190"/>
        <v>0</v>
      </c>
      <c r="W119" s="93" t="s">
        <v>92</v>
      </c>
      <c r="X119" s="94"/>
      <c r="Y119" s="97"/>
      <c r="Z119" s="97"/>
      <c r="AA119" s="97"/>
      <c r="AB119" s="97"/>
      <c r="AC119" s="97"/>
      <c r="AD119" s="97"/>
      <c r="AE119" s="97"/>
      <c r="AF119" s="98"/>
      <c r="AG119" s="98"/>
      <c r="AH119" s="98"/>
      <c r="AI119" s="99"/>
      <c r="AJ119" s="95">
        <f t="shared" si="191"/>
        <v>0</v>
      </c>
      <c r="AK119" s="96">
        <f t="shared" si="192"/>
        <v>0</v>
      </c>
    </row>
    <row r="120" spans="1:38" ht="15.6" hidden="1" thickBot="1">
      <c r="A120" s="91"/>
      <c r="B120" s="100"/>
      <c r="C120" s="92"/>
      <c r="D120" s="101">
        <v>2020</v>
      </c>
      <c r="E120" s="102"/>
      <c r="F120" s="124"/>
      <c r="G120" s="124"/>
      <c r="H120" s="124"/>
      <c r="I120" s="124"/>
      <c r="J120" s="124"/>
      <c r="K120" s="124"/>
      <c r="L120" s="124"/>
      <c r="M120" s="125"/>
      <c r="N120" s="125"/>
      <c r="O120" s="125"/>
      <c r="P120" s="126"/>
      <c r="Q120" s="103">
        <f t="shared" si="188"/>
        <v>0</v>
      </c>
      <c r="R120" s="104">
        <f t="shared" si="108"/>
        <v>0</v>
      </c>
      <c r="S120" s="105"/>
      <c r="T120" s="91"/>
      <c r="U120" s="100"/>
      <c r="V120" s="92"/>
      <c r="W120" s="101">
        <v>2020</v>
      </c>
      <c r="X120" s="102"/>
      <c r="Y120" s="124"/>
      <c r="Z120" s="124"/>
      <c r="AA120" s="124"/>
      <c r="AB120" s="124"/>
      <c r="AC120" s="124"/>
      <c r="AD120" s="124"/>
      <c r="AE120" s="124"/>
      <c r="AF120" s="125"/>
      <c r="AG120" s="125"/>
      <c r="AH120" s="125"/>
      <c r="AI120" s="126"/>
      <c r="AJ120" s="103">
        <f t="shared" si="191"/>
        <v>0</v>
      </c>
      <c r="AK120" s="104">
        <f t="shared" si="192"/>
        <v>0</v>
      </c>
      <c r="AL120" s="105"/>
    </row>
    <row r="121" spans="1:38" ht="15.6" hidden="1" thickBot="1">
      <c r="A121" s="91"/>
      <c r="B121" s="100"/>
      <c r="C121" s="92"/>
      <c r="D121" s="101" t="s">
        <v>102</v>
      </c>
      <c r="E121" s="106" t="e">
        <f t="shared" ref="E121:R121" si="193">E120/E119</f>
        <v>#DIV/0!</v>
      </c>
      <c r="F121" s="106" t="e">
        <f t="shared" si="193"/>
        <v>#DIV/0!</v>
      </c>
      <c r="G121" s="106" t="e">
        <f t="shared" si="193"/>
        <v>#DIV/0!</v>
      </c>
      <c r="H121" s="106" t="e">
        <f t="shared" si="193"/>
        <v>#DIV/0!</v>
      </c>
      <c r="I121" s="106" t="e">
        <f t="shared" si="193"/>
        <v>#DIV/0!</v>
      </c>
      <c r="J121" s="106" t="e">
        <f t="shared" si="193"/>
        <v>#DIV/0!</v>
      </c>
      <c r="K121" s="106" t="e">
        <f t="shared" si="193"/>
        <v>#DIV/0!</v>
      </c>
      <c r="L121" s="106" t="e">
        <f t="shared" si="193"/>
        <v>#DIV/0!</v>
      </c>
      <c r="M121" s="107" t="e">
        <f t="shared" si="193"/>
        <v>#DIV/0!</v>
      </c>
      <c r="N121" s="107" t="e">
        <f t="shared" si="193"/>
        <v>#DIV/0!</v>
      </c>
      <c r="O121" s="107" t="e">
        <f t="shared" si="193"/>
        <v>#DIV/0!</v>
      </c>
      <c r="P121" s="108" t="e">
        <f t="shared" si="193"/>
        <v>#DIV/0!</v>
      </c>
      <c r="Q121" s="109" t="e">
        <f t="shared" si="193"/>
        <v>#DIV/0!</v>
      </c>
      <c r="R121" s="110" t="e">
        <f t="shared" si="193"/>
        <v>#DIV/0!</v>
      </c>
      <c r="S121" s="105"/>
      <c r="T121" s="91"/>
      <c r="U121" s="100"/>
      <c r="V121" s="92"/>
      <c r="W121" s="101" t="s">
        <v>102</v>
      </c>
      <c r="X121" s="106" t="e">
        <f t="shared" ref="X121:AK121" si="194">X120/X119</f>
        <v>#DIV/0!</v>
      </c>
      <c r="Y121" s="106" t="e">
        <f t="shared" si="194"/>
        <v>#DIV/0!</v>
      </c>
      <c r="Z121" s="106" t="e">
        <f t="shared" si="194"/>
        <v>#DIV/0!</v>
      </c>
      <c r="AA121" s="106" t="e">
        <f t="shared" si="194"/>
        <v>#DIV/0!</v>
      </c>
      <c r="AB121" s="106" t="e">
        <f t="shared" si="194"/>
        <v>#DIV/0!</v>
      </c>
      <c r="AC121" s="106" t="e">
        <f t="shared" si="194"/>
        <v>#DIV/0!</v>
      </c>
      <c r="AD121" s="106" t="e">
        <f t="shared" si="194"/>
        <v>#DIV/0!</v>
      </c>
      <c r="AE121" s="106" t="e">
        <f t="shared" si="194"/>
        <v>#DIV/0!</v>
      </c>
      <c r="AF121" s="107" t="e">
        <f t="shared" si="194"/>
        <v>#DIV/0!</v>
      </c>
      <c r="AG121" s="107" t="e">
        <f t="shared" si="194"/>
        <v>#DIV/0!</v>
      </c>
      <c r="AH121" s="107" t="e">
        <f t="shared" si="194"/>
        <v>#DIV/0!</v>
      </c>
      <c r="AI121" s="108" t="e">
        <f t="shared" si="194"/>
        <v>#DIV/0!</v>
      </c>
      <c r="AJ121" s="109" t="e">
        <f t="shared" si="194"/>
        <v>#DIV/0!</v>
      </c>
      <c r="AK121" s="110" t="e">
        <f t="shared" si="194"/>
        <v>#DIV/0!</v>
      </c>
      <c r="AL121" s="105"/>
    </row>
    <row r="122" spans="1:38" ht="15.6" hidden="1" thickBot="1">
      <c r="A122" s="91"/>
      <c r="B122" s="100"/>
      <c r="C122" s="111"/>
      <c r="D122" s="112" t="s">
        <v>103</v>
      </c>
      <c r="E122" s="113" t="e">
        <f t="shared" ref="E122:R122" si="195">E120/E118</f>
        <v>#DIV/0!</v>
      </c>
      <c r="F122" s="113" t="e">
        <f t="shared" si="195"/>
        <v>#DIV/0!</v>
      </c>
      <c r="G122" s="113" t="e">
        <f t="shared" si="195"/>
        <v>#DIV/0!</v>
      </c>
      <c r="H122" s="113" t="e">
        <f t="shared" si="195"/>
        <v>#DIV/0!</v>
      </c>
      <c r="I122" s="113" t="e">
        <f t="shared" si="195"/>
        <v>#DIV/0!</v>
      </c>
      <c r="J122" s="113" t="e">
        <f t="shared" si="195"/>
        <v>#DIV/0!</v>
      </c>
      <c r="K122" s="113" t="e">
        <f t="shared" si="195"/>
        <v>#DIV/0!</v>
      </c>
      <c r="L122" s="113" t="e">
        <f t="shared" si="195"/>
        <v>#DIV/0!</v>
      </c>
      <c r="M122" s="113" t="e">
        <f t="shared" si="195"/>
        <v>#DIV/0!</v>
      </c>
      <c r="N122" s="113" t="e">
        <f t="shared" si="195"/>
        <v>#DIV/0!</v>
      </c>
      <c r="O122" s="113" t="e">
        <f t="shared" si="195"/>
        <v>#DIV/0!</v>
      </c>
      <c r="P122" s="114" t="e">
        <f t="shared" si="195"/>
        <v>#DIV/0!</v>
      </c>
      <c r="Q122" s="115" t="e">
        <f t="shared" si="195"/>
        <v>#DIV/0!</v>
      </c>
      <c r="R122" s="116" t="e">
        <f t="shared" si="195"/>
        <v>#DIV/0!</v>
      </c>
      <c r="T122" s="91"/>
      <c r="U122" s="100"/>
      <c r="V122" s="111"/>
      <c r="W122" s="112" t="s">
        <v>103</v>
      </c>
      <c r="X122" s="113" t="e">
        <f t="shared" ref="X122:AK122" si="196">X120/X118</f>
        <v>#DIV/0!</v>
      </c>
      <c r="Y122" s="113" t="e">
        <f t="shared" si="196"/>
        <v>#DIV/0!</v>
      </c>
      <c r="Z122" s="113" t="e">
        <f t="shared" si="196"/>
        <v>#DIV/0!</v>
      </c>
      <c r="AA122" s="113" t="e">
        <f t="shared" si="196"/>
        <v>#DIV/0!</v>
      </c>
      <c r="AB122" s="113" t="e">
        <f t="shared" si="196"/>
        <v>#DIV/0!</v>
      </c>
      <c r="AC122" s="113" t="e">
        <f t="shared" si="196"/>
        <v>#DIV/0!</v>
      </c>
      <c r="AD122" s="113" t="e">
        <f t="shared" si="196"/>
        <v>#DIV/0!</v>
      </c>
      <c r="AE122" s="113" t="e">
        <f t="shared" si="196"/>
        <v>#DIV/0!</v>
      </c>
      <c r="AF122" s="113" t="e">
        <f t="shared" si="196"/>
        <v>#DIV/0!</v>
      </c>
      <c r="AG122" s="113" t="e">
        <f t="shared" si="196"/>
        <v>#DIV/0!</v>
      </c>
      <c r="AH122" s="113" t="e">
        <f t="shared" si="196"/>
        <v>#DIV/0!</v>
      </c>
      <c r="AI122" s="114" t="e">
        <f t="shared" si="196"/>
        <v>#DIV/0!</v>
      </c>
      <c r="AJ122" s="115" t="e">
        <f t="shared" si="196"/>
        <v>#DIV/0!</v>
      </c>
      <c r="AK122" s="116" t="e">
        <f t="shared" si="196"/>
        <v>#DIV/0!</v>
      </c>
    </row>
    <row r="123" spans="1:38" ht="15.6" hidden="1" thickBot="1">
      <c r="A123" s="91"/>
      <c r="B123" s="100"/>
      <c r="C123" s="86"/>
      <c r="D123" s="87">
        <v>2019</v>
      </c>
      <c r="E123" s="88"/>
      <c r="F123" s="121"/>
      <c r="G123" s="121"/>
      <c r="H123" s="121"/>
      <c r="I123" s="121"/>
      <c r="J123" s="121"/>
      <c r="K123" s="121"/>
      <c r="L123" s="121"/>
      <c r="M123" s="122"/>
      <c r="N123" s="122"/>
      <c r="O123" s="122"/>
      <c r="P123" s="123"/>
      <c r="Q123" s="89">
        <f t="shared" ref="Q123:Q125" si="197">SUM(E123:P123)</f>
        <v>0</v>
      </c>
      <c r="R123" s="90">
        <f t="shared" ref="R123" si="198">SUM(E123:M123)</f>
        <v>0</v>
      </c>
      <c r="T123" s="91"/>
      <c r="U123" s="100"/>
      <c r="V123" s="86">
        <f t="shared" ref="V123:V124" si="199">C123</f>
        <v>0</v>
      </c>
      <c r="W123" s="87">
        <v>2019</v>
      </c>
      <c r="X123" s="88"/>
      <c r="Y123" s="121"/>
      <c r="Z123" s="121"/>
      <c r="AA123" s="121"/>
      <c r="AB123" s="121"/>
      <c r="AC123" s="121"/>
      <c r="AD123" s="121"/>
      <c r="AE123" s="121"/>
      <c r="AF123" s="122"/>
      <c r="AG123" s="122"/>
      <c r="AH123" s="122"/>
      <c r="AI123" s="123"/>
      <c r="AJ123" s="89">
        <f t="shared" ref="AJ123:AJ125" si="200">SUM(X123:AI123)</f>
        <v>0</v>
      </c>
      <c r="AK123" s="90">
        <f t="shared" ref="AK123:AK125" si="201">SUM(X123:AF123)</f>
        <v>0</v>
      </c>
    </row>
    <row r="124" spans="1:38" ht="15.6" hidden="1" thickBot="1">
      <c r="A124" s="91"/>
      <c r="B124" s="100"/>
      <c r="C124" s="92"/>
      <c r="D124" s="93" t="s">
        <v>92</v>
      </c>
      <c r="E124" s="94"/>
      <c r="F124" s="97"/>
      <c r="G124" s="97"/>
      <c r="H124" s="97"/>
      <c r="I124" s="97"/>
      <c r="J124" s="97"/>
      <c r="K124" s="97"/>
      <c r="L124" s="97"/>
      <c r="M124" s="98"/>
      <c r="N124" s="98"/>
      <c r="O124" s="98"/>
      <c r="P124" s="99"/>
      <c r="Q124" s="95">
        <f t="shared" si="197"/>
        <v>0</v>
      </c>
      <c r="R124" s="96">
        <f t="shared" si="108"/>
        <v>0</v>
      </c>
      <c r="T124" s="91"/>
      <c r="U124" s="100"/>
      <c r="V124" s="92">
        <f t="shared" si="199"/>
        <v>0</v>
      </c>
      <c r="W124" s="93" t="s">
        <v>92</v>
      </c>
      <c r="X124" s="94"/>
      <c r="Y124" s="97"/>
      <c r="Z124" s="97"/>
      <c r="AA124" s="97"/>
      <c r="AB124" s="97"/>
      <c r="AC124" s="97"/>
      <c r="AD124" s="97"/>
      <c r="AE124" s="97"/>
      <c r="AF124" s="98"/>
      <c r="AG124" s="98"/>
      <c r="AH124" s="98"/>
      <c r="AI124" s="99"/>
      <c r="AJ124" s="95">
        <f t="shared" si="200"/>
        <v>0</v>
      </c>
      <c r="AK124" s="96">
        <f t="shared" si="201"/>
        <v>0</v>
      </c>
    </row>
    <row r="125" spans="1:38" ht="15.6" hidden="1" thickBot="1">
      <c r="A125" s="91"/>
      <c r="B125" s="100"/>
      <c r="C125" s="92"/>
      <c r="D125" s="101">
        <v>2020</v>
      </c>
      <c r="E125" s="102"/>
      <c r="F125" s="124"/>
      <c r="G125" s="124"/>
      <c r="H125" s="124"/>
      <c r="I125" s="124"/>
      <c r="J125" s="124"/>
      <c r="K125" s="124"/>
      <c r="L125" s="124"/>
      <c r="M125" s="125"/>
      <c r="N125" s="125"/>
      <c r="O125" s="125"/>
      <c r="P125" s="126"/>
      <c r="Q125" s="103">
        <f t="shared" si="197"/>
        <v>0</v>
      </c>
      <c r="R125" s="104">
        <f t="shared" si="108"/>
        <v>0</v>
      </c>
      <c r="S125" s="105"/>
      <c r="T125" s="91"/>
      <c r="U125" s="100"/>
      <c r="V125" s="92"/>
      <c r="W125" s="101">
        <v>2020</v>
      </c>
      <c r="X125" s="102"/>
      <c r="Y125" s="124"/>
      <c r="Z125" s="124"/>
      <c r="AA125" s="124"/>
      <c r="AB125" s="124"/>
      <c r="AC125" s="124"/>
      <c r="AD125" s="124"/>
      <c r="AE125" s="124"/>
      <c r="AF125" s="125"/>
      <c r="AG125" s="125"/>
      <c r="AH125" s="125"/>
      <c r="AI125" s="126"/>
      <c r="AJ125" s="103">
        <f t="shared" si="200"/>
        <v>0</v>
      </c>
      <c r="AK125" s="104">
        <f t="shared" si="201"/>
        <v>0</v>
      </c>
      <c r="AL125" s="105"/>
    </row>
    <row r="126" spans="1:38" ht="15.6" hidden="1" thickBot="1">
      <c r="A126" s="91"/>
      <c r="B126" s="100"/>
      <c r="C126" s="92"/>
      <c r="D126" s="101" t="s">
        <v>102</v>
      </c>
      <c r="E126" s="106" t="e">
        <f t="shared" ref="E126:R126" si="202">E125/E124</f>
        <v>#DIV/0!</v>
      </c>
      <c r="F126" s="106" t="e">
        <f t="shared" si="202"/>
        <v>#DIV/0!</v>
      </c>
      <c r="G126" s="106" t="e">
        <f t="shared" si="202"/>
        <v>#DIV/0!</v>
      </c>
      <c r="H126" s="106" t="e">
        <f t="shared" si="202"/>
        <v>#DIV/0!</v>
      </c>
      <c r="I126" s="106" t="e">
        <f t="shared" si="202"/>
        <v>#DIV/0!</v>
      </c>
      <c r="J126" s="106" t="e">
        <f t="shared" si="202"/>
        <v>#DIV/0!</v>
      </c>
      <c r="K126" s="106" t="e">
        <f t="shared" si="202"/>
        <v>#DIV/0!</v>
      </c>
      <c r="L126" s="106" t="e">
        <f t="shared" si="202"/>
        <v>#DIV/0!</v>
      </c>
      <c r="M126" s="107" t="e">
        <f t="shared" si="202"/>
        <v>#DIV/0!</v>
      </c>
      <c r="N126" s="107" t="e">
        <f t="shared" si="202"/>
        <v>#DIV/0!</v>
      </c>
      <c r="O126" s="107" t="e">
        <f t="shared" si="202"/>
        <v>#DIV/0!</v>
      </c>
      <c r="P126" s="108" t="e">
        <f t="shared" si="202"/>
        <v>#DIV/0!</v>
      </c>
      <c r="Q126" s="109" t="e">
        <f t="shared" si="202"/>
        <v>#DIV/0!</v>
      </c>
      <c r="R126" s="110" t="e">
        <f t="shared" si="202"/>
        <v>#DIV/0!</v>
      </c>
      <c r="S126" s="105"/>
      <c r="T126" s="91"/>
      <c r="U126" s="100"/>
      <c r="V126" s="92"/>
      <c r="W126" s="101" t="s">
        <v>102</v>
      </c>
      <c r="X126" s="106" t="e">
        <f t="shared" ref="X126:AK126" si="203">X125/X124</f>
        <v>#DIV/0!</v>
      </c>
      <c r="Y126" s="106" t="e">
        <f t="shared" si="203"/>
        <v>#DIV/0!</v>
      </c>
      <c r="Z126" s="106" t="e">
        <f t="shared" si="203"/>
        <v>#DIV/0!</v>
      </c>
      <c r="AA126" s="106" t="e">
        <f t="shared" si="203"/>
        <v>#DIV/0!</v>
      </c>
      <c r="AB126" s="106" t="e">
        <f t="shared" si="203"/>
        <v>#DIV/0!</v>
      </c>
      <c r="AC126" s="106" t="e">
        <f t="shared" si="203"/>
        <v>#DIV/0!</v>
      </c>
      <c r="AD126" s="106" t="e">
        <f t="shared" si="203"/>
        <v>#DIV/0!</v>
      </c>
      <c r="AE126" s="106" t="e">
        <f t="shared" si="203"/>
        <v>#DIV/0!</v>
      </c>
      <c r="AF126" s="107" t="e">
        <f t="shared" si="203"/>
        <v>#DIV/0!</v>
      </c>
      <c r="AG126" s="107" t="e">
        <f t="shared" si="203"/>
        <v>#DIV/0!</v>
      </c>
      <c r="AH126" s="107" t="e">
        <f t="shared" si="203"/>
        <v>#DIV/0!</v>
      </c>
      <c r="AI126" s="108" t="e">
        <f t="shared" si="203"/>
        <v>#DIV/0!</v>
      </c>
      <c r="AJ126" s="109" t="e">
        <f t="shared" si="203"/>
        <v>#DIV/0!</v>
      </c>
      <c r="AK126" s="110" t="e">
        <f t="shared" si="203"/>
        <v>#DIV/0!</v>
      </c>
      <c r="AL126" s="105"/>
    </row>
    <row r="127" spans="1:38" ht="15.6" hidden="1" thickBot="1">
      <c r="A127" s="91"/>
      <c r="B127" s="100"/>
      <c r="C127" s="111"/>
      <c r="D127" s="112" t="s">
        <v>103</v>
      </c>
      <c r="E127" s="113" t="e">
        <f t="shared" ref="E127:R127" si="204">E125/E123</f>
        <v>#DIV/0!</v>
      </c>
      <c r="F127" s="113" t="e">
        <f t="shared" si="204"/>
        <v>#DIV/0!</v>
      </c>
      <c r="G127" s="113" t="e">
        <f t="shared" si="204"/>
        <v>#DIV/0!</v>
      </c>
      <c r="H127" s="113" t="e">
        <f t="shared" si="204"/>
        <v>#DIV/0!</v>
      </c>
      <c r="I127" s="113" t="e">
        <f t="shared" si="204"/>
        <v>#DIV/0!</v>
      </c>
      <c r="J127" s="113" t="e">
        <f t="shared" si="204"/>
        <v>#DIV/0!</v>
      </c>
      <c r="K127" s="113" t="e">
        <f t="shared" si="204"/>
        <v>#DIV/0!</v>
      </c>
      <c r="L127" s="113" t="e">
        <f t="shared" si="204"/>
        <v>#DIV/0!</v>
      </c>
      <c r="M127" s="113" t="e">
        <f t="shared" si="204"/>
        <v>#DIV/0!</v>
      </c>
      <c r="N127" s="113" t="e">
        <f t="shared" si="204"/>
        <v>#DIV/0!</v>
      </c>
      <c r="O127" s="113" t="e">
        <f t="shared" si="204"/>
        <v>#DIV/0!</v>
      </c>
      <c r="P127" s="114" t="e">
        <f t="shared" si="204"/>
        <v>#DIV/0!</v>
      </c>
      <c r="Q127" s="115" t="e">
        <f t="shared" si="204"/>
        <v>#DIV/0!</v>
      </c>
      <c r="R127" s="116" t="e">
        <f t="shared" si="204"/>
        <v>#DIV/0!</v>
      </c>
      <c r="T127" s="91"/>
      <c r="U127" s="100"/>
      <c r="V127" s="111"/>
      <c r="W127" s="112" t="s">
        <v>103</v>
      </c>
      <c r="X127" s="113" t="e">
        <f t="shared" ref="X127:AK127" si="205">X125/X123</f>
        <v>#DIV/0!</v>
      </c>
      <c r="Y127" s="113" t="e">
        <f t="shared" si="205"/>
        <v>#DIV/0!</v>
      </c>
      <c r="Z127" s="113" t="e">
        <f t="shared" si="205"/>
        <v>#DIV/0!</v>
      </c>
      <c r="AA127" s="113" t="e">
        <f t="shared" si="205"/>
        <v>#DIV/0!</v>
      </c>
      <c r="AB127" s="113" t="e">
        <f t="shared" si="205"/>
        <v>#DIV/0!</v>
      </c>
      <c r="AC127" s="113" t="e">
        <f t="shared" si="205"/>
        <v>#DIV/0!</v>
      </c>
      <c r="AD127" s="113" t="e">
        <f t="shared" si="205"/>
        <v>#DIV/0!</v>
      </c>
      <c r="AE127" s="113" t="e">
        <f t="shared" si="205"/>
        <v>#DIV/0!</v>
      </c>
      <c r="AF127" s="113" t="e">
        <f t="shared" si="205"/>
        <v>#DIV/0!</v>
      </c>
      <c r="AG127" s="113" t="e">
        <f t="shared" si="205"/>
        <v>#DIV/0!</v>
      </c>
      <c r="AH127" s="113" t="e">
        <f t="shared" si="205"/>
        <v>#DIV/0!</v>
      </c>
      <c r="AI127" s="114" t="e">
        <f t="shared" si="205"/>
        <v>#DIV/0!</v>
      </c>
      <c r="AJ127" s="115" t="e">
        <f t="shared" si="205"/>
        <v>#DIV/0!</v>
      </c>
      <c r="AK127" s="116" t="e">
        <f t="shared" si="205"/>
        <v>#DIV/0!</v>
      </c>
    </row>
    <row r="128" spans="1:38" ht="15.6" hidden="1" thickBot="1">
      <c r="A128" s="91"/>
      <c r="B128" s="100"/>
      <c r="C128" s="86"/>
      <c r="D128" s="87">
        <v>2019</v>
      </c>
      <c r="E128" s="88"/>
      <c r="F128" s="121"/>
      <c r="G128" s="121"/>
      <c r="H128" s="121"/>
      <c r="I128" s="121"/>
      <c r="J128" s="121"/>
      <c r="K128" s="121"/>
      <c r="L128" s="121"/>
      <c r="M128" s="122"/>
      <c r="N128" s="122"/>
      <c r="O128" s="122"/>
      <c r="P128" s="123"/>
      <c r="Q128" s="89">
        <f t="shared" ref="Q128:Q130" si="206">SUM(E128:P128)</f>
        <v>0</v>
      </c>
      <c r="R128" s="90">
        <f t="shared" ref="R128" si="207">SUM(E128:M128)</f>
        <v>0</v>
      </c>
      <c r="T128" s="91"/>
      <c r="U128" s="100"/>
      <c r="V128" s="86">
        <f t="shared" ref="V128:V129" si="208">C128</f>
        <v>0</v>
      </c>
      <c r="W128" s="87">
        <v>2019</v>
      </c>
      <c r="X128" s="88"/>
      <c r="Y128" s="121"/>
      <c r="Z128" s="121"/>
      <c r="AA128" s="121"/>
      <c r="AB128" s="121"/>
      <c r="AC128" s="121"/>
      <c r="AD128" s="121"/>
      <c r="AE128" s="121"/>
      <c r="AF128" s="122"/>
      <c r="AG128" s="122"/>
      <c r="AH128" s="122"/>
      <c r="AI128" s="123"/>
      <c r="AJ128" s="89">
        <f t="shared" ref="AJ128:AJ130" si="209">SUM(X128:AI128)</f>
        <v>0</v>
      </c>
      <c r="AK128" s="90">
        <f t="shared" ref="AK128:AK130" si="210">SUM(X128:AF128)</f>
        <v>0</v>
      </c>
    </row>
    <row r="129" spans="1:38" ht="15.6" hidden="1" thickBot="1">
      <c r="A129" s="91"/>
      <c r="B129" s="100"/>
      <c r="C129" s="92"/>
      <c r="D129" s="93" t="s">
        <v>92</v>
      </c>
      <c r="E129" s="94"/>
      <c r="F129" s="97"/>
      <c r="G129" s="97"/>
      <c r="H129" s="97"/>
      <c r="I129" s="97"/>
      <c r="J129" s="97"/>
      <c r="K129" s="97"/>
      <c r="L129" s="97"/>
      <c r="M129" s="98"/>
      <c r="N129" s="98"/>
      <c r="O129" s="98"/>
      <c r="P129" s="99"/>
      <c r="Q129" s="95">
        <f t="shared" si="206"/>
        <v>0</v>
      </c>
      <c r="R129" s="96">
        <f t="shared" si="108"/>
        <v>0</v>
      </c>
      <c r="T129" s="91"/>
      <c r="U129" s="100"/>
      <c r="V129" s="92">
        <f t="shared" si="208"/>
        <v>0</v>
      </c>
      <c r="W129" s="93" t="s">
        <v>92</v>
      </c>
      <c r="X129" s="94"/>
      <c r="Y129" s="97"/>
      <c r="Z129" s="97"/>
      <c r="AA129" s="97"/>
      <c r="AB129" s="97"/>
      <c r="AC129" s="97"/>
      <c r="AD129" s="97"/>
      <c r="AE129" s="97"/>
      <c r="AF129" s="98"/>
      <c r="AG129" s="98"/>
      <c r="AH129" s="98"/>
      <c r="AI129" s="99"/>
      <c r="AJ129" s="95">
        <f t="shared" si="209"/>
        <v>0</v>
      </c>
      <c r="AK129" s="96">
        <f t="shared" si="210"/>
        <v>0</v>
      </c>
    </row>
    <row r="130" spans="1:38" ht="15.6" hidden="1" thickBot="1">
      <c r="A130" s="91"/>
      <c r="B130" s="100"/>
      <c r="C130" s="92"/>
      <c r="D130" s="101">
        <v>2020</v>
      </c>
      <c r="E130" s="102"/>
      <c r="F130" s="124"/>
      <c r="G130" s="124"/>
      <c r="H130" s="124"/>
      <c r="I130" s="124"/>
      <c r="J130" s="124"/>
      <c r="K130" s="124"/>
      <c r="L130" s="124"/>
      <c r="M130" s="125"/>
      <c r="N130" s="125"/>
      <c r="O130" s="125"/>
      <c r="P130" s="126"/>
      <c r="Q130" s="103">
        <f t="shared" si="206"/>
        <v>0</v>
      </c>
      <c r="R130" s="104">
        <f t="shared" si="108"/>
        <v>0</v>
      </c>
      <c r="S130" s="105"/>
      <c r="T130" s="91"/>
      <c r="U130" s="100"/>
      <c r="V130" s="92"/>
      <c r="W130" s="101">
        <v>2020</v>
      </c>
      <c r="X130" s="102"/>
      <c r="Y130" s="124"/>
      <c r="Z130" s="124"/>
      <c r="AA130" s="124"/>
      <c r="AB130" s="124"/>
      <c r="AC130" s="124"/>
      <c r="AD130" s="124"/>
      <c r="AE130" s="124"/>
      <c r="AF130" s="125"/>
      <c r="AG130" s="125"/>
      <c r="AH130" s="125"/>
      <c r="AI130" s="126"/>
      <c r="AJ130" s="103">
        <f t="shared" si="209"/>
        <v>0</v>
      </c>
      <c r="AK130" s="104">
        <f t="shared" si="210"/>
        <v>0</v>
      </c>
      <c r="AL130" s="105"/>
    </row>
    <row r="131" spans="1:38" ht="15.6" hidden="1" thickBot="1">
      <c r="A131" s="91"/>
      <c r="B131" s="100"/>
      <c r="C131" s="92"/>
      <c r="D131" s="101" t="s">
        <v>102</v>
      </c>
      <c r="E131" s="106" t="e">
        <f t="shared" ref="E131:R131" si="211">E130/E129</f>
        <v>#DIV/0!</v>
      </c>
      <c r="F131" s="106" t="e">
        <f t="shared" si="211"/>
        <v>#DIV/0!</v>
      </c>
      <c r="G131" s="106" t="e">
        <f t="shared" si="211"/>
        <v>#DIV/0!</v>
      </c>
      <c r="H131" s="106" t="e">
        <f t="shared" si="211"/>
        <v>#DIV/0!</v>
      </c>
      <c r="I131" s="106" t="e">
        <f t="shared" si="211"/>
        <v>#DIV/0!</v>
      </c>
      <c r="J131" s="106" t="e">
        <f t="shared" si="211"/>
        <v>#DIV/0!</v>
      </c>
      <c r="K131" s="106" t="e">
        <f t="shared" si="211"/>
        <v>#DIV/0!</v>
      </c>
      <c r="L131" s="106" t="e">
        <f t="shared" si="211"/>
        <v>#DIV/0!</v>
      </c>
      <c r="M131" s="107" t="e">
        <f t="shared" si="211"/>
        <v>#DIV/0!</v>
      </c>
      <c r="N131" s="107" t="e">
        <f t="shared" si="211"/>
        <v>#DIV/0!</v>
      </c>
      <c r="O131" s="107" t="e">
        <f t="shared" si="211"/>
        <v>#DIV/0!</v>
      </c>
      <c r="P131" s="108" t="e">
        <f t="shared" si="211"/>
        <v>#DIV/0!</v>
      </c>
      <c r="Q131" s="109" t="e">
        <f t="shared" si="211"/>
        <v>#DIV/0!</v>
      </c>
      <c r="R131" s="110" t="e">
        <f t="shared" si="211"/>
        <v>#DIV/0!</v>
      </c>
      <c r="S131" s="105"/>
      <c r="T131" s="91"/>
      <c r="U131" s="100"/>
      <c r="V131" s="92"/>
      <c r="W131" s="101" t="s">
        <v>102</v>
      </c>
      <c r="X131" s="106" t="e">
        <f t="shared" ref="X131:AK131" si="212">X130/X129</f>
        <v>#DIV/0!</v>
      </c>
      <c r="Y131" s="106" t="e">
        <f t="shared" si="212"/>
        <v>#DIV/0!</v>
      </c>
      <c r="Z131" s="106" t="e">
        <f t="shared" si="212"/>
        <v>#DIV/0!</v>
      </c>
      <c r="AA131" s="106" t="e">
        <f t="shared" si="212"/>
        <v>#DIV/0!</v>
      </c>
      <c r="AB131" s="106" t="e">
        <f t="shared" si="212"/>
        <v>#DIV/0!</v>
      </c>
      <c r="AC131" s="106" t="e">
        <f t="shared" si="212"/>
        <v>#DIV/0!</v>
      </c>
      <c r="AD131" s="106" t="e">
        <f t="shared" si="212"/>
        <v>#DIV/0!</v>
      </c>
      <c r="AE131" s="106" t="e">
        <f t="shared" si="212"/>
        <v>#DIV/0!</v>
      </c>
      <c r="AF131" s="107" t="e">
        <f t="shared" si="212"/>
        <v>#DIV/0!</v>
      </c>
      <c r="AG131" s="107" t="e">
        <f t="shared" si="212"/>
        <v>#DIV/0!</v>
      </c>
      <c r="AH131" s="107" t="e">
        <f t="shared" si="212"/>
        <v>#DIV/0!</v>
      </c>
      <c r="AI131" s="108" t="e">
        <f t="shared" si="212"/>
        <v>#DIV/0!</v>
      </c>
      <c r="AJ131" s="109" t="e">
        <f t="shared" si="212"/>
        <v>#DIV/0!</v>
      </c>
      <c r="AK131" s="110" t="e">
        <f t="shared" si="212"/>
        <v>#DIV/0!</v>
      </c>
      <c r="AL131" s="105"/>
    </row>
    <row r="132" spans="1:38" ht="15.6" hidden="1" thickBot="1">
      <c r="A132" s="91"/>
      <c r="B132" s="100"/>
      <c r="C132" s="111"/>
      <c r="D132" s="112" t="s">
        <v>103</v>
      </c>
      <c r="E132" s="113" t="e">
        <f t="shared" ref="E132:R132" si="213">E130/E128</f>
        <v>#DIV/0!</v>
      </c>
      <c r="F132" s="113" t="e">
        <f t="shared" si="213"/>
        <v>#DIV/0!</v>
      </c>
      <c r="G132" s="113" t="e">
        <f t="shared" si="213"/>
        <v>#DIV/0!</v>
      </c>
      <c r="H132" s="113" t="e">
        <f t="shared" si="213"/>
        <v>#DIV/0!</v>
      </c>
      <c r="I132" s="113" t="e">
        <f t="shared" si="213"/>
        <v>#DIV/0!</v>
      </c>
      <c r="J132" s="113" t="e">
        <f t="shared" si="213"/>
        <v>#DIV/0!</v>
      </c>
      <c r="K132" s="113" t="e">
        <f t="shared" si="213"/>
        <v>#DIV/0!</v>
      </c>
      <c r="L132" s="113" t="e">
        <f t="shared" si="213"/>
        <v>#DIV/0!</v>
      </c>
      <c r="M132" s="113" t="e">
        <f t="shared" si="213"/>
        <v>#DIV/0!</v>
      </c>
      <c r="N132" s="113" t="e">
        <f t="shared" si="213"/>
        <v>#DIV/0!</v>
      </c>
      <c r="O132" s="113" t="e">
        <f t="shared" si="213"/>
        <v>#DIV/0!</v>
      </c>
      <c r="P132" s="114" t="e">
        <f t="shared" si="213"/>
        <v>#DIV/0!</v>
      </c>
      <c r="Q132" s="115" t="e">
        <f t="shared" si="213"/>
        <v>#DIV/0!</v>
      </c>
      <c r="R132" s="116" t="e">
        <f t="shared" si="213"/>
        <v>#DIV/0!</v>
      </c>
      <c r="T132" s="91"/>
      <c r="U132" s="100"/>
      <c r="V132" s="111"/>
      <c r="W132" s="112" t="s">
        <v>103</v>
      </c>
      <c r="X132" s="113" t="e">
        <f t="shared" ref="X132:AK132" si="214">X130/X128</f>
        <v>#DIV/0!</v>
      </c>
      <c r="Y132" s="113" t="e">
        <f t="shared" si="214"/>
        <v>#DIV/0!</v>
      </c>
      <c r="Z132" s="113" t="e">
        <f t="shared" si="214"/>
        <v>#DIV/0!</v>
      </c>
      <c r="AA132" s="113" t="e">
        <f t="shared" si="214"/>
        <v>#DIV/0!</v>
      </c>
      <c r="AB132" s="113" t="e">
        <f t="shared" si="214"/>
        <v>#DIV/0!</v>
      </c>
      <c r="AC132" s="113" t="e">
        <f t="shared" si="214"/>
        <v>#DIV/0!</v>
      </c>
      <c r="AD132" s="113" t="e">
        <f t="shared" si="214"/>
        <v>#DIV/0!</v>
      </c>
      <c r="AE132" s="113" t="e">
        <f t="shared" si="214"/>
        <v>#DIV/0!</v>
      </c>
      <c r="AF132" s="113" t="e">
        <f t="shared" si="214"/>
        <v>#DIV/0!</v>
      </c>
      <c r="AG132" s="113" t="e">
        <f t="shared" si="214"/>
        <v>#DIV/0!</v>
      </c>
      <c r="AH132" s="113" t="e">
        <f t="shared" si="214"/>
        <v>#DIV/0!</v>
      </c>
      <c r="AI132" s="114" t="e">
        <f t="shared" si="214"/>
        <v>#DIV/0!</v>
      </c>
      <c r="AJ132" s="115" t="e">
        <f t="shared" si="214"/>
        <v>#DIV/0!</v>
      </c>
      <c r="AK132" s="116" t="e">
        <f t="shared" si="214"/>
        <v>#DIV/0!</v>
      </c>
    </row>
    <row r="133" spans="1:38" ht="15.6" hidden="1" thickBot="1">
      <c r="A133" s="91"/>
      <c r="B133" s="100"/>
      <c r="C133" s="86"/>
      <c r="D133" s="87">
        <v>2019</v>
      </c>
      <c r="E133" s="88"/>
      <c r="F133" s="121"/>
      <c r="G133" s="121"/>
      <c r="H133" s="121"/>
      <c r="I133" s="121"/>
      <c r="J133" s="121"/>
      <c r="K133" s="121"/>
      <c r="L133" s="121"/>
      <c r="M133" s="122"/>
      <c r="N133" s="122"/>
      <c r="O133" s="122"/>
      <c r="P133" s="123"/>
      <c r="Q133" s="89">
        <f t="shared" ref="Q133:Q135" si="215">SUM(E133:P133)</f>
        <v>0</v>
      </c>
      <c r="R133" s="90">
        <f t="shared" ref="R133" si="216">SUM(E133:M133)</f>
        <v>0</v>
      </c>
      <c r="T133" s="91"/>
      <c r="U133" s="100"/>
      <c r="V133" s="86">
        <f t="shared" ref="V133:V134" si="217">C133</f>
        <v>0</v>
      </c>
      <c r="W133" s="87">
        <v>2019</v>
      </c>
      <c r="X133" s="88"/>
      <c r="Y133" s="121"/>
      <c r="Z133" s="121"/>
      <c r="AA133" s="121"/>
      <c r="AB133" s="121"/>
      <c r="AC133" s="121"/>
      <c r="AD133" s="121"/>
      <c r="AE133" s="121"/>
      <c r="AF133" s="122"/>
      <c r="AG133" s="122"/>
      <c r="AH133" s="122"/>
      <c r="AI133" s="123"/>
      <c r="AJ133" s="89">
        <f t="shared" ref="AJ133:AJ135" si="218">SUM(X133:AI133)</f>
        <v>0</v>
      </c>
      <c r="AK133" s="90">
        <f t="shared" ref="AK133:AK135" si="219">SUM(X133:AF133)</f>
        <v>0</v>
      </c>
    </row>
    <row r="134" spans="1:38" ht="15.6" hidden="1" thickBot="1">
      <c r="A134" s="91"/>
      <c r="B134" s="100"/>
      <c r="C134" s="92"/>
      <c r="D134" s="93" t="s">
        <v>92</v>
      </c>
      <c r="E134" s="94"/>
      <c r="F134" s="97"/>
      <c r="G134" s="97"/>
      <c r="H134" s="97"/>
      <c r="I134" s="97"/>
      <c r="J134" s="97"/>
      <c r="K134" s="97"/>
      <c r="L134" s="97"/>
      <c r="M134" s="98"/>
      <c r="N134" s="98"/>
      <c r="O134" s="98"/>
      <c r="P134" s="99"/>
      <c r="Q134" s="95">
        <f t="shared" si="215"/>
        <v>0</v>
      </c>
      <c r="R134" s="96">
        <f t="shared" si="108"/>
        <v>0</v>
      </c>
      <c r="T134" s="91"/>
      <c r="U134" s="100"/>
      <c r="V134" s="92">
        <f t="shared" si="217"/>
        <v>0</v>
      </c>
      <c r="W134" s="93" t="s">
        <v>92</v>
      </c>
      <c r="X134" s="94"/>
      <c r="Y134" s="97"/>
      <c r="Z134" s="97"/>
      <c r="AA134" s="97"/>
      <c r="AB134" s="97"/>
      <c r="AC134" s="97"/>
      <c r="AD134" s="97"/>
      <c r="AE134" s="97"/>
      <c r="AF134" s="98"/>
      <c r="AG134" s="98"/>
      <c r="AH134" s="98"/>
      <c r="AI134" s="99"/>
      <c r="AJ134" s="95">
        <f t="shared" si="218"/>
        <v>0</v>
      </c>
      <c r="AK134" s="96">
        <f t="shared" si="219"/>
        <v>0</v>
      </c>
    </row>
    <row r="135" spans="1:38" ht="15.6" hidden="1" thickBot="1">
      <c r="A135" s="91"/>
      <c r="B135" s="100"/>
      <c r="C135" s="92"/>
      <c r="D135" s="101">
        <v>2020</v>
      </c>
      <c r="E135" s="102"/>
      <c r="F135" s="124"/>
      <c r="G135" s="124"/>
      <c r="H135" s="124"/>
      <c r="I135" s="124"/>
      <c r="J135" s="124"/>
      <c r="K135" s="124"/>
      <c r="L135" s="124"/>
      <c r="M135" s="125"/>
      <c r="N135" s="125"/>
      <c r="O135" s="125"/>
      <c r="P135" s="126"/>
      <c r="Q135" s="103">
        <f t="shared" si="215"/>
        <v>0</v>
      </c>
      <c r="R135" s="104">
        <f t="shared" si="108"/>
        <v>0</v>
      </c>
      <c r="S135" s="105"/>
      <c r="T135" s="91"/>
      <c r="U135" s="100"/>
      <c r="V135" s="92"/>
      <c r="W135" s="101">
        <v>2020</v>
      </c>
      <c r="X135" s="102"/>
      <c r="Y135" s="124"/>
      <c r="Z135" s="124"/>
      <c r="AA135" s="124"/>
      <c r="AB135" s="124"/>
      <c r="AC135" s="124"/>
      <c r="AD135" s="124"/>
      <c r="AE135" s="124"/>
      <c r="AF135" s="125"/>
      <c r="AG135" s="125"/>
      <c r="AH135" s="125"/>
      <c r="AI135" s="126"/>
      <c r="AJ135" s="103">
        <f t="shared" si="218"/>
        <v>0</v>
      </c>
      <c r="AK135" s="104">
        <f t="shared" si="219"/>
        <v>0</v>
      </c>
      <c r="AL135" s="105"/>
    </row>
    <row r="136" spans="1:38" ht="15.6" hidden="1" thickBot="1">
      <c r="A136" s="91"/>
      <c r="B136" s="100"/>
      <c r="C136" s="92"/>
      <c r="D136" s="101" t="s">
        <v>102</v>
      </c>
      <c r="E136" s="106" t="e">
        <f t="shared" ref="E136:R136" si="220">E135/E134</f>
        <v>#DIV/0!</v>
      </c>
      <c r="F136" s="106" t="e">
        <f t="shared" si="220"/>
        <v>#DIV/0!</v>
      </c>
      <c r="G136" s="106" t="e">
        <f t="shared" si="220"/>
        <v>#DIV/0!</v>
      </c>
      <c r="H136" s="106" t="e">
        <f t="shared" si="220"/>
        <v>#DIV/0!</v>
      </c>
      <c r="I136" s="106" t="e">
        <f t="shared" si="220"/>
        <v>#DIV/0!</v>
      </c>
      <c r="J136" s="106" t="e">
        <f t="shared" si="220"/>
        <v>#DIV/0!</v>
      </c>
      <c r="K136" s="106" t="e">
        <f t="shared" si="220"/>
        <v>#DIV/0!</v>
      </c>
      <c r="L136" s="106" t="e">
        <f t="shared" si="220"/>
        <v>#DIV/0!</v>
      </c>
      <c r="M136" s="107" t="e">
        <f t="shared" si="220"/>
        <v>#DIV/0!</v>
      </c>
      <c r="N136" s="107" t="e">
        <f t="shared" si="220"/>
        <v>#DIV/0!</v>
      </c>
      <c r="O136" s="107" t="e">
        <f t="shared" si="220"/>
        <v>#DIV/0!</v>
      </c>
      <c r="P136" s="108" t="e">
        <f t="shared" si="220"/>
        <v>#DIV/0!</v>
      </c>
      <c r="Q136" s="109" t="e">
        <f t="shared" si="220"/>
        <v>#DIV/0!</v>
      </c>
      <c r="R136" s="110" t="e">
        <f t="shared" si="220"/>
        <v>#DIV/0!</v>
      </c>
      <c r="S136" s="105"/>
      <c r="T136" s="91"/>
      <c r="U136" s="100"/>
      <c r="V136" s="92"/>
      <c r="W136" s="101" t="s">
        <v>102</v>
      </c>
      <c r="X136" s="106" t="e">
        <f t="shared" ref="X136:AK136" si="221">X135/X134</f>
        <v>#DIV/0!</v>
      </c>
      <c r="Y136" s="106" t="e">
        <f t="shared" si="221"/>
        <v>#DIV/0!</v>
      </c>
      <c r="Z136" s="106" t="e">
        <f t="shared" si="221"/>
        <v>#DIV/0!</v>
      </c>
      <c r="AA136" s="106" t="e">
        <f t="shared" si="221"/>
        <v>#DIV/0!</v>
      </c>
      <c r="AB136" s="106" t="e">
        <f t="shared" si="221"/>
        <v>#DIV/0!</v>
      </c>
      <c r="AC136" s="106" t="e">
        <f t="shared" si="221"/>
        <v>#DIV/0!</v>
      </c>
      <c r="AD136" s="106" t="e">
        <f t="shared" si="221"/>
        <v>#DIV/0!</v>
      </c>
      <c r="AE136" s="106" t="e">
        <f t="shared" si="221"/>
        <v>#DIV/0!</v>
      </c>
      <c r="AF136" s="107" t="e">
        <f t="shared" si="221"/>
        <v>#DIV/0!</v>
      </c>
      <c r="AG136" s="107" t="e">
        <f t="shared" si="221"/>
        <v>#DIV/0!</v>
      </c>
      <c r="AH136" s="107" t="e">
        <f t="shared" si="221"/>
        <v>#DIV/0!</v>
      </c>
      <c r="AI136" s="108" t="e">
        <f t="shared" si="221"/>
        <v>#DIV/0!</v>
      </c>
      <c r="AJ136" s="109" t="e">
        <f t="shared" si="221"/>
        <v>#DIV/0!</v>
      </c>
      <c r="AK136" s="110" t="e">
        <f t="shared" si="221"/>
        <v>#DIV/0!</v>
      </c>
      <c r="AL136" s="105"/>
    </row>
    <row r="137" spans="1:38" ht="15.6" hidden="1" thickBot="1">
      <c r="A137" s="91"/>
      <c r="B137" s="100"/>
      <c r="C137" s="111"/>
      <c r="D137" s="112" t="s">
        <v>103</v>
      </c>
      <c r="E137" s="113" t="e">
        <f t="shared" ref="E137:R137" si="222">E135/E133</f>
        <v>#DIV/0!</v>
      </c>
      <c r="F137" s="113" t="e">
        <f t="shared" si="222"/>
        <v>#DIV/0!</v>
      </c>
      <c r="G137" s="113" t="e">
        <f t="shared" si="222"/>
        <v>#DIV/0!</v>
      </c>
      <c r="H137" s="113" t="e">
        <f t="shared" si="222"/>
        <v>#DIV/0!</v>
      </c>
      <c r="I137" s="113" t="e">
        <f t="shared" si="222"/>
        <v>#DIV/0!</v>
      </c>
      <c r="J137" s="113" t="e">
        <f t="shared" si="222"/>
        <v>#DIV/0!</v>
      </c>
      <c r="K137" s="113" t="e">
        <f t="shared" si="222"/>
        <v>#DIV/0!</v>
      </c>
      <c r="L137" s="113" t="e">
        <f t="shared" si="222"/>
        <v>#DIV/0!</v>
      </c>
      <c r="M137" s="113" t="e">
        <f t="shared" si="222"/>
        <v>#DIV/0!</v>
      </c>
      <c r="N137" s="113" t="e">
        <f t="shared" si="222"/>
        <v>#DIV/0!</v>
      </c>
      <c r="O137" s="113" t="e">
        <f t="shared" si="222"/>
        <v>#DIV/0!</v>
      </c>
      <c r="P137" s="114" t="e">
        <f t="shared" si="222"/>
        <v>#DIV/0!</v>
      </c>
      <c r="Q137" s="115" t="e">
        <f t="shared" si="222"/>
        <v>#DIV/0!</v>
      </c>
      <c r="R137" s="116" t="e">
        <f t="shared" si="222"/>
        <v>#DIV/0!</v>
      </c>
      <c r="T137" s="91"/>
      <c r="U137" s="100"/>
      <c r="V137" s="111"/>
      <c r="W137" s="112" t="s">
        <v>103</v>
      </c>
      <c r="X137" s="113" t="e">
        <f t="shared" ref="X137:AK137" si="223">X135/X133</f>
        <v>#DIV/0!</v>
      </c>
      <c r="Y137" s="113" t="e">
        <f t="shared" si="223"/>
        <v>#DIV/0!</v>
      </c>
      <c r="Z137" s="113" t="e">
        <f t="shared" si="223"/>
        <v>#DIV/0!</v>
      </c>
      <c r="AA137" s="113" t="e">
        <f t="shared" si="223"/>
        <v>#DIV/0!</v>
      </c>
      <c r="AB137" s="113" t="e">
        <f t="shared" si="223"/>
        <v>#DIV/0!</v>
      </c>
      <c r="AC137" s="113" t="e">
        <f t="shared" si="223"/>
        <v>#DIV/0!</v>
      </c>
      <c r="AD137" s="113" t="e">
        <f t="shared" si="223"/>
        <v>#DIV/0!</v>
      </c>
      <c r="AE137" s="113" t="e">
        <f t="shared" si="223"/>
        <v>#DIV/0!</v>
      </c>
      <c r="AF137" s="113" t="e">
        <f t="shared" si="223"/>
        <v>#DIV/0!</v>
      </c>
      <c r="AG137" s="113" t="e">
        <f t="shared" si="223"/>
        <v>#DIV/0!</v>
      </c>
      <c r="AH137" s="113" t="e">
        <f t="shared" si="223"/>
        <v>#DIV/0!</v>
      </c>
      <c r="AI137" s="114" t="e">
        <f t="shared" si="223"/>
        <v>#DIV/0!</v>
      </c>
      <c r="AJ137" s="115" t="e">
        <f t="shared" si="223"/>
        <v>#DIV/0!</v>
      </c>
      <c r="AK137" s="116" t="e">
        <f t="shared" si="223"/>
        <v>#DIV/0!</v>
      </c>
    </row>
    <row r="138" spans="1:38" ht="15.6" hidden="1" thickBot="1">
      <c r="A138" s="91"/>
      <c r="B138" s="100"/>
      <c r="C138" s="86"/>
      <c r="D138" s="87">
        <v>2019</v>
      </c>
      <c r="E138" s="88"/>
      <c r="F138" s="121"/>
      <c r="G138" s="121"/>
      <c r="H138" s="121"/>
      <c r="I138" s="121"/>
      <c r="J138" s="121"/>
      <c r="K138" s="121"/>
      <c r="L138" s="121"/>
      <c r="M138" s="122"/>
      <c r="N138" s="122"/>
      <c r="O138" s="122"/>
      <c r="P138" s="123"/>
      <c r="Q138" s="89">
        <f t="shared" ref="Q138:Q140" si="224">SUM(E138:P138)</f>
        <v>0</v>
      </c>
      <c r="R138" s="90">
        <f t="shared" ref="R138:R200" si="225">SUM(E138:M138)</f>
        <v>0</v>
      </c>
      <c r="T138" s="91"/>
      <c r="U138" s="100"/>
      <c r="V138" s="86">
        <f t="shared" ref="V138:V139" si="226">C138</f>
        <v>0</v>
      </c>
      <c r="W138" s="87">
        <v>2019</v>
      </c>
      <c r="X138" s="88"/>
      <c r="Y138" s="121"/>
      <c r="Z138" s="121"/>
      <c r="AA138" s="121"/>
      <c r="AB138" s="121"/>
      <c r="AC138" s="121"/>
      <c r="AD138" s="121"/>
      <c r="AE138" s="121"/>
      <c r="AF138" s="122"/>
      <c r="AG138" s="122"/>
      <c r="AH138" s="122"/>
      <c r="AI138" s="123"/>
      <c r="AJ138" s="89">
        <f t="shared" ref="AJ138:AJ140" si="227">SUM(X138:AI138)</f>
        <v>0</v>
      </c>
      <c r="AK138" s="90">
        <f t="shared" ref="AK138:AK140" si="228">SUM(X138:AF138)</f>
        <v>0</v>
      </c>
    </row>
    <row r="139" spans="1:38" ht="15.6" hidden="1" thickBot="1">
      <c r="A139" s="91"/>
      <c r="B139" s="100"/>
      <c r="C139" s="92"/>
      <c r="D139" s="93" t="s">
        <v>92</v>
      </c>
      <c r="E139" s="94"/>
      <c r="F139" s="97"/>
      <c r="G139" s="97"/>
      <c r="H139" s="97"/>
      <c r="I139" s="97"/>
      <c r="J139" s="97"/>
      <c r="K139" s="97"/>
      <c r="L139" s="97"/>
      <c r="M139" s="98"/>
      <c r="N139" s="98"/>
      <c r="O139" s="98"/>
      <c r="P139" s="99"/>
      <c r="Q139" s="95">
        <f t="shared" si="224"/>
        <v>0</v>
      </c>
      <c r="R139" s="96">
        <f t="shared" si="225"/>
        <v>0</v>
      </c>
      <c r="T139" s="91"/>
      <c r="U139" s="100"/>
      <c r="V139" s="92">
        <f t="shared" si="226"/>
        <v>0</v>
      </c>
      <c r="W139" s="93" t="s">
        <v>92</v>
      </c>
      <c r="X139" s="94"/>
      <c r="Y139" s="97"/>
      <c r="Z139" s="97"/>
      <c r="AA139" s="97"/>
      <c r="AB139" s="97"/>
      <c r="AC139" s="97"/>
      <c r="AD139" s="97"/>
      <c r="AE139" s="97"/>
      <c r="AF139" s="98"/>
      <c r="AG139" s="98"/>
      <c r="AH139" s="98"/>
      <c r="AI139" s="99"/>
      <c r="AJ139" s="95">
        <f t="shared" si="227"/>
        <v>0</v>
      </c>
      <c r="AK139" s="96">
        <f t="shared" si="228"/>
        <v>0</v>
      </c>
    </row>
    <row r="140" spans="1:38" ht="15.6" hidden="1" thickBot="1">
      <c r="A140" s="91"/>
      <c r="B140" s="100"/>
      <c r="C140" s="92"/>
      <c r="D140" s="101">
        <v>2020</v>
      </c>
      <c r="E140" s="102"/>
      <c r="F140" s="124"/>
      <c r="G140" s="124"/>
      <c r="H140" s="124"/>
      <c r="I140" s="124"/>
      <c r="J140" s="124"/>
      <c r="K140" s="124"/>
      <c r="L140" s="124"/>
      <c r="M140" s="125"/>
      <c r="N140" s="125"/>
      <c r="O140" s="125"/>
      <c r="P140" s="126"/>
      <c r="Q140" s="103">
        <f t="shared" si="224"/>
        <v>0</v>
      </c>
      <c r="R140" s="104">
        <f t="shared" si="225"/>
        <v>0</v>
      </c>
      <c r="S140" s="105"/>
      <c r="T140" s="91"/>
      <c r="U140" s="100"/>
      <c r="V140" s="92"/>
      <c r="W140" s="101">
        <v>2020</v>
      </c>
      <c r="X140" s="102"/>
      <c r="Y140" s="124"/>
      <c r="Z140" s="124"/>
      <c r="AA140" s="124"/>
      <c r="AB140" s="124"/>
      <c r="AC140" s="124"/>
      <c r="AD140" s="124"/>
      <c r="AE140" s="124"/>
      <c r="AF140" s="125"/>
      <c r="AG140" s="125"/>
      <c r="AH140" s="125"/>
      <c r="AI140" s="126"/>
      <c r="AJ140" s="103">
        <f t="shared" si="227"/>
        <v>0</v>
      </c>
      <c r="AK140" s="104">
        <f t="shared" si="228"/>
        <v>0</v>
      </c>
      <c r="AL140" s="105"/>
    </row>
    <row r="141" spans="1:38" ht="15.6" hidden="1" thickBot="1">
      <c r="A141" s="91"/>
      <c r="B141" s="100"/>
      <c r="C141" s="92"/>
      <c r="D141" s="101" t="s">
        <v>102</v>
      </c>
      <c r="E141" s="106" t="e">
        <f t="shared" ref="E141:R141" si="229">E140/E139</f>
        <v>#DIV/0!</v>
      </c>
      <c r="F141" s="106" t="e">
        <f t="shared" si="229"/>
        <v>#DIV/0!</v>
      </c>
      <c r="G141" s="106" t="e">
        <f t="shared" si="229"/>
        <v>#DIV/0!</v>
      </c>
      <c r="H141" s="106" t="e">
        <f t="shared" si="229"/>
        <v>#DIV/0!</v>
      </c>
      <c r="I141" s="106" t="e">
        <f t="shared" si="229"/>
        <v>#DIV/0!</v>
      </c>
      <c r="J141" s="106" t="e">
        <f t="shared" si="229"/>
        <v>#DIV/0!</v>
      </c>
      <c r="K141" s="106" t="e">
        <f t="shared" si="229"/>
        <v>#DIV/0!</v>
      </c>
      <c r="L141" s="106" t="e">
        <f t="shared" si="229"/>
        <v>#DIV/0!</v>
      </c>
      <c r="M141" s="107" t="e">
        <f t="shared" si="229"/>
        <v>#DIV/0!</v>
      </c>
      <c r="N141" s="107" t="e">
        <f t="shared" si="229"/>
        <v>#DIV/0!</v>
      </c>
      <c r="O141" s="107" t="e">
        <f t="shared" si="229"/>
        <v>#DIV/0!</v>
      </c>
      <c r="P141" s="108" t="e">
        <f t="shared" si="229"/>
        <v>#DIV/0!</v>
      </c>
      <c r="Q141" s="109" t="e">
        <f t="shared" si="229"/>
        <v>#DIV/0!</v>
      </c>
      <c r="R141" s="110" t="e">
        <f t="shared" si="229"/>
        <v>#DIV/0!</v>
      </c>
      <c r="S141" s="105"/>
      <c r="T141" s="91"/>
      <c r="U141" s="100"/>
      <c r="V141" s="92"/>
      <c r="W141" s="101" t="s">
        <v>102</v>
      </c>
      <c r="X141" s="106" t="e">
        <f t="shared" ref="X141:AK141" si="230">X140/X139</f>
        <v>#DIV/0!</v>
      </c>
      <c r="Y141" s="106" t="e">
        <f t="shared" si="230"/>
        <v>#DIV/0!</v>
      </c>
      <c r="Z141" s="106" t="e">
        <f t="shared" si="230"/>
        <v>#DIV/0!</v>
      </c>
      <c r="AA141" s="106" t="e">
        <f t="shared" si="230"/>
        <v>#DIV/0!</v>
      </c>
      <c r="AB141" s="106" t="e">
        <f t="shared" si="230"/>
        <v>#DIV/0!</v>
      </c>
      <c r="AC141" s="106" t="e">
        <f t="shared" si="230"/>
        <v>#DIV/0!</v>
      </c>
      <c r="AD141" s="106" t="e">
        <f t="shared" si="230"/>
        <v>#DIV/0!</v>
      </c>
      <c r="AE141" s="106" t="e">
        <f t="shared" si="230"/>
        <v>#DIV/0!</v>
      </c>
      <c r="AF141" s="107" t="e">
        <f t="shared" si="230"/>
        <v>#DIV/0!</v>
      </c>
      <c r="AG141" s="107" t="e">
        <f t="shared" si="230"/>
        <v>#DIV/0!</v>
      </c>
      <c r="AH141" s="107" t="e">
        <f t="shared" si="230"/>
        <v>#DIV/0!</v>
      </c>
      <c r="AI141" s="108" t="e">
        <f t="shared" si="230"/>
        <v>#DIV/0!</v>
      </c>
      <c r="AJ141" s="109" t="e">
        <f t="shared" si="230"/>
        <v>#DIV/0!</v>
      </c>
      <c r="AK141" s="110" t="e">
        <f t="shared" si="230"/>
        <v>#DIV/0!</v>
      </c>
      <c r="AL141" s="105"/>
    </row>
    <row r="142" spans="1:38" ht="15.6" hidden="1" thickBot="1">
      <c r="A142" s="91"/>
      <c r="B142" s="100"/>
      <c r="C142" s="111"/>
      <c r="D142" s="112" t="s">
        <v>103</v>
      </c>
      <c r="E142" s="113" t="e">
        <f t="shared" ref="E142:R142" si="231">E140/E138</f>
        <v>#DIV/0!</v>
      </c>
      <c r="F142" s="113" t="e">
        <f t="shared" si="231"/>
        <v>#DIV/0!</v>
      </c>
      <c r="G142" s="113" t="e">
        <f t="shared" si="231"/>
        <v>#DIV/0!</v>
      </c>
      <c r="H142" s="113" t="e">
        <f t="shared" si="231"/>
        <v>#DIV/0!</v>
      </c>
      <c r="I142" s="113" t="e">
        <f t="shared" si="231"/>
        <v>#DIV/0!</v>
      </c>
      <c r="J142" s="113" t="e">
        <f t="shared" si="231"/>
        <v>#DIV/0!</v>
      </c>
      <c r="K142" s="113" t="e">
        <f t="shared" si="231"/>
        <v>#DIV/0!</v>
      </c>
      <c r="L142" s="113" t="e">
        <f t="shared" si="231"/>
        <v>#DIV/0!</v>
      </c>
      <c r="M142" s="113" t="e">
        <f t="shared" si="231"/>
        <v>#DIV/0!</v>
      </c>
      <c r="N142" s="113" t="e">
        <f t="shared" si="231"/>
        <v>#DIV/0!</v>
      </c>
      <c r="O142" s="113" t="e">
        <f t="shared" si="231"/>
        <v>#DIV/0!</v>
      </c>
      <c r="P142" s="114" t="e">
        <f t="shared" si="231"/>
        <v>#DIV/0!</v>
      </c>
      <c r="Q142" s="115" t="e">
        <f t="shared" si="231"/>
        <v>#DIV/0!</v>
      </c>
      <c r="R142" s="116" t="e">
        <f t="shared" si="231"/>
        <v>#DIV/0!</v>
      </c>
      <c r="T142" s="91"/>
      <c r="U142" s="100"/>
      <c r="V142" s="111"/>
      <c r="W142" s="112" t="s">
        <v>103</v>
      </c>
      <c r="X142" s="113" t="e">
        <f t="shared" ref="X142:AK142" si="232">X140/X138</f>
        <v>#DIV/0!</v>
      </c>
      <c r="Y142" s="113" t="e">
        <f t="shared" si="232"/>
        <v>#DIV/0!</v>
      </c>
      <c r="Z142" s="113" t="e">
        <f t="shared" si="232"/>
        <v>#DIV/0!</v>
      </c>
      <c r="AA142" s="113" t="e">
        <f t="shared" si="232"/>
        <v>#DIV/0!</v>
      </c>
      <c r="AB142" s="113" t="e">
        <f t="shared" si="232"/>
        <v>#DIV/0!</v>
      </c>
      <c r="AC142" s="113" t="e">
        <f t="shared" si="232"/>
        <v>#DIV/0!</v>
      </c>
      <c r="AD142" s="113" t="e">
        <f t="shared" si="232"/>
        <v>#DIV/0!</v>
      </c>
      <c r="AE142" s="113" t="e">
        <f t="shared" si="232"/>
        <v>#DIV/0!</v>
      </c>
      <c r="AF142" s="113" t="e">
        <f t="shared" si="232"/>
        <v>#DIV/0!</v>
      </c>
      <c r="AG142" s="113" t="e">
        <f t="shared" si="232"/>
        <v>#DIV/0!</v>
      </c>
      <c r="AH142" s="113" t="e">
        <f t="shared" si="232"/>
        <v>#DIV/0!</v>
      </c>
      <c r="AI142" s="114" t="e">
        <f t="shared" si="232"/>
        <v>#DIV/0!</v>
      </c>
      <c r="AJ142" s="115" t="e">
        <f t="shared" si="232"/>
        <v>#DIV/0!</v>
      </c>
      <c r="AK142" s="116" t="e">
        <f t="shared" si="232"/>
        <v>#DIV/0!</v>
      </c>
    </row>
    <row r="143" spans="1:38" ht="15.6" hidden="1" thickBot="1">
      <c r="A143" s="91"/>
      <c r="B143" s="100"/>
      <c r="C143" s="86" t="s">
        <v>116</v>
      </c>
      <c r="D143" s="87">
        <v>2019</v>
      </c>
      <c r="E143" s="88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3"/>
      <c r="Q143" s="89">
        <f t="shared" ref="Q143:Q145" si="233">SUM(E143:P143)</f>
        <v>0</v>
      </c>
      <c r="R143" s="90">
        <f t="shared" ref="R143" si="234">SUM(E143:M143)</f>
        <v>0</v>
      </c>
      <c r="T143" s="91"/>
      <c r="U143" s="100"/>
      <c r="V143" s="86" t="str">
        <f t="shared" ref="V143:V144" si="235">C143</f>
        <v>その他</v>
      </c>
      <c r="W143" s="87">
        <v>2019</v>
      </c>
      <c r="X143" s="88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3"/>
      <c r="AJ143" s="89">
        <f t="shared" ref="AJ143:AJ145" si="236">SUM(X143:AI143)</f>
        <v>0</v>
      </c>
      <c r="AK143" s="90">
        <f t="shared" ref="AK143:AK145" si="237">SUM(X143:AF143)</f>
        <v>0</v>
      </c>
    </row>
    <row r="144" spans="1:38" ht="15.6" hidden="1" thickBot="1">
      <c r="A144" s="91"/>
      <c r="B144" s="100"/>
      <c r="C144" s="92" t="s">
        <v>129</v>
      </c>
      <c r="D144" s="93" t="s">
        <v>92</v>
      </c>
      <c r="E144" s="94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9"/>
      <c r="Q144" s="95">
        <f t="shared" si="233"/>
        <v>0</v>
      </c>
      <c r="R144" s="96">
        <f t="shared" si="225"/>
        <v>0</v>
      </c>
      <c r="T144" s="91"/>
      <c r="U144" s="100"/>
      <c r="V144" s="92" t="str">
        <f t="shared" si="235"/>
        <v>Others</v>
      </c>
      <c r="W144" s="93" t="s">
        <v>92</v>
      </c>
      <c r="X144" s="94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9"/>
      <c r="AJ144" s="95">
        <f t="shared" si="236"/>
        <v>0</v>
      </c>
      <c r="AK144" s="96">
        <f t="shared" si="237"/>
        <v>0</v>
      </c>
    </row>
    <row r="145" spans="1:38" ht="15.6" hidden="1" thickBot="1">
      <c r="A145" s="91"/>
      <c r="B145" s="100"/>
      <c r="C145" s="92"/>
      <c r="D145" s="101">
        <v>2020</v>
      </c>
      <c r="E145" s="102"/>
      <c r="F145" s="124"/>
      <c r="G145" s="124"/>
      <c r="H145" s="124"/>
      <c r="I145" s="124"/>
      <c r="J145" s="124"/>
      <c r="K145" s="124"/>
      <c r="L145" s="124"/>
      <c r="M145" s="125"/>
      <c r="N145" s="125"/>
      <c r="O145" s="125"/>
      <c r="P145" s="126"/>
      <c r="Q145" s="103">
        <f t="shared" si="233"/>
        <v>0</v>
      </c>
      <c r="R145" s="104">
        <f t="shared" si="225"/>
        <v>0</v>
      </c>
      <c r="S145" s="105"/>
      <c r="T145" s="91"/>
      <c r="U145" s="100"/>
      <c r="V145" s="92"/>
      <c r="W145" s="101">
        <v>2020</v>
      </c>
      <c r="X145" s="102"/>
      <c r="Y145" s="124"/>
      <c r="Z145" s="124"/>
      <c r="AA145" s="124"/>
      <c r="AB145" s="124"/>
      <c r="AC145" s="124"/>
      <c r="AD145" s="124"/>
      <c r="AE145" s="124"/>
      <c r="AF145" s="125"/>
      <c r="AG145" s="125"/>
      <c r="AH145" s="125"/>
      <c r="AI145" s="126"/>
      <c r="AJ145" s="103">
        <f t="shared" si="236"/>
        <v>0</v>
      </c>
      <c r="AK145" s="104">
        <f t="shared" si="237"/>
        <v>0</v>
      </c>
      <c r="AL145" s="105"/>
    </row>
    <row r="146" spans="1:38" ht="15.6" hidden="1" thickBot="1">
      <c r="A146" s="91"/>
      <c r="B146" s="100"/>
      <c r="C146" s="92"/>
      <c r="D146" s="101" t="s">
        <v>102</v>
      </c>
      <c r="E146" s="106" t="e">
        <f t="shared" ref="E146:R146" si="238">E145/E144</f>
        <v>#DIV/0!</v>
      </c>
      <c r="F146" s="106" t="e">
        <f t="shared" si="238"/>
        <v>#DIV/0!</v>
      </c>
      <c r="G146" s="106" t="e">
        <f t="shared" si="238"/>
        <v>#DIV/0!</v>
      </c>
      <c r="H146" s="106" t="e">
        <f t="shared" si="238"/>
        <v>#DIV/0!</v>
      </c>
      <c r="I146" s="106" t="e">
        <f t="shared" si="238"/>
        <v>#DIV/0!</v>
      </c>
      <c r="J146" s="106" t="e">
        <f t="shared" si="238"/>
        <v>#DIV/0!</v>
      </c>
      <c r="K146" s="106" t="e">
        <f t="shared" si="238"/>
        <v>#DIV/0!</v>
      </c>
      <c r="L146" s="106" t="e">
        <f t="shared" si="238"/>
        <v>#DIV/0!</v>
      </c>
      <c r="M146" s="107" t="e">
        <f t="shared" si="238"/>
        <v>#DIV/0!</v>
      </c>
      <c r="N146" s="107" t="e">
        <f t="shared" si="238"/>
        <v>#DIV/0!</v>
      </c>
      <c r="O146" s="107" t="e">
        <f t="shared" si="238"/>
        <v>#DIV/0!</v>
      </c>
      <c r="P146" s="108" t="e">
        <f t="shared" si="238"/>
        <v>#DIV/0!</v>
      </c>
      <c r="Q146" s="109" t="e">
        <f t="shared" si="238"/>
        <v>#DIV/0!</v>
      </c>
      <c r="R146" s="110" t="e">
        <f t="shared" si="238"/>
        <v>#DIV/0!</v>
      </c>
      <c r="S146" s="105"/>
      <c r="T146" s="91"/>
      <c r="U146" s="100"/>
      <c r="V146" s="92"/>
      <c r="W146" s="101" t="s">
        <v>102</v>
      </c>
      <c r="X146" s="106" t="e">
        <f t="shared" ref="X146:AK146" si="239">X145/X144</f>
        <v>#DIV/0!</v>
      </c>
      <c r="Y146" s="106" t="e">
        <f t="shared" si="239"/>
        <v>#DIV/0!</v>
      </c>
      <c r="Z146" s="106" t="e">
        <f t="shared" si="239"/>
        <v>#DIV/0!</v>
      </c>
      <c r="AA146" s="106" t="e">
        <f t="shared" si="239"/>
        <v>#DIV/0!</v>
      </c>
      <c r="AB146" s="106" t="e">
        <f t="shared" si="239"/>
        <v>#DIV/0!</v>
      </c>
      <c r="AC146" s="106" t="e">
        <f t="shared" si="239"/>
        <v>#DIV/0!</v>
      </c>
      <c r="AD146" s="106" t="e">
        <f t="shared" si="239"/>
        <v>#DIV/0!</v>
      </c>
      <c r="AE146" s="106" t="e">
        <f t="shared" si="239"/>
        <v>#DIV/0!</v>
      </c>
      <c r="AF146" s="107" t="e">
        <f t="shared" si="239"/>
        <v>#DIV/0!</v>
      </c>
      <c r="AG146" s="107" t="e">
        <f t="shared" si="239"/>
        <v>#DIV/0!</v>
      </c>
      <c r="AH146" s="107" t="e">
        <f t="shared" si="239"/>
        <v>#DIV/0!</v>
      </c>
      <c r="AI146" s="108" t="e">
        <f t="shared" si="239"/>
        <v>#DIV/0!</v>
      </c>
      <c r="AJ146" s="109" t="e">
        <f t="shared" si="239"/>
        <v>#DIV/0!</v>
      </c>
      <c r="AK146" s="110" t="e">
        <f t="shared" si="239"/>
        <v>#DIV/0!</v>
      </c>
      <c r="AL146" s="105"/>
    </row>
    <row r="147" spans="1:38" ht="15.6" hidden="1" thickBot="1">
      <c r="A147" s="91"/>
      <c r="B147" s="100"/>
      <c r="C147" s="111"/>
      <c r="D147" s="112" t="s">
        <v>103</v>
      </c>
      <c r="E147" s="113" t="e">
        <f t="shared" ref="E147:R147" si="240">E145/E143</f>
        <v>#DIV/0!</v>
      </c>
      <c r="F147" s="113" t="e">
        <f t="shared" si="240"/>
        <v>#DIV/0!</v>
      </c>
      <c r="G147" s="113" t="e">
        <f t="shared" si="240"/>
        <v>#DIV/0!</v>
      </c>
      <c r="H147" s="113" t="e">
        <f t="shared" si="240"/>
        <v>#DIV/0!</v>
      </c>
      <c r="I147" s="113" t="e">
        <f t="shared" si="240"/>
        <v>#DIV/0!</v>
      </c>
      <c r="J147" s="113" t="e">
        <f t="shared" si="240"/>
        <v>#DIV/0!</v>
      </c>
      <c r="K147" s="113" t="e">
        <f t="shared" si="240"/>
        <v>#DIV/0!</v>
      </c>
      <c r="L147" s="113" t="e">
        <f t="shared" si="240"/>
        <v>#DIV/0!</v>
      </c>
      <c r="M147" s="113" t="e">
        <f t="shared" si="240"/>
        <v>#DIV/0!</v>
      </c>
      <c r="N147" s="113" t="e">
        <f t="shared" si="240"/>
        <v>#DIV/0!</v>
      </c>
      <c r="O147" s="113" t="e">
        <f t="shared" si="240"/>
        <v>#DIV/0!</v>
      </c>
      <c r="P147" s="114" t="e">
        <f t="shared" si="240"/>
        <v>#DIV/0!</v>
      </c>
      <c r="Q147" s="115" t="e">
        <f t="shared" si="240"/>
        <v>#DIV/0!</v>
      </c>
      <c r="R147" s="116" t="e">
        <f t="shared" si="240"/>
        <v>#DIV/0!</v>
      </c>
      <c r="T147" s="91"/>
      <c r="U147" s="100"/>
      <c r="V147" s="111"/>
      <c r="W147" s="112" t="s">
        <v>103</v>
      </c>
      <c r="X147" s="113" t="e">
        <f t="shared" ref="X147:AK147" si="241">X145/X143</f>
        <v>#DIV/0!</v>
      </c>
      <c r="Y147" s="113" t="e">
        <f t="shared" si="241"/>
        <v>#DIV/0!</v>
      </c>
      <c r="Z147" s="113" t="e">
        <f t="shared" si="241"/>
        <v>#DIV/0!</v>
      </c>
      <c r="AA147" s="113" t="e">
        <f t="shared" si="241"/>
        <v>#DIV/0!</v>
      </c>
      <c r="AB147" s="113" t="e">
        <f t="shared" si="241"/>
        <v>#DIV/0!</v>
      </c>
      <c r="AC147" s="113" t="e">
        <f t="shared" si="241"/>
        <v>#DIV/0!</v>
      </c>
      <c r="AD147" s="113" t="e">
        <f t="shared" si="241"/>
        <v>#DIV/0!</v>
      </c>
      <c r="AE147" s="113" t="e">
        <f t="shared" si="241"/>
        <v>#DIV/0!</v>
      </c>
      <c r="AF147" s="113" t="e">
        <f t="shared" si="241"/>
        <v>#DIV/0!</v>
      </c>
      <c r="AG147" s="113" t="e">
        <f t="shared" si="241"/>
        <v>#DIV/0!</v>
      </c>
      <c r="AH147" s="113" t="e">
        <f t="shared" si="241"/>
        <v>#DIV/0!</v>
      </c>
      <c r="AI147" s="114" t="e">
        <f t="shared" si="241"/>
        <v>#DIV/0!</v>
      </c>
      <c r="AJ147" s="115" t="e">
        <f t="shared" si="241"/>
        <v>#DIV/0!</v>
      </c>
      <c r="AK147" s="116" t="e">
        <f t="shared" si="241"/>
        <v>#DIV/0!</v>
      </c>
    </row>
    <row r="148" spans="1:38" ht="15" hidden="1" customHeight="1">
      <c r="A148" s="91"/>
      <c r="B148" s="303" t="s">
        <v>130</v>
      </c>
      <c r="C148" s="304"/>
      <c r="D148" s="127">
        <v>2019</v>
      </c>
      <c r="E148" s="128">
        <f>SUM(E143,E138,E133,E128,E123,E118,E113,E108,E103,E98,E93,E88,E83,E78)</f>
        <v>0</v>
      </c>
      <c r="F148" s="129">
        <f t="shared" ref="F148:P148" si="242">SUM(F143,F138,F133,F128,F123,F118,F113,F108,F103,F98,F93,F88,F83,F78)</f>
        <v>0</v>
      </c>
      <c r="G148" s="129">
        <f t="shared" si="242"/>
        <v>0</v>
      </c>
      <c r="H148" s="129">
        <f t="shared" si="242"/>
        <v>0</v>
      </c>
      <c r="I148" s="129">
        <f t="shared" si="242"/>
        <v>0</v>
      </c>
      <c r="J148" s="129">
        <f t="shared" si="242"/>
        <v>0</v>
      </c>
      <c r="K148" s="129">
        <f t="shared" si="242"/>
        <v>0</v>
      </c>
      <c r="L148" s="129">
        <f t="shared" si="242"/>
        <v>0</v>
      </c>
      <c r="M148" s="129">
        <f t="shared" si="242"/>
        <v>0</v>
      </c>
      <c r="N148" s="129">
        <f t="shared" si="242"/>
        <v>0</v>
      </c>
      <c r="O148" s="129">
        <f t="shared" si="242"/>
        <v>0</v>
      </c>
      <c r="P148" s="130">
        <f t="shared" si="242"/>
        <v>0</v>
      </c>
      <c r="Q148" s="131">
        <f>SUM(E148:P148)</f>
        <v>0</v>
      </c>
      <c r="R148" s="90">
        <f t="shared" ref="R148" si="243">SUM(E148:M148)</f>
        <v>0</v>
      </c>
      <c r="T148" s="91"/>
      <c r="U148" s="309" t="s">
        <v>130</v>
      </c>
      <c r="V148" s="310"/>
      <c r="W148" s="132">
        <v>2019</v>
      </c>
      <c r="X148" s="133">
        <f>SUM(X143,X138,X133,X128,X123,X118,X113,X108,X103,X98,X93,X88,X83,X78)</f>
        <v>0</v>
      </c>
      <c r="Y148" s="134">
        <f t="shared" ref="Y148:AI148" si="244">SUM(Y143,Y138,Y133,Y128,Y123,Y118,Y113,Y108,Y103,Y98,Y93,Y88,Y83,Y78)</f>
        <v>0</v>
      </c>
      <c r="Z148" s="134">
        <f t="shared" si="244"/>
        <v>0</v>
      </c>
      <c r="AA148" s="134">
        <f t="shared" si="244"/>
        <v>0</v>
      </c>
      <c r="AB148" s="134">
        <f t="shared" si="244"/>
        <v>0</v>
      </c>
      <c r="AC148" s="134">
        <f t="shared" si="244"/>
        <v>0</v>
      </c>
      <c r="AD148" s="134">
        <f t="shared" si="244"/>
        <v>0</v>
      </c>
      <c r="AE148" s="134">
        <f t="shared" si="244"/>
        <v>0</v>
      </c>
      <c r="AF148" s="134">
        <f t="shared" si="244"/>
        <v>0</v>
      </c>
      <c r="AG148" s="134">
        <f t="shared" si="244"/>
        <v>0</v>
      </c>
      <c r="AH148" s="134">
        <f t="shared" si="244"/>
        <v>0</v>
      </c>
      <c r="AI148" s="135">
        <f t="shared" si="244"/>
        <v>0</v>
      </c>
      <c r="AJ148" s="136">
        <f>SUM(X148:AI148)</f>
        <v>0</v>
      </c>
      <c r="AK148" s="90">
        <f t="shared" ref="AK148:AK150" si="245">SUM(X148:AF148)</f>
        <v>0</v>
      </c>
    </row>
    <row r="149" spans="1:38" ht="15" hidden="1" customHeight="1">
      <c r="A149" s="91"/>
      <c r="B149" s="305"/>
      <c r="C149" s="306"/>
      <c r="D149" s="137" t="s">
        <v>92</v>
      </c>
      <c r="E149" s="138">
        <f t="shared" ref="E149:P150" si="246">SUM(E144,E139,E134,E129,E124,E119,E114,E109,E104,E99,E94,E89,E84,E79)</f>
        <v>0</v>
      </c>
      <c r="F149" s="138">
        <f t="shared" si="246"/>
        <v>0</v>
      </c>
      <c r="G149" s="138">
        <f t="shared" si="246"/>
        <v>0</v>
      </c>
      <c r="H149" s="138">
        <f t="shared" si="246"/>
        <v>0</v>
      </c>
      <c r="I149" s="138">
        <f t="shared" si="246"/>
        <v>0</v>
      </c>
      <c r="J149" s="138">
        <f t="shared" si="246"/>
        <v>0</v>
      </c>
      <c r="K149" s="138">
        <f t="shared" si="246"/>
        <v>0</v>
      </c>
      <c r="L149" s="138">
        <f t="shared" si="246"/>
        <v>0</v>
      </c>
      <c r="M149" s="138">
        <f t="shared" si="246"/>
        <v>0</v>
      </c>
      <c r="N149" s="138">
        <f t="shared" si="246"/>
        <v>0</v>
      </c>
      <c r="O149" s="138">
        <f t="shared" si="246"/>
        <v>0</v>
      </c>
      <c r="P149" s="138">
        <f t="shared" si="246"/>
        <v>0</v>
      </c>
      <c r="Q149" s="139">
        <f t="shared" ref="Q149:Q150" si="247">SUM(E149:P149)</f>
        <v>0</v>
      </c>
      <c r="R149" s="96">
        <f t="shared" si="225"/>
        <v>0</v>
      </c>
      <c r="T149" s="91"/>
      <c r="U149" s="311"/>
      <c r="V149" s="312"/>
      <c r="W149" s="140" t="s">
        <v>92</v>
      </c>
      <c r="X149" s="141">
        <f t="shared" ref="X149:AI150" si="248">SUM(X144,X139,X134,X129,X124,X119,X114,X109,X104,X99,X94,X89,X84,X79)</f>
        <v>0</v>
      </c>
      <c r="Y149" s="141">
        <f t="shared" si="248"/>
        <v>0</v>
      </c>
      <c r="Z149" s="141">
        <f t="shared" si="248"/>
        <v>0</v>
      </c>
      <c r="AA149" s="141">
        <f t="shared" si="248"/>
        <v>0</v>
      </c>
      <c r="AB149" s="141">
        <f t="shared" si="248"/>
        <v>0</v>
      </c>
      <c r="AC149" s="141">
        <f t="shared" si="248"/>
        <v>0</v>
      </c>
      <c r="AD149" s="141">
        <f t="shared" si="248"/>
        <v>0</v>
      </c>
      <c r="AE149" s="141">
        <f t="shared" si="248"/>
        <v>0</v>
      </c>
      <c r="AF149" s="141">
        <f t="shared" si="248"/>
        <v>0</v>
      </c>
      <c r="AG149" s="141">
        <f t="shared" si="248"/>
        <v>0</v>
      </c>
      <c r="AH149" s="141">
        <f t="shared" si="248"/>
        <v>0</v>
      </c>
      <c r="AI149" s="141">
        <f t="shared" si="248"/>
        <v>0</v>
      </c>
      <c r="AJ149" s="142">
        <f t="shared" ref="AJ149:AJ150" si="249">SUM(X149:AI149)</f>
        <v>0</v>
      </c>
      <c r="AK149" s="96">
        <f t="shared" si="245"/>
        <v>0</v>
      </c>
    </row>
    <row r="150" spans="1:38" ht="15" hidden="1" customHeight="1">
      <c r="A150" s="91"/>
      <c r="B150" s="305"/>
      <c r="C150" s="306"/>
      <c r="D150" s="143">
        <v>2020</v>
      </c>
      <c r="E150" s="144">
        <f>SUM(E145,E140,E135,E130,E125,E120,E115,E110,E105,E100,E95,E90,E85,E80)</f>
        <v>0</v>
      </c>
      <c r="F150" s="144">
        <f t="shared" si="246"/>
        <v>0</v>
      </c>
      <c r="G150" s="144">
        <f t="shared" si="246"/>
        <v>0</v>
      </c>
      <c r="H150" s="144">
        <f t="shared" si="246"/>
        <v>0</v>
      </c>
      <c r="I150" s="144">
        <f t="shared" si="246"/>
        <v>0</v>
      </c>
      <c r="J150" s="144">
        <f t="shared" si="246"/>
        <v>0</v>
      </c>
      <c r="K150" s="144">
        <f t="shared" si="246"/>
        <v>0</v>
      </c>
      <c r="L150" s="144">
        <f t="shared" si="246"/>
        <v>0</v>
      </c>
      <c r="M150" s="144">
        <f t="shared" si="246"/>
        <v>0</v>
      </c>
      <c r="N150" s="144">
        <f t="shared" si="246"/>
        <v>0</v>
      </c>
      <c r="O150" s="144">
        <f t="shared" si="246"/>
        <v>0</v>
      </c>
      <c r="P150" s="144">
        <f t="shared" si="246"/>
        <v>0</v>
      </c>
      <c r="Q150" s="145">
        <f t="shared" si="247"/>
        <v>0</v>
      </c>
      <c r="R150" s="104">
        <f t="shared" si="225"/>
        <v>0</v>
      </c>
      <c r="S150" s="105"/>
      <c r="T150" s="91"/>
      <c r="U150" s="311"/>
      <c r="V150" s="312"/>
      <c r="W150" s="146">
        <v>2020</v>
      </c>
      <c r="X150" s="147">
        <f>SUM(X145,X140,X135,X130,X125,X120,X115,X110,X105,X100,X95,X90,X85,X80)</f>
        <v>0</v>
      </c>
      <c r="Y150" s="147">
        <f t="shared" si="248"/>
        <v>0</v>
      </c>
      <c r="Z150" s="147">
        <f t="shared" si="248"/>
        <v>0</v>
      </c>
      <c r="AA150" s="147">
        <f t="shared" si="248"/>
        <v>0</v>
      </c>
      <c r="AB150" s="147">
        <f t="shared" si="248"/>
        <v>0</v>
      </c>
      <c r="AC150" s="147">
        <f t="shared" si="248"/>
        <v>0</v>
      </c>
      <c r="AD150" s="147">
        <f t="shared" si="248"/>
        <v>0</v>
      </c>
      <c r="AE150" s="147">
        <f t="shared" si="248"/>
        <v>0</v>
      </c>
      <c r="AF150" s="147">
        <f t="shared" si="248"/>
        <v>0</v>
      </c>
      <c r="AG150" s="147">
        <f t="shared" si="248"/>
        <v>0</v>
      </c>
      <c r="AH150" s="147">
        <f t="shared" si="248"/>
        <v>0</v>
      </c>
      <c r="AI150" s="147">
        <f t="shared" si="248"/>
        <v>0</v>
      </c>
      <c r="AJ150" s="148">
        <f t="shared" si="249"/>
        <v>0</v>
      </c>
      <c r="AK150" s="104">
        <f t="shared" si="245"/>
        <v>0</v>
      </c>
      <c r="AL150" s="105"/>
    </row>
    <row r="151" spans="1:38" ht="15" hidden="1" customHeight="1">
      <c r="A151" s="91"/>
      <c r="B151" s="305"/>
      <c r="C151" s="306"/>
      <c r="D151" s="143" t="s">
        <v>102</v>
      </c>
      <c r="E151" s="149" t="e">
        <f t="shared" ref="E151:R151" si="250">E150/E149</f>
        <v>#DIV/0!</v>
      </c>
      <c r="F151" s="149" t="e">
        <f t="shared" si="250"/>
        <v>#DIV/0!</v>
      </c>
      <c r="G151" s="149" t="e">
        <f t="shared" si="250"/>
        <v>#DIV/0!</v>
      </c>
      <c r="H151" s="149" t="e">
        <f t="shared" si="250"/>
        <v>#DIV/0!</v>
      </c>
      <c r="I151" s="149" t="e">
        <f t="shared" si="250"/>
        <v>#DIV/0!</v>
      </c>
      <c r="J151" s="149" t="e">
        <f t="shared" si="250"/>
        <v>#DIV/0!</v>
      </c>
      <c r="K151" s="149" t="e">
        <f t="shared" si="250"/>
        <v>#DIV/0!</v>
      </c>
      <c r="L151" s="149" t="e">
        <f t="shared" si="250"/>
        <v>#DIV/0!</v>
      </c>
      <c r="M151" s="149" t="e">
        <f t="shared" si="250"/>
        <v>#DIV/0!</v>
      </c>
      <c r="N151" s="149" t="e">
        <f t="shared" si="250"/>
        <v>#DIV/0!</v>
      </c>
      <c r="O151" s="149" t="e">
        <f t="shared" si="250"/>
        <v>#DIV/0!</v>
      </c>
      <c r="P151" s="150" t="e">
        <f t="shared" si="250"/>
        <v>#DIV/0!</v>
      </c>
      <c r="Q151" s="151" t="e">
        <f t="shared" si="250"/>
        <v>#DIV/0!</v>
      </c>
      <c r="R151" s="110" t="e">
        <f t="shared" si="250"/>
        <v>#DIV/0!</v>
      </c>
      <c r="S151" s="105"/>
      <c r="T151" s="91"/>
      <c r="U151" s="311"/>
      <c r="V151" s="312"/>
      <c r="W151" s="146" t="s">
        <v>102</v>
      </c>
      <c r="X151" s="152" t="e">
        <f t="shared" ref="X151:AK151" si="251">X150/X149</f>
        <v>#DIV/0!</v>
      </c>
      <c r="Y151" s="152" t="e">
        <f t="shared" si="251"/>
        <v>#DIV/0!</v>
      </c>
      <c r="Z151" s="152" t="e">
        <f t="shared" si="251"/>
        <v>#DIV/0!</v>
      </c>
      <c r="AA151" s="152" t="e">
        <f t="shared" si="251"/>
        <v>#DIV/0!</v>
      </c>
      <c r="AB151" s="152" t="e">
        <f t="shared" si="251"/>
        <v>#DIV/0!</v>
      </c>
      <c r="AC151" s="152" t="e">
        <f t="shared" si="251"/>
        <v>#DIV/0!</v>
      </c>
      <c r="AD151" s="152" t="e">
        <f t="shared" si="251"/>
        <v>#DIV/0!</v>
      </c>
      <c r="AE151" s="152" t="e">
        <f t="shared" si="251"/>
        <v>#DIV/0!</v>
      </c>
      <c r="AF151" s="152" t="e">
        <f t="shared" si="251"/>
        <v>#DIV/0!</v>
      </c>
      <c r="AG151" s="152" t="e">
        <f t="shared" si="251"/>
        <v>#DIV/0!</v>
      </c>
      <c r="AH151" s="152" t="e">
        <f t="shared" si="251"/>
        <v>#DIV/0!</v>
      </c>
      <c r="AI151" s="153" t="e">
        <f t="shared" si="251"/>
        <v>#DIV/0!</v>
      </c>
      <c r="AJ151" s="154" t="e">
        <f t="shared" si="251"/>
        <v>#DIV/0!</v>
      </c>
      <c r="AK151" s="110" t="e">
        <f t="shared" si="251"/>
        <v>#DIV/0!</v>
      </c>
      <c r="AL151" s="105"/>
    </row>
    <row r="152" spans="1:38" ht="15" hidden="1" customHeight="1">
      <c r="A152" s="155"/>
      <c r="B152" s="307"/>
      <c r="C152" s="308"/>
      <c r="D152" s="156" t="s">
        <v>103</v>
      </c>
      <c r="E152" s="165" t="e">
        <f t="shared" ref="E152:R152" si="252">E150/E148</f>
        <v>#DIV/0!</v>
      </c>
      <c r="F152" s="165" t="e">
        <f t="shared" si="252"/>
        <v>#DIV/0!</v>
      </c>
      <c r="G152" s="165" t="e">
        <f t="shared" si="252"/>
        <v>#DIV/0!</v>
      </c>
      <c r="H152" s="165" t="e">
        <f t="shared" si="252"/>
        <v>#DIV/0!</v>
      </c>
      <c r="I152" s="165" t="e">
        <f t="shared" si="252"/>
        <v>#DIV/0!</v>
      </c>
      <c r="J152" s="165" t="e">
        <f t="shared" si="252"/>
        <v>#DIV/0!</v>
      </c>
      <c r="K152" s="165" t="e">
        <f t="shared" si="252"/>
        <v>#DIV/0!</v>
      </c>
      <c r="L152" s="165" t="e">
        <f t="shared" si="252"/>
        <v>#DIV/0!</v>
      </c>
      <c r="M152" s="165" t="e">
        <f t="shared" si="252"/>
        <v>#DIV/0!</v>
      </c>
      <c r="N152" s="165" t="e">
        <f t="shared" si="252"/>
        <v>#DIV/0!</v>
      </c>
      <c r="O152" s="165" t="e">
        <f t="shared" si="252"/>
        <v>#DIV/0!</v>
      </c>
      <c r="P152" s="166" t="e">
        <f t="shared" si="252"/>
        <v>#DIV/0!</v>
      </c>
      <c r="Q152" s="167" t="e">
        <f t="shared" si="252"/>
        <v>#DIV/0!</v>
      </c>
      <c r="R152" s="168" t="e">
        <f t="shared" si="252"/>
        <v>#DIV/0!</v>
      </c>
      <c r="T152" s="155"/>
      <c r="U152" s="313"/>
      <c r="V152" s="314"/>
      <c r="W152" s="160" t="s">
        <v>103</v>
      </c>
      <c r="X152" s="169" t="e">
        <f t="shared" ref="X152:AK152" si="253">X150/X148</f>
        <v>#DIV/0!</v>
      </c>
      <c r="Y152" s="169" t="e">
        <f t="shared" si="253"/>
        <v>#DIV/0!</v>
      </c>
      <c r="Z152" s="169" t="e">
        <f t="shared" si="253"/>
        <v>#DIV/0!</v>
      </c>
      <c r="AA152" s="169" t="e">
        <f t="shared" si="253"/>
        <v>#DIV/0!</v>
      </c>
      <c r="AB152" s="169" t="e">
        <f t="shared" si="253"/>
        <v>#DIV/0!</v>
      </c>
      <c r="AC152" s="169" t="e">
        <f t="shared" si="253"/>
        <v>#DIV/0!</v>
      </c>
      <c r="AD152" s="169" t="e">
        <f t="shared" si="253"/>
        <v>#DIV/0!</v>
      </c>
      <c r="AE152" s="169" t="e">
        <f t="shared" si="253"/>
        <v>#DIV/0!</v>
      </c>
      <c r="AF152" s="169" t="e">
        <f t="shared" si="253"/>
        <v>#DIV/0!</v>
      </c>
      <c r="AG152" s="169" t="e">
        <f t="shared" si="253"/>
        <v>#DIV/0!</v>
      </c>
      <c r="AH152" s="169" t="e">
        <f t="shared" si="253"/>
        <v>#DIV/0!</v>
      </c>
      <c r="AI152" s="170" t="e">
        <f t="shared" si="253"/>
        <v>#DIV/0!</v>
      </c>
      <c r="AJ152" s="171" t="e">
        <f t="shared" si="253"/>
        <v>#DIV/0!</v>
      </c>
      <c r="AK152" s="168" t="e">
        <f t="shared" si="253"/>
        <v>#DIV/0!</v>
      </c>
    </row>
    <row r="153" spans="1:38" ht="15.6" hidden="1" thickBot="1">
      <c r="A153" s="84" t="s">
        <v>120</v>
      </c>
      <c r="B153" s="85" t="s">
        <v>131</v>
      </c>
      <c r="C153" s="86" t="s">
        <v>132</v>
      </c>
      <c r="D153" s="87">
        <v>2019</v>
      </c>
      <c r="E153" s="88"/>
      <c r="F153" s="121"/>
      <c r="G153" s="121"/>
      <c r="H153" s="121"/>
      <c r="I153" s="121"/>
      <c r="J153" s="121"/>
      <c r="K153" s="121"/>
      <c r="L153" s="121"/>
      <c r="M153" s="122"/>
      <c r="N153" s="122"/>
      <c r="O153" s="122"/>
      <c r="P153" s="123"/>
      <c r="Q153" s="89">
        <f>SUM(E153:P153)</f>
        <v>0</v>
      </c>
      <c r="R153" s="90">
        <f t="shared" ref="R153" si="254">SUM(E153:M153)</f>
        <v>0</v>
      </c>
      <c r="T153" s="84" t="s">
        <v>120</v>
      </c>
      <c r="U153" s="85" t="s">
        <v>131</v>
      </c>
      <c r="V153" s="86" t="str">
        <f>C153</f>
        <v>アマゾンジャパン(株)経理部仕入請求</v>
      </c>
      <c r="W153" s="87">
        <v>2019</v>
      </c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9">
        <f>SUM(X153:AI153)</f>
        <v>0</v>
      </c>
      <c r="AK153" s="90">
        <f t="shared" ref="AK153:AK155" si="255">SUM(X153:AF153)</f>
        <v>0</v>
      </c>
    </row>
    <row r="154" spans="1:38" ht="15.6" hidden="1" thickBot="1">
      <c r="A154" s="91"/>
      <c r="B154" s="85" t="s">
        <v>133</v>
      </c>
      <c r="C154" s="92" t="s">
        <v>134</v>
      </c>
      <c r="D154" s="93" t="s">
        <v>92</v>
      </c>
      <c r="E154" s="94"/>
      <c r="F154" s="97"/>
      <c r="G154" s="97"/>
      <c r="H154" s="97"/>
      <c r="I154" s="97"/>
      <c r="J154" s="97"/>
      <c r="K154" s="97"/>
      <c r="L154" s="97"/>
      <c r="M154" s="98"/>
      <c r="N154" s="98"/>
      <c r="O154" s="98"/>
      <c r="P154" s="99"/>
      <c r="Q154" s="95">
        <f>SUM(E154:P154)</f>
        <v>0</v>
      </c>
      <c r="R154" s="96">
        <f t="shared" si="225"/>
        <v>0</v>
      </c>
      <c r="T154" s="91"/>
      <c r="U154" s="85" t="s">
        <v>133</v>
      </c>
      <c r="V154" s="92" t="str">
        <f>C154</f>
        <v>AMAZON</v>
      </c>
      <c r="W154" s="93" t="s">
        <v>92</v>
      </c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  <c r="AI154" s="94"/>
      <c r="AJ154" s="95">
        <f>SUM(X154:AI154)</f>
        <v>0</v>
      </c>
      <c r="AK154" s="96">
        <f t="shared" si="255"/>
        <v>0</v>
      </c>
    </row>
    <row r="155" spans="1:38" ht="15.6" hidden="1" thickBot="1">
      <c r="A155" s="91"/>
      <c r="B155" s="100"/>
      <c r="C155" s="92"/>
      <c r="D155" s="101">
        <v>2020</v>
      </c>
      <c r="E155" s="102"/>
      <c r="F155" s="124"/>
      <c r="G155" s="124"/>
      <c r="H155" s="124"/>
      <c r="I155" s="124"/>
      <c r="J155" s="124"/>
      <c r="K155" s="124"/>
      <c r="L155" s="124"/>
      <c r="M155" s="125"/>
      <c r="N155" s="125"/>
      <c r="O155" s="125"/>
      <c r="P155" s="126"/>
      <c r="Q155" s="103">
        <f>SUM(E155:P155)</f>
        <v>0</v>
      </c>
      <c r="R155" s="104">
        <f t="shared" si="225"/>
        <v>0</v>
      </c>
      <c r="S155" s="105"/>
      <c r="T155" s="91"/>
      <c r="U155" s="100"/>
      <c r="V155" s="92"/>
      <c r="W155" s="101">
        <v>2020</v>
      </c>
      <c r="X155" s="102"/>
      <c r="Y155" s="124"/>
      <c r="Z155" s="124"/>
      <c r="AA155" s="124"/>
      <c r="AB155" s="124"/>
      <c r="AC155" s="124"/>
      <c r="AD155" s="124"/>
      <c r="AE155" s="124"/>
      <c r="AF155" s="125"/>
      <c r="AG155" s="125"/>
      <c r="AH155" s="125"/>
      <c r="AI155" s="126"/>
      <c r="AJ155" s="103">
        <f>SUM(X155:AI155)</f>
        <v>0</v>
      </c>
      <c r="AK155" s="104">
        <f t="shared" si="255"/>
        <v>0</v>
      </c>
      <c r="AL155" s="105"/>
    </row>
    <row r="156" spans="1:38" ht="15.6" hidden="1" thickBot="1">
      <c r="A156" s="91"/>
      <c r="B156" s="164"/>
      <c r="C156" s="92"/>
      <c r="D156" s="101" t="s">
        <v>102</v>
      </c>
      <c r="E156" s="106" t="e">
        <f>E155/E154</f>
        <v>#DIV/0!</v>
      </c>
      <c r="F156" s="106" t="e">
        <f t="shared" ref="F156:R156" si="256">F155/F154</f>
        <v>#DIV/0!</v>
      </c>
      <c r="G156" s="106" t="e">
        <f t="shared" si="256"/>
        <v>#DIV/0!</v>
      </c>
      <c r="H156" s="106" t="e">
        <f t="shared" si="256"/>
        <v>#DIV/0!</v>
      </c>
      <c r="I156" s="106" t="e">
        <f t="shared" si="256"/>
        <v>#DIV/0!</v>
      </c>
      <c r="J156" s="106" t="e">
        <f t="shared" si="256"/>
        <v>#DIV/0!</v>
      </c>
      <c r="K156" s="106" t="e">
        <f t="shared" si="256"/>
        <v>#DIV/0!</v>
      </c>
      <c r="L156" s="106" t="e">
        <f t="shared" si="256"/>
        <v>#DIV/0!</v>
      </c>
      <c r="M156" s="107" t="e">
        <f t="shared" si="256"/>
        <v>#DIV/0!</v>
      </c>
      <c r="N156" s="107" t="e">
        <f t="shared" si="256"/>
        <v>#DIV/0!</v>
      </c>
      <c r="O156" s="107" t="e">
        <f t="shared" si="256"/>
        <v>#DIV/0!</v>
      </c>
      <c r="P156" s="108" t="e">
        <f t="shared" si="256"/>
        <v>#DIV/0!</v>
      </c>
      <c r="Q156" s="109" t="e">
        <f t="shared" si="256"/>
        <v>#DIV/0!</v>
      </c>
      <c r="R156" s="110" t="e">
        <f t="shared" si="256"/>
        <v>#DIV/0!</v>
      </c>
      <c r="S156" s="105"/>
      <c r="T156" s="91"/>
      <c r="U156" s="164"/>
      <c r="V156" s="92"/>
      <c r="W156" s="101" t="s">
        <v>102</v>
      </c>
      <c r="X156" s="106" t="e">
        <f>X155/X154</f>
        <v>#DIV/0!</v>
      </c>
      <c r="Y156" s="106" t="e">
        <f t="shared" ref="Y156:AK156" si="257">Y155/Y154</f>
        <v>#DIV/0!</v>
      </c>
      <c r="Z156" s="106" t="e">
        <f t="shared" si="257"/>
        <v>#DIV/0!</v>
      </c>
      <c r="AA156" s="106" t="e">
        <f t="shared" si="257"/>
        <v>#DIV/0!</v>
      </c>
      <c r="AB156" s="106" t="e">
        <f t="shared" si="257"/>
        <v>#DIV/0!</v>
      </c>
      <c r="AC156" s="106" t="e">
        <f t="shared" si="257"/>
        <v>#DIV/0!</v>
      </c>
      <c r="AD156" s="106" t="e">
        <f t="shared" si="257"/>
        <v>#DIV/0!</v>
      </c>
      <c r="AE156" s="106" t="e">
        <f t="shared" si="257"/>
        <v>#DIV/0!</v>
      </c>
      <c r="AF156" s="107" t="e">
        <f t="shared" si="257"/>
        <v>#DIV/0!</v>
      </c>
      <c r="AG156" s="107" t="e">
        <f t="shared" si="257"/>
        <v>#DIV/0!</v>
      </c>
      <c r="AH156" s="107" t="e">
        <f t="shared" si="257"/>
        <v>#DIV/0!</v>
      </c>
      <c r="AI156" s="108" t="e">
        <f t="shared" si="257"/>
        <v>#DIV/0!</v>
      </c>
      <c r="AJ156" s="109" t="e">
        <f t="shared" si="257"/>
        <v>#DIV/0!</v>
      </c>
      <c r="AK156" s="110" t="e">
        <f t="shared" si="257"/>
        <v>#DIV/0!</v>
      </c>
      <c r="AL156" s="105"/>
    </row>
    <row r="157" spans="1:38" ht="15.6" hidden="1" thickBot="1">
      <c r="A157" s="91"/>
      <c r="B157" s="164"/>
      <c r="C157" s="111"/>
      <c r="D157" s="112" t="s">
        <v>103</v>
      </c>
      <c r="E157" s="113" t="e">
        <f>E155/E153</f>
        <v>#DIV/0!</v>
      </c>
      <c r="F157" s="113" t="e">
        <f t="shared" ref="F157:R157" si="258">F155/F153</f>
        <v>#DIV/0!</v>
      </c>
      <c r="G157" s="113" t="e">
        <f t="shared" si="258"/>
        <v>#DIV/0!</v>
      </c>
      <c r="H157" s="113" t="e">
        <f t="shared" si="258"/>
        <v>#DIV/0!</v>
      </c>
      <c r="I157" s="113" t="e">
        <f t="shared" si="258"/>
        <v>#DIV/0!</v>
      </c>
      <c r="J157" s="113" t="e">
        <f t="shared" si="258"/>
        <v>#DIV/0!</v>
      </c>
      <c r="K157" s="113" t="e">
        <f t="shared" si="258"/>
        <v>#DIV/0!</v>
      </c>
      <c r="L157" s="113" t="e">
        <f t="shared" si="258"/>
        <v>#DIV/0!</v>
      </c>
      <c r="M157" s="113" t="e">
        <f t="shared" si="258"/>
        <v>#DIV/0!</v>
      </c>
      <c r="N157" s="113" t="e">
        <f t="shared" si="258"/>
        <v>#DIV/0!</v>
      </c>
      <c r="O157" s="113" t="e">
        <f t="shared" si="258"/>
        <v>#DIV/0!</v>
      </c>
      <c r="P157" s="114" t="e">
        <f t="shared" si="258"/>
        <v>#DIV/0!</v>
      </c>
      <c r="Q157" s="115" t="e">
        <f t="shared" si="258"/>
        <v>#DIV/0!</v>
      </c>
      <c r="R157" s="116" t="e">
        <f t="shared" si="258"/>
        <v>#DIV/0!</v>
      </c>
      <c r="T157" s="91"/>
      <c r="U157" s="164"/>
      <c r="V157" s="111"/>
      <c r="W157" s="112" t="s">
        <v>103</v>
      </c>
      <c r="X157" s="113" t="e">
        <f>X155/X153</f>
        <v>#DIV/0!</v>
      </c>
      <c r="Y157" s="113" t="e">
        <f t="shared" ref="Y157:AK157" si="259">Y155/Y153</f>
        <v>#DIV/0!</v>
      </c>
      <c r="Z157" s="113" t="e">
        <f t="shared" si="259"/>
        <v>#DIV/0!</v>
      </c>
      <c r="AA157" s="113" t="e">
        <f t="shared" si="259"/>
        <v>#DIV/0!</v>
      </c>
      <c r="AB157" s="113" t="e">
        <f t="shared" si="259"/>
        <v>#DIV/0!</v>
      </c>
      <c r="AC157" s="113" t="e">
        <f t="shared" si="259"/>
        <v>#DIV/0!</v>
      </c>
      <c r="AD157" s="113" t="e">
        <f t="shared" si="259"/>
        <v>#DIV/0!</v>
      </c>
      <c r="AE157" s="113" t="e">
        <f t="shared" si="259"/>
        <v>#DIV/0!</v>
      </c>
      <c r="AF157" s="113" t="e">
        <f t="shared" si="259"/>
        <v>#DIV/0!</v>
      </c>
      <c r="AG157" s="113" t="e">
        <f t="shared" si="259"/>
        <v>#DIV/0!</v>
      </c>
      <c r="AH157" s="113" t="e">
        <f t="shared" si="259"/>
        <v>#DIV/0!</v>
      </c>
      <c r="AI157" s="114" t="e">
        <f t="shared" si="259"/>
        <v>#DIV/0!</v>
      </c>
      <c r="AJ157" s="115" t="e">
        <f t="shared" si="259"/>
        <v>#DIV/0!</v>
      </c>
      <c r="AK157" s="116" t="e">
        <f t="shared" si="259"/>
        <v>#DIV/0!</v>
      </c>
    </row>
    <row r="158" spans="1:38" ht="15.6" hidden="1" thickBot="1">
      <c r="A158" s="91"/>
      <c r="B158" s="164"/>
      <c r="C158" s="86" t="s">
        <v>135</v>
      </c>
      <c r="D158" s="87">
        <v>2019</v>
      </c>
      <c r="E158" s="88"/>
      <c r="F158" s="121"/>
      <c r="G158" s="121"/>
      <c r="H158" s="121"/>
      <c r="I158" s="121"/>
      <c r="J158" s="121"/>
      <c r="K158" s="121"/>
      <c r="L158" s="121"/>
      <c r="M158" s="122"/>
      <c r="N158" s="122"/>
      <c r="O158" s="122"/>
      <c r="P158" s="123"/>
      <c r="Q158" s="89">
        <f t="shared" ref="Q158:Q160" si="260">SUM(E158:P158)</f>
        <v>0</v>
      </c>
      <c r="R158" s="90">
        <f t="shared" ref="R158" si="261">SUM(E158:M158)</f>
        <v>0</v>
      </c>
      <c r="T158" s="91"/>
      <c r="U158" s="164"/>
      <c r="V158" s="86" t="str">
        <f t="shared" ref="V158:V159" si="262">C158</f>
        <v>楽天株式会社</v>
      </c>
      <c r="W158" s="87">
        <v>2019</v>
      </c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9">
        <f t="shared" ref="AJ158:AJ160" si="263">SUM(X158:AI158)</f>
        <v>0</v>
      </c>
      <c r="AK158" s="90">
        <f t="shared" ref="AK158:AK160" si="264">SUM(X158:AF158)</f>
        <v>0</v>
      </c>
    </row>
    <row r="159" spans="1:38" ht="15.6" hidden="1" thickBot="1">
      <c r="A159" s="91"/>
      <c r="B159" s="164"/>
      <c r="C159" s="92" t="s">
        <v>136</v>
      </c>
      <c r="D159" s="93" t="s">
        <v>92</v>
      </c>
      <c r="E159" s="94"/>
      <c r="F159" s="97"/>
      <c r="G159" s="97"/>
      <c r="H159" s="97"/>
      <c r="I159" s="97"/>
      <c r="J159" s="97"/>
      <c r="K159" s="97"/>
      <c r="L159" s="97"/>
      <c r="M159" s="98"/>
      <c r="N159" s="98"/>
      <c r="O159" s="98"/>
      <c r="P159" s="99"/>
      <c r="Q159" s="95">
        <f t="shared" si="260"/>
        <v>0</v>
      </c>
      <c r="R159" s="96">
        <f t="shared" si="225"/>
        <v>0</v>
      </c>
      <c r="T159" s="91"/>
      <c r="U159" s="164"/>
      <c r="V159" s="92" t="str">
        <f t="shared" si="262"/>
        <v>Rakuten</v>
      </c>
      <c r="W159" s="93" t="s">
        <v>92</v>
      </c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  <c r="AI159" s="94"/>
      <c r="AJ159" s="95">
        <f t="shared" si="263"/>
        <v>0</v>
      </c>
      <c r="AK159" s="96">
        <f t="shared" si="264"/>
        <v>0</v>
      </c>
    </row>
    <row r="160" spans="1:38" ht="15.6" hidden="1" thickBot="1">
      <c r="A160" s="91"/>
      <c r="B160" s="100"/>
      <c r="C160" s="92"/>
      <c r="D160" s="101">
        <v>2020</v>
      </c>
      <c r="E160" s="102"/>
      <c r="F160" s="124"/>
      <c r="G160" s="124"/>
      <c r="H160" s="124"/>
      <c r="I160" s="124"/>
      <c r="J160" s="124"/>
      <c r="K160" s="124"/>
      <c r="L160" s="124"/>
      <c r="M160" s="125"/>
      <c r="N160" s="125"/>
      <c r="O160" s="125"/>
      <c r="P160" s="126"/>
      <c r="Q160" s="103">
        <f t="shared" si="260"/>
        <v>0</v>
      </c>
      <c r="R160" s="104">
        <f t="shared" si="225"/>
        <v>0</v>
      </c>
      <c r="S160" s="105"/>
      <c r="T160" s="91"/>
      <c r="U160" s="100"/>
      <c r="V160" s="92"/>
      <c r="W160" s="101">
        <v>2020</v>
      </c>
      <c r="X160" s="102"/>
      <c r="Y160" s="124"/>
      <c r="Z160" s="124"/>
      <c r="AA160" s="124"/>
      <c r="AB160" s="124"/>
      <c r="AC160" s="124"/>
      <c r="AD160" s="124"/>
      <c r="AE160" s="124"/>
      <c r="AF160" s="125"/>
      <c r="AG160" s="125"/>
      <c r="AH160" s="125"/>
      <c r="AI160" s="126"/>
      <c r="AJ160" s="103">
        <f t="shared" si="263"/>
        <v>0</v>
      </c>
      <c r="AK160" s="104">
        <f t="shared" si="264"/>
        <v>0</v>
      </c>
      <c r="AL160" s="105"/>
    </row>
    <row r="161" spans="1:38" ht="15.6" hidden="1" thickBot="1">
      <c r="A161" s="91"/>
      <c r="B161" s="100"/>
      <c r="C161" s="92"/>
      <c r="D161" s="101" t="s">
        <v>102</v>
      </c>
      <c r="E161" s="106" t="e">
        <f t="shared" ref="E161:R161" si="265">E160/E159</f>
        <v>#DIV/0!</v>
      </c>
      <c r="F161" s="106" t="e">
        <f t="shared" si="265"/>
        <v>#DIV/0!</v>
      </c>
      <c r="G161" s="106" t="e">
        <f t="shared" si="265"/>
        <v>#DIV/0!</v>
      </c>
      <c r="H161" s="106" t="e">
        <f t="shared" si="265"/>
        <v>#DIV/0!</v>
      </c>
      <c r="I161" s="106" t="e">
        <f t="shared" si="265"/>
        <v>#DIV/0!</v>
      </c>
      <c r="J161" s="106" t="e">
        <f t="shared" si="265"/>
        <v>#DIV/0!</v>
      </c>
      <c r="K161" s="106" t="e">
        <f t="shared" si="265"/>
        <v>#DIV/0!</v>
      </c>
      <c r="L161" s="106" t="e">
        <f t="shared" si="265"/>
        <v>#DIV/0!</v>
      </c>
      <c r="M161" s="107" t="e">
        <f t="shared" si="265"/>
        <v>#DIV/0!</v>
      </c>
      <c r="N161" s="107" t="e">
        <f t="shared" si="265"/>
        <v>#DIV/0!</v>
      </c>
      <c r="O161" s="107" t="e">
        <f t="shared" si="265"/>
        <v>#DIV/0!</v>
      </c>
      <c r="P161" s="108" t="e">
        <f t="shared" si="265"/>
        <v>#DIV/0!</v>
      </c>
      <c r="Q161" s="109" t="e">
        <f t="shared" si="265"/>
        <v>#DIV/0!</v>
      </c>
      <c r="R161" s="110" t="e">
        <f t="shared" si="265"/>
        <v>#DIV/0!</v>
      </c>
      <c r="S161" s="105"/>
      <c r="T161" s="91"/>
      <c r="U161" s="100"/>
      <c r="V161" s="92"/>
      <c r="W161" s="101" t="s">
        <v>102</v>
      </c>
      <c r="X161" s="106" t="e">
        <f t="shared" ref="X161:AK161" si="266">X160/X159</f>
        <v>#DIV/0!</v>
      </c>
      <c r="Y161" s="106" t="e">
        <f t="shared" si="266"/>
        <v>#DIV/0!</v>
      </c>
      <c r="Z161" s="106" t="e">
        <f t="shared" si="266"/>
        <v>#DIV/0!</v>
      </c>
      <c r="AA161" s="106" t="e">
        <f t="shared" si="266"/>
        <v>#DIV/0!</v>
      </c>
      <c r="AB161" s="106" t="e">
        <f t="shared" si="266"/>
        <v>#DIV/0!</v>
      </c>
      <c r="AC161" s="106" t="e">
        <f t="shared" si="266"/>
        <v>#DIV/0!</v>
      </c>
      <c r="AD161" s="106" t="e">
        <f t="shared" si="266"/>
        <v>#DIV/0!</v>
      </c>
      <c r="AE161" s="106" t="e">
        <f t="shared" si="266"/>
        <v>#DIV/0!</v>
      </c>
      <c r="AF161" s="107" t="e">
        <f t="shared" si="266"/>
        <v>#DIV/0!</v>
      </c>
      <c r="AG161" s="107" t="e">
        <f t="shared" si="266"/>
        <v>#DIV/0!</v>
      </c>
      <c r="AH161" s="107" t="e">
        <f t="shared" si="266"/>
        <v>#DIV/0!</v>
      </c>
      <c r="AI161" s="108" t="e">
        <f t="shared" si="266"/>
        <v>#DIV/0!</v>
      </c>
      <c r="AJ161" s="109" t="e">
        <f t="shared" si="266"/>
        <v>#DIV/0!</v>
      </c>
      <c r="AK161" s="110" t="e">
        <f t="shared" si="266"/>
        <v>#DIV/0!</v>
      </c>
      <c r="AL161" s="105"/>
    </row>
    <row r="162" spans="1:38" ht="15.6" hidden="1" thickBot="1">
      <c r="A162" s="91"/>
      <c r="B162" s="100"/>
      <c r="C162" s="111"/>
      <c r="D162" s="112" t="s">
        <v>103</v>
      </c>
      <c r="E162" s="113" t="e">
        <f t="shared" ref="E162:R162" si="267">E160/E158</f>
        <v>#DIV/0!</v>
      </c>
      <c r="F162" s="113" t="e">
        <f t="shared" si="267"/>
        <v>#DIV/0!</v>
      </c>
      <c r="G162" s="113" t="e">
        <f t="shared" si="267"/>
        <v>#DIV/0!</v>
      </c>
      <c r="H162" s="113" t="e">
        <f t="shared" si="267"/>
        <v>#DIV/0!</v>
      </c>
      <c r="I162" s="113" t="e">
        <f t="shared" si="267"/>
        <v>#DIV/0!</v>
      </c>
      <c r="J162" s="113" t="e">
        <f t="shared" si="267"/>
        <v>#DIV/0!</v>
      </c>
      <c r="K162" s="113" t="e">
        <f t="shared" si="267"/>
        <v>#DIV/0!</v>
      </c>
      <c r="L162" s="113" t="e">
        <f t="shared" si="267"/>
        <v>#DIV/0!</v>
      </c>
      <c r="M162" s="113" t="e">
        <f t="shared" si="267"/>
        <v>#DIV/0!</v>
      </c>
      <c r="N162" s="113" t="e">
        <f t="shared" si="267"/>
        <v>#DIV/0!</v>
      </c>
      <c r="O162" s="113" t="e">
        <f t="shared" si="267"/>
        <v>#DIV/0!</v>
      </c>
      <c r="P162" s="114" t="e">
        <f t="shared" si="267"/>
        <v>#DIV/0!</v>
      </c>
      <c r="Q162" s="115" t="e">
        <f t="shared" si="267"/>
        <v>#DIV/0!</v>
      </c>
      <c r="R162" s="116" t="e">
        <f t="shared" si="267"/>
        <v>#DIV/0!</v>
      </c>
      <c r="T162" s="91"/>
      <c r="U162" s="100"/>
      <c r="V162" s="111"/>
      <c r="W162" s="112" t="s">
        <v>103</v>
      </c>
      <c r="X162" s="113" t="e">
        <f t="shared" ref="X162:AK162" si="268">X160/X158</f>
        <v>#DIV/0!</v>
      </c>
      <c r="Y162" s="113" t="e">
        <f t="shared" si="268"/>
        <v>#DIV/0!</v>
      </c>
      <c r="Z162" s="113" t="e">
        <f t="shared" si="268"/>
        <v>#DIV/0!</v>
      </c>
      <c r="AA162" s="113" t="e">
        <f t="shared" si="268"/>
        <v>#DIV/0!</v>
      </c>
      <c r="AB162" s="113" t="e">
        <f t="shared" si="268"/>
        <v>#DIV/0!</v>
      </c>
      <c r="AC162" s="113" t="e">
        <f t="shared" si="268"/>
        <v>#DIV/0!</v>
      </c>
      <c r="AD162" s="113" t="e">
        <f t="shared" si="268"/>
        <v>#DIV/0!</v>
      </c>
      <c r="AE162" s="113" t="e">
        <f t="shared" si="268"/>
        <v>#DIV/0!</v>
      </c>
      <c r="AF162" s="113" t="e">
        <f t="shared" si="268"/>
        <v>#DIV/0!</v>
      </c>
      <c r="AG162" s="113" t="e">
        <f t="shared" si="268"/>
        <v>#DIV/0!</v>
      </c>
      <c r="AH162" s="113" t="e">
        <f t="shared" si="268"/>
        <v>#DIV/0!</v>
      </c>
      <c r="AI162" s="114" t="e">
        <f t="shared" si="268"/>
        <v>#DIV/0!</v>
      </c>
      <c r="AJ162" s="115" t="e">
        <f t="shared" si="268"/>
        <v>#DIV/0!</v>
      </c>
      <c r="AK162" s="116" t="e">
        <f t="shared" si="268"/>
        <v>#DIV/0!</v>
      </c>
    </row>
    <row r="163" spans="1:38" ht="15.6" hidden="1" thickBot="1">
      <c r="A163" s="91"/>
      <c r="B163" s="100"/>
      <c r="C163" s="86" t="s">
        <v>137</v>
      </c>
      <c r="D163" s="87">
        <v>2019</v>
      </c>
      <c r="E163" s="88"/>
      <c r="F163" s="121"/>
      <c r="G163" s="121"/>
      <c r="H163" s="121"/>
      <c r="I163" s="121"/>
      <c r="J163" s="121"/>
      <c r="K163" s="121"/>
      <c r="L163" s="121"/>
      <c r="M163" s="122"/>
      <c r="N163" s="122"/>
      <c r="O163" s="122"/>
      <c r="P163" s="123"/>
      <c r="Q163" s="89">
        <f t="shared" ref="Q163:Q165" si="269">SUM(E163:P163)</f>
        <v>0</v>
      </c>
      <c r="R163" s="90">
        <f t="shared" ref="R163" si="270">SUM(E163:M163)</f>
        <v>0</v>
      </c>
      <c r="T163" s="91"/>
      <c r="U163" s="100"/>
      <c r="V163" s="86" t="str">
        <f t="shared" ref="V163:V164" si="271">C163</f>
        <v>(株)ヨドバシカメラ</v>
      </c>
      <c r="W163" s="87">
        <v>2019</v>
      </c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9">
        <f t="shared" ref="AJ163:AJ165" si="272">SUM(X163:AI163)</f>
        <v>0</v>
      </c>
      <c r="AK163" s="90">
        <f t="shared" ref="AK163:AK165" si="273">SUM(X163:AF163)</f>
        <v>0</v>
      </c>
    </row>
    <row r="164" spans="1:38" ht="15.6" hidden="1" thickBot="1">
      <c r="A164" s="91"/>
      <c r="B164" s="100"/>
      <c r="C164" s="92" t="s">
        <v>138</v>
      </c>
      <c r="D164" s="93" t="s">
        <v>92</v>
      </c>
      <c r="E164" s="94"/>
      <c r="F164" s="97"/>
      <c r="G164" s="97"/>
      <c r="H164" s="97"/>
      <c r="I164" s="97"/>
      <c r="J164" s="97"/>
      <c r="K164" s="97"/>
      <c r="L164" s="97"/>
      <c r="M164" s="98"/>
      <c r="N164" s="98"/>
      <c r="O164" s="98"/>
      <c r="P164" s="99"/>
      <c r="Q164" s="95">
        <f t="shared" si="269"/>
        <v>0</v>
      </c>
      <c r="R164" s="96">
        <f t="shared" si="225"/>
        <v>0</v>
      </c>
      <c r="T164" s="91"/>
      <c r="U164" s="100"/>
      <c r="V164" s="92" t="str">
        <f t="shared" si="271"/>
        <v>YODOBASHICAMERA</v>
      </c>
      <c r="W164" s="93" t="s">
        <v>92</v>
      </c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  <c r="AI164" s="94"/>
      <c r="AJ164" s="95">
        <f t="shared" si="272"/>
        <v>0</v>
      </c>
      <c r="AK164" s="96">
        <f t="shared" si="273"/>
        <v>0</v>
      </c>
    </row>
    <row r="165" spans="1:38" ht="15.6" hidden="1" thickBot="1">
      <c r="A165" s="91"/>
      <c r="B165" s="100"/>
      <c r="C165" s="92"/>
      <c r="D165" s="101">
        <v>2020</v>
      </c>
      <c r="E165" s="102"/>
      <c r="F165" s="124"/>
      <c r="G165" s="124"/>
      <c r="H165" s="124"/>
      <c r="I165" s="124"/>
      <c r="J165" s="124"/>
      <c r="K165" s="124"/>
      <c r="L165" s="124"/>
      <c r="M165" s="125"/>
      <c r="N165" s="125"/>
      <c r="O165" s="125"/>
      <c r="P165" s="126"/>
      <c r="Q165" s="103">
        <f t="shared" si="269"/>
        <v>0</v>
      </c>
      <c r="R165" s="104">
        <f t="shared" si="225"/>
        <v>0</v>
      </c>
      <c r="S165" s="105"/>
      <c r="T165" s="91"/>
      <c r="U165" s="100"/>
      <c r="V165" s="92"/>
      <c r="W165" s="101">
        <v>2020</v>
      </c>
      <c r="X165" s="102"/>
      <c r="Y165" s="124"/>
      <c r="Z165" s="124"/>
      <c r="AA165" s="124"/>
      <c r="AB165" s="124"/>
      <c r="AC165" s="124"/>
      <c r="AD165" s="124"/>
      <c r="AE165" s="124"/>
      <c r="AF165" s="125"/>
      <c r="AG165" s="125"/>
      <c r="AH165" s="125"/>
      <c r="AI165" s="126"/>
      <c r="AJ165" s="103">
        <f t="shared" si="272"/>
        <v>0</v>
      </c>
      <c r="AK165" s="104">
        <f t="shared" si="273"/>
        <v>0</v>
      </c>
      <c r="AL165" s="105"/>
    </row>
    <row r="166" spans="1:38" ht="15.6" hidden="1" thickBot="1">
      <c r="A166" s="91"/>
      <c r="B166" s="100"/>
      <c r="C166" s="92"/>
      <c r="D166" s="101" t="s">
        <v>102</v>
      </c>
      <c r="E166" s="106" t="e">
        <f t="shared" ref="E166:R166" si="274">E165/E164</f>
        <v>#DIV/0!</v>
      </c>
      <c r="F166" s="106" t="e">
        <f t="shared" si="274"/>
        <v>#DIV/0!</v>
      </c>
      <c r="G166" s="106" t="e">
        <f t="shared" si="274"/>
        <v>#DIV/0!</v>
      </c>
      <c r="H166" s="106" t="e">
        <f t="shared" si="274"/>
        <v>#DIV/0!</v>
      </c>
      <c r="I166" s="106" t="e">
        <f t="shared" si="274"/>
        <v>#DIV/0!</v>
      </c>
      <c r="J166" s="106" t="e">
        <f t="shared" si="274"/>
        <v>#DIV/0!</v>
      </c>
      <c r="K166" s="106" t="e">
        <f t="shared" si="274"/>
        <v>#DIV/0!</v>
      </c>
      <c r="L166" s="106" t="e">
        <f t="shared" si="274"/>
        <v>#DIV/0!</v>
      </c>
      <c r="M166" s="107" t="e">
        <f t="shared" si="274"/>
        <v>#DIV/0!</v>
      </c>
      <c r="N166" s="107" t="e">
        <f t="shared" si="274"/>
        <v>#DIV/0!</v>
      </c>
      <c r="O166" s="107" t="e">
        <f t="shared" si="274"/>
        <v>#DIV/0!</v>
      </c>
      <c r="P166" s="108" t="e">
        <f t="shared" si="274"/>
        <v>#DIV/0!</v>
      </c>
      <c r="Q166" s="109" t="e">
        <f t="shared" si="274"/>
        <v>#DIV/0!</v>
      </c>
      <c r="R166" s="110" t="e">
        <f t="shared" si="274"/>
        <v>#DIV/0!</v>
      </c>
      <c r="S166" s="105"/>
      <c r="T166" s="91"/>
      <c r="U166" s="100"/>
      <c r="V166" s="92"/>
      <c r="W166" s="101" t="s">
        <v>102</v>
      </c>
      <c r="X166" s="106" t="e">
        <f t="shared" ref="X166:AK166" si="275">X165/X164</f>
        <v>#DIV/0!</v>
      </c>
      <c r="Y166" s="106" t="e">
        <f t="shared" si="275"/>
        <v>#DIV/0!</v>
      </c>
      <c r="Z166" s="106" t="e">
        <f t="shared" si="275"/>
        <v>#DIV/0!</v>
      </c>
      <c r="AA166" s="106" t="e">
        <f t="shared" si="275"/>
        <v>#DIV/0!</v>
      </c>
      <c r="AB166" s="106" t="e">
        <f t="shared" si="275"/>
        <v>#DIV/0!</v>
      </c>
      <c r="AC166" s="106" t="e">
        <f t="shared" si="275"/>
        <v>#DIV/0!</v>
      </c>
      <c r="AD166" s="106" t="e">
        <f t="shared" si="275"/>
        <v>#DIV/0!</v>
      </c>
      <c r="AE166" s="106" t="e">
        <f t="shared" si="275"/>
        <v>#DIV/0!</v>
      </c>
      <c r="AF166" s="107" t="e">
        <f t="shared" si="275"/>
        <v>#DIV/0!</v>
      </c>
      <c r="AG166" s="107" t="e">
        <f t="shared" si="275"/>
        <v>#DIV/0!</v>
      </c>
      <c r="AH166" s="107" t="e">
        <f t="shared" si="275"/>
        <v>#DIV/0!</v>
      </c>
      <c r="AI166" s="108" t="e">
        <f t="shared" si="275"/>
        <v>#DIV/0!</v>
      </c>
      <c r="AJ166" s="109" t="e">
        <f t="shared" si="275"/>
        <v>#DIV/0!</v>
      </c>
      <c r="AK166" s="110" t="e">
        <f t="shared" si="275"/>
        <v>#DIV/0!</v>
      </c>
      <c r="AL166" s="105"/>
    </row>
    <row r="167" spans="1:38" ht="15.6" hidden="1" thickBot="1">
      <c r="A167" s="91"/>
      <c r="B167" s="100"/>
      <c r="C167" s="111"/>
      <c r="D167" s="112" t="s">
        <v>103</v>
      </c>
      <c r="E167" s="113" t="e">
        <f t="shared" ref="E167:R167" si="276">E165/E163</f>
        <v>#DIV/0!</v>
      </c>
      <c r="F167" s="113" t="e">
        <f t="shared" si="276"/>
        <v>#DIV/0!</v>
      </c>
      <c r="G167" s="113" t="e">
        <f t="shared" si="276"/>
        <v>#DIV/0!</v>
      </c>
      <c r="H167" s="113" t="e">
        <f t="shared" si="276"/>
        <v>#DIV/0!</v>
      </c>
      <c r="I167" s="113" t="e">
        <f t="shared" si="276"/>
        <v>#DIV/0!</v>
      </c>
      <c r="J167" s="113" t="e">
        <f t="shared" si="276"/>
        <v>#DIV/0!</v>
      </c>
      <c r="K167" s="113" t="e">
        <f t="shared" si="276"/>
        <v>#DIV/0!</v>
      </c>
      <c r="L167" s="113" t="e">
        <f t="shared" si="276"/>
        <v>#DIV/0!</v>
      </c>
      <c r="M167" s="113" t="e">
        <f t="shared" si="276"/>
        <v>#DIV/0!</v>
      </c>
      <c r="N167" s="113" t="e">
        <f t="shared" si="276"/>
        <v>#DIV/0!</v>
      </c>
      <c r="O167" s="113" t="e">
        <f t="shared" si="276"/>
        <v>#DIV/0!</v>
      </c>
      <c r="P167" s="114" t="e">
        <f t="shared" si="276"/>
        <v>#DIV/0!</v>
      </c>
      <c r="Q167" s="115" t="e">
        <f t="shared" si="276"/>
        <v>#DIV/0!</v>
      </c>
      <c r="R167" s="116" t="e">
        <f t="shared" si="276"/>
        <v>#DIV/0!</v>
      </c>
      <c r="T167" s="91"/>
      <c r="U167" s="100"/>
      <c r="V167" s="111"/>
      <c r="W167" s="112" t="s">
        <v>103</v>
      </c>
      <c r="X167" s="113" t="e">
        <f t="shared" ref="X167:AK167" si="277">X165/X163</f>
        <v>#DIV/0!</v>
      </c>
      <c r="Y167" s="113" t="e">
        <f t="shared" si="277"/>
        <v>#DIV/0!</v>
      </c>
      <c r="Z167" s="113" t="e">
        <f t="shared" si="277"/>
        <v>#DIV/0!</v>
      </c>
      <c r="AA167" s="113" t="e">
        <f t="shared" si="277"/>
        <v>#DIV/0!</v>
      </c>
      <c r="AB167" s="113" t="e">
        <f t="shared" si="277"/>
        <v>#DIV/0!</v>
      </c>
      <c r="AC167" s="113" t="e">
        <f t="shared" si="277"/>
        <v>#DIV/0!</v>
      </c>
      <c r="AD167" s="113" t="e">
        <f t="shared" si="277"/>
        <v>#DIV/0!</v>
      </c>
      <c r="AE167" s="113" t="e">
        <f t="shared" si="277"/>
        <v>#DIV/0!</v>
      </c>
      <c r="AF167" s="113" t="e">
        <f t="shared" si="277"/>
        <v>#DIV/0!</v>
      </c>
      <c r="AG167" s="113" t="e">
        <f t="shared" si="277"/>
        <v>#DIV/0!</v>
      </c>
      <c r="AH167" s="113" t="e">
        <f t="shared" si="277"/>
        <v>#DIV/0!</v>
      </c>
      <c r="AI167" s="114" t="e">
        <f t="shared" si="277"/>
        <v>#DIV/0!</v>
      </c>
      <c r="AJ167" s="115" t="e">
        <f t="shared" si="277"/>
        <v>#DIV/0!</v>
      </c>
      <c r="AK167" s="116" t="e">
        <f t="shared" si="277"/>
        <v>#DIV/0!</v>
      </c>
    </row>
    <row r="168" spans="1:38" ht="15.6" hidden="1" thickBot="1">
      <c r="A168" s="91"/>
      <c r="B168" s="100"/>
      <c r="C168" s="86"/>
      <c r="D168" s="87">
        <v>2019</v>
      </c>
      <c r="E168" s="88"/>
      <c r="F168" s="121"/>
      <c r="G168" s="121"/>
      <c r="H168" s="121"/>
      <c r="I168" s="121"/>
      <c r="J168" s="121"/>
      <c r="K168" s="121"/>
      <c r="L168" s="121"/>
      <c r="M168" s="122"/>
      <c r="N168" s="122"/>
      <c r="O168" s="122"/>
      <c r="P168" s="123"/>
      <c r="Q168" s="89">
        <f t="shared" ref="Q168:Q170" si="278">SUM(E168:P168)</f>
        <v>0</v>
      </c>
      <c r="R168" s="90">
        <f t="shared" ref="R168" si="279">SUM(E168:M168)</f>
        <v>0</v>
      </c>
      <c r="T168" s="91"/>
      <c r="U168" s="100"/>
      <c r="V168" s="86">
        <f t="shared" ref="V168:V169" si="280">C168</f>
        <v>0</v>
      </c>
      <c r="W168" s="87">
        <v>2019</v>
      </c>
      <c r="X168" s="88"/>
      <c r="Y168" s="121"/>
      <c r="Z168" s="121"/>
      <c r="AA168" s="121"/>
      <c r="AB168" s="121"/>
      <c r="AC168" s="121"/>
      <c r="AD168" s="121"/>
      <c r="AE168" s="121"/>
      <c r="AF168" s="122"/>
      <c r="AG168" s="122"/>
      <c r="AH168" s="122"/>
      <c r="AI168" s="123"/>
      <c r="AJ168" s="89">
        <f t="shared" ref="AJ168:AJ170" si="281">SUM(X168:AI168)</f>
        <v>0</v>
      </c>
      <c r="AK168" s="90">
        <f t="shared" ref="AK168:AK170" si="282">SUM(X168:AF168)</f>
        <v>0</v>
      </c>
    </row>
    <row r="169" spans="1:38" ht="15.6" hidden="1" thickBot="1">
      <c r="A169" s="91"/>
      <c r="B169" s="100"/>
      <c r="C169" s="92"/>
      <c r="D169" s="93" t="s">
        <v>92</v>
      </c>
      <c r="E169" s="94"/>
      <c r="F169" s="97"/>
      <c r="G169" s="97"/>
      <c r="H169" s="97"/>
      <c r="I169" s="97"/>
      <c r="J169" s="97"/>
      <c r="K169" s="97"/>
      <c r="L169" s="97"/>
      <c r="M169" s="98"/>
      <c r="N169" s="98"/>
      <c r="O169" s="98"/>
      <c r="P169" s="99"/>
      <c r="Q169" s="95">
        <f t="shared" si="278"/>
        <v>0</v>
      </c>
      <c r="R169" s="96">
        <f t="shared" si="225"/>
        <v>0</v>
      </c>
      <c r="T169" s="91"/>
      <c r="U169" s="100"/>
      <c r="V169" s="92">
        <f t="shared" si="280"/>
        <v>0</v>
      </c>
      <c r="W169" s="93" t="s">
        <v>92</v>
      </c>
      <c r="X169" s="94"/>
      <c r="Y169" s="97"/>
      <c r="Z169" s="97"/>
      <c r="AA169" s="97"/>
      <c r="AB169" s="97"/>
      <c r="AC169" s="97"/>
      <c r="AD169" s="97"/>
      <c r="AE169" s="97"/>
      <c r="AF169" s="98"/>
      <c r="AG169" s="98"/>
      <c r="AH169" s="98"/>
      <c r="AI169" s="99"/>
      <c r="AJ169" s="95">
        <f t="shared" si="281"/>
        <v>0</v>
      </c>
      <c r="AK169" s="96">
        <f t="shared" si="282"/>
        <v>0</v>
      </c>
    </row>
    <row r="170" spans="1:38" ht="15.6" hidden="1" thickBot="1">
      <c r="A170" s="91"/>
      <c r="B170" s="100"/>
      <c r="C170" s="92"/>
      <c r="D170" s="101">
        <v>2020</v>
      </c>
      <c r="E170" s="102"/>
      <c r="F170" s="124"/>
      <c r="G170" s="124"/>
      <c r="H170" s="124"/>
      <c r="I170" s="124"/>
      <c r="J170" s="124"/>
      <c r="K170" s="124"/>
      <c r="L170" s="124"/>
      <c r="M170" s="125"/>
      <c r="N170" s="125"/>
      <c r="O170" s="125"/>
      <c r="P170" s="126"/>
      <c r="Q170" s="103">
        <f t="shared" si="278"/>
        <v>0</v>
      </c>
      <c r="R170" s="104">
        <f t="shared" si="225"/>
        <v>0</v>
      </c>
      <c r="S170" s="105"/>
      <c r="T170" s="91"/>
      <c r="U170" s="100"/>
      <c r="V170" s="92"/>
      <c r="W170" s="101">
        <v>2020</v>
      </c>
      <c r="X170" s="102"/>
      <c r="Y170" s="124"/>
      <c r="Z170" s="124"/>
      <c r="AA170" s="124"/>
      <c r="AB170" s="124"/>
      <c r="AC170" s="124"/>
      <c r="AD170" s="124"/>
      <c r="AE170" s="124"/>
      <c r="AF170" s="125"/>
      <c r="AG170" s="125"/>
      <c r="AH170" s="125"/>
      <c r="AI170" s="126"/>
      <c r="AJ170" s="103">
        <f t="shared" si="281"/>
        <v>0</v>
      </c>
      <c r="AK170" s="104">
        <f t="shared" si="282"/>
        <v>0</v>
      </c>
      <c r="AL170" s="105"/>
    </row>
    <row r="171" spans="1:38" ht="15.6" hidden="1" thickBot="1">
      <c r="A171" s="91"/>
      <c r="B171" s="100"/>
      <c r="C171" s="92"/>
      <c r="D171" s="101" t="s">
        <v>102</v>
      </c>
      <c r="E171" s="106" t="e">
        <f t="shared" ref="E171:R171" si="283">E170/E169</f>
        <v>#DIV/0!</v>
      </c>
      <c r="F171" s="106" t="e">
        <f t="shared" si="283"/>
        <v>#DIV/0!</v>
      </c>
      <c r="G171" s="106" t="e">
        <f t="shared" si="283"/>
        <v>#DIV/0!</v>
      </c>
      <c r="H171" s="106" t="e">
        <f t="shared" si="283"/>
        <v>#DIV/0!</v>
      </c>
      <c r="I171" s="106" t="e">
        <f t="shared" si="283"/>
        <v>#DIV/0!</v>
      </c>
      <c r="J171" s="106" t="e">
        <f t="shared" si="283"/>
        <v>#DIV/0!</v>
      </c>
      <c r="K171" s="106" t="e">
        <f t="shared" si="283"/>
        <v>#DIV/0!</v>
      </c>
      <c r="L171" s="106" t="e">
        <f t="shared" si="283"/>
        <v>#DIV/0!</v>
      </c>
      <c r="M171" s="107" t="e">
        <f t="shared" si="283"/>
        <v>#DIV/0!</v>
      </c>
      <c r="N171" s="107" t="e">
        <f t="shared" si="283"/>
        <v>#DIV/0!</v>
      </c>
      <c r="O171" s="107" t="e">
        <f t="shared" si="283"/>
        <v>#DIV/0!</v>
      </c>
      <c r="P171" s="108" t="e">
        <f t="shared" si="283"/>
        <v>#DIV/0!</v>
      </c>
      <c r="Q171" s="109" t="e">
        <f t="shared" si="283"/>
        <v>#DIV/0!</v>
      </c>
      <c r="R171" s="110" t="e">
        <f t="shared" si="283"/>
        <v>#DIV/0!</v>
      </c>
      <c r="S171" s="105"/>
      <c r="T171" s="91"/>
      <c r="U171" s="100"/>
      <c r="V171" s="92"/>
      <c r="W171" s="101" t="s">
        <v>102</v>
      </c>
      <c r="X171" s="106" t="e">
        <f t="shared" ref="X171:AK171" si="284">X170/X169</f>
        <v>#DIV/0!</v>
      </c>
      <c r="Y171" s="106" t="e">
        <f t="shared" si="284"/>
        <v>#DIV/0!</v>
      </c>
      <c r="Z171" s="106" t="e">
        <f t="shared" si="284"/>
        <v>#DIV/0!</v>
      </c>
      <c r="AA171" s="106" t="e">
        <f t="shared" si="284"/>
        <v>#DIV/0!</v>
      </c>
      <c r="AB171" s="106" t="e">
        <f t="shared" si="284"/>
        <v>#DIV/0!</v>
      </c>
      <c r="AC171" s="106" t="e">
        <f t="shared" si="284"/>
        <v>#DIV/0!</v>
      </c>
      <c r="AD171" s="106" t="e">
        <f t="shared" si="284"/>
        <v>#DIV/0!</v>
      </c>
      <c r="AE171" s="106" t="e">
        <f t="shared" si="284"/>
        <v>#DIV/0!</v>
      </c>
      <c r="AF171" s="107" t="e">
        <f t="shared" si="284"/>
        <v>#DIV/0!</v>
      </c>
      <c r="AG171" s="107" t="e">
        <f t="shared" si="284"/>
        <v>#DIV/0!</v>
      </c>
      <c r="AH171" s="107" t="e">
        <f t="shared" si="284"/>
        <v>#DIV/0!</v>
      </c>
      <c r="AI171" s="108" t="e">
        <f t="shared" si="284"/>
        <v>#DIV/0!</v>
      </c>
      <c r="AJ171" s="109" t="e">
        <f t="shared" si="284"/>
        <v>#DIV/0!</v>
      </c>
      <c r="AK171" s="110" t="e">
        <f t="shared" si="284"/>
        <v>#DIV/0!</v>
      </c>
      <c r="AL171" s="105"/>
    </row>
    <row r="172" spans="1:38" ht="15.6" hidden="1" thickBot="1">
      <c r="A172" s="91"/>
      <c r="B172" s="100"/>
      <c r="C172" s="111"/>
      <c r="D172" s="112" t="s">
        <v>103</v>
      </c>
      <c r="E172" s="113" t="e">
        <f t="shared" ref="E172:R172" si="285">E170/E168</f>
        <v>#DIV/0!</v>
      </c>
      <c r="F172" s="113" t="e">
        <f t="shared" si="285"/>
        <v>#DIV/0!</v>
      </c>
      <c r="G172" s="113" t="e">
        <f t="shared" si="285"/>
        <v>#DIV/0!</v>
      </c>
      <c r="H172" s="113" t="e">
        <f t="shared" si="285"/>
        <v>#DIV/0!</v>
      </c>
      <c r="I172" s="113" t="e">
        <f t="shared" si="285"/>
        <v>#DIV/0!</v>
      </c>
      <c r="J172" s="113" t="e">
        <f t="shared" si="285"/>
        <v>#DIV/0!</v>
      </c>
      <c r="K172" s="113" t="e">
        <f t="shared" si="285"/>
        <v>#DIV/0!</v>
      </c>
      <c r="L172" s="113" t="e">
        <f t="shared" si="285"/>
        <v>#DIV/0!</v>
      </c>
      <c r="M172" s="113" t="e">
        <f t="shared" si="285"/>
        <v>#DIV/0!</v>
      </c>
      <c r="N172" s="113" t="e">
        <f t="shared" si="285"/>
        <v>#DIV/0!</v>
      </c>
      <c r="O172" s="113" t="e">
        <f t="shared" si="285"/>
        <v>#DIV/0!</v>
      </c>
      <c r="P172" s="114" t="e">
        <f t="shared" si="285"/>
        <v>#DIV/0!</v>
      </c>
      <c r="Q172" s="115" t="e">
        <f t="shared" si="285"/>
        <v>#DIV/0!</v>
      </c>
      <c r="R172" s="116" t="e">
        <f t="shared" si="285"/>
        <v>#DIV/0!</v>
      </c>
      <c r="T172" s="91"/>
      <c r="U172" s="100"/>
      <c r="V172" s="111"/>
      <c r="W172" s="112" t="s">
        <v>103</v>
      </c>
      <c r="X172" s="113" t="e">
        <f t="shared" ref="X172:AK172" si="286">X170/X168</f>
        <v>#DIV/0!</v>
      </c>
      <c r="Y172" s="113" t="e">
        <f t="shared" si="286"/>
        <v>#DIV/0!</v>
      </c>
      <c r="Z172" s="113" t="e">
        <f t="shared" si="286"/>
        <v>#DIV/0!</v>
      </c>
      <c r="AA172" s="113" t="e">
        <f t="shared" si="286"/>
        <v>#DIV/0!</v>
      </c>
      <c r="AB172" s="113" t="e">
        <f t="shared" si="286"/>
        <v>#DIV/0!</v>
      </c>
      <c r="AC172" s="113" t="e">
        <f t="shared" si="286"/>
        <v>#DIV/0!</v>
      </c>
      <c r="AD172" s="113" t="e">
        <f t="shared" si="286"/>
        <v>#DIV/0!</v>
      </c>
      <c r="AE172" s="113" t="e">
        <f t="shared" si="286"/>
        <v>#DIV/0!</v>
      </c>
      <c r="AF172" s="113" t="e">
        <f t="shared" si="286"/>
        <v>#DIV/0!</v>
      </c>
      <c r="AG172" s="113" t="e">
        <f t="shared" si="286"/>
        <v>#DIV/0!</v>
      </c>
      <c r="AH172" s="113" t="e">
        <f t="shared" si="286"/>
        <v>#DIV/0!</v>
      </c>
      <c r="AI172" s="114" t="e">
        <f t="shared" si="286"/>
        <v>#DIV/0!</v>
      </c>
      <c r="AJ172" s="115" t="e">
        <f t="shared" si="286"/>
        <v>#DIV/0!</v>
      </c>
      <c r="AK172" s="116" t="e">
        <f t="shared" si="286"/>
        <v>#DIV/0!</v>
      </c>
    </row>
    <row r="173" spans="1:38" ht="15.6" hidden="1" thickBot="1">
      <c r="A173" s="91"/>
      <c r="B173" s="100"/>
      <c r="C173" s="86"/>
      <c r="D173" s="87">
        <v>2019</v>
      </c>
      <c r="E173" s="88"/>
      <c r="F173" s="121"/>
      <c r="G173" s="121"/>
      <c r="H173" s="121"/>
      <c r="I173" s="121"/>
      <c r="J173" s="121"/>
      <c r="K173" s="121"/>
      <c r="L173" s="121"/>
      <c r="M173" s="122"/>
      <c r="N173" s="122"/>
      <c r="O173" s="122"/>
      <c r="P173" s="123"/>
      <c r="Q173" s="89">
        <f t="shared" ref="Q173:Q175" si="287">SUM(E173:P173)</f>
        <v>0</v>
      </c>
      <c r="R173" s="90">
        <f t="shared" ref="R173" si="288">SUM(E173:M173)</f>
        <v>0</v>
      </c>
      <c r="T173" s="91"/>
      <c r="U173" s="100"/>
      <c r="V173" s="86">
        <f t="shared" ref="V173:V174" si="289">C173</f>
        <v>0</v>
      </c>
      <c r="W173" s="87">
        <v>2019</v>
      </c>
      <c r="X173" s="88"/>
      <c r="Y173" s="121"/>
      <c r="Z173" s="121"/>
      <c r="AA173" s="121"/>
      <c r="AB173" s="121"/>
      <c r="AC173" s="121"/>
      <c r="AD173" s="121"/>
      <c r="AE173" s="121"/>
      <c r="AF173" s="122"/>
      <c r="AG173" s="122"/>
      <c r="AH173" s="122"/>
      <c r="AI173" s="123"/>
      <c r="AJ173" s="89">
        <f t="shared" ref="AJ173:AJ175" si="290">SUM(X173:AI173)</f>
        <v>0</v>
      </c>
      <c r="AK173" s="90">
        <f t="shared" ref="AK173:AK175" si="291">SUM(X173:AF173)</f>
        <v>0</v>
      </c>
    </row>
    <row r="174" spans="1:38" ht="15.6" hidden="1" thickBot="1">
      <c r="A174" s="91"/>
      <c r="B174" s="100"/>
      <c r="C174" s="92"/>
      <c r="D174" s="93" t="s">
        <v>92</v>
      </c>
      <c r="E174" s="94"/>
      <c r="F174" s="97"/>
      <c r="G174" s="97"/>
      <c r="H174" s="97"/>
      <c r="I174" s="97"/>
      <c r="J174" s="97"/>
      <c r="K174" s="97"/>
      <c r="L174" s="97"/>
      <c r="M174" s="98"/>
      <c r="N174" s="98"/>
      <c r="O174" s="98"/>
      <c r="P174" s="99"/>
      <c r="Q174" s="95">
        <f t="shared" si="287"/>
        <v>0</v>
      </c>
      <c r="R174" s="96">
        <f t="shared" si="225"/>
        <v>0</v>
      </c>
      <c r="T174" s="91"/>
      <c r="U174" s="100"/>
      <c r="V174" s="92">
        <f t="shared" si="289"/>
        <v>0</v>
      </c>
      <c r="W174" s="93" t="s">
        <v>92</v>
      </c>
      <c r="X174" s="94"/>
      <c r="Y174" s="97"/>
      <c r="Z174" s="97"/>
      <c r="AA174" s="97"/>
      <c r="AB174" s="97"/>
      <c r="AC174" s="97"/>
      <c r="AD174" s="97"/>
      <c r="AE174" s="97"/>
      <c r="AF174" s="98"/>
      <c r="AG174" s="98"/>
      <c r="AH174" s="98"/>
      <c r="AI174" s="99"/>
      <c r="AJ174" s="95">
        <f t="shared" si="290"/>
        <v>0</v>
      </c>
      <c r="AK174" s="96">
        <f t="shared" si="291"/>
        <v>0</v>
      </c>
    </row>
    <row r="175" spans="1:38" ht="15.6" hidden="1" thickBot="1">
      <c r="A175" s="91"/>
      <c r="B175" s="100"/>
      <c r="C175" s="92"/>
      <c r="D175" s="101">
        <v>2020</v>
      </c>
      <c r="E175" s="102"/>
      <c r="F175" s="124"/>
      <c r="G175" s="124"/>
      <c r="H175" s="124"/>
      <c r="I175" s="124"/>
      <c r="J175" s="124"/>
      <c r="K175" s="124"/>
      <c r="L175" s="124"/>
      <c r="M175" s="125"/>
      <c r="N175" s="125"/>
      <c r="O175" s="125"/>
      <c r="P175" s="126"/>
      <c r="Q175" s="103">
        <f t="shared" si="287"/>
        <v>0</v>
      </c>
      <c r="R175" s="104">
        <f t="shared" si="225"/>
        <v>0</v>
      </c>
      <c r="S175" s="105"/>
      <c r="T175" s="91"/>
      <c r="U175" s="100"/>
      <c r="V175" s="92"/>
      <c r="W175" s="101">
        <v>2020</v>
      </c>
      <c r="X175" s="102"/>
      <c r="Y175" s="124"/>
      <c r="Z175" s="124"/>
      <c r="AA175" s="124"/>
      <c r="AB175" s="124"/>
      <c r="AC175" s="124"/>
      <c r="AD175" s="124"/>
      <c r="AE175" s="124"/>
      <c r="AF175" s="125"/>
      <c r="AG175" s="125"/>
      <c r="AH175" s="125"/>
      <c r="AI175" s="126"/>
      <c r="AJ175" s="103">
        <f t="shared" si="290"/>
        <v>0</v>
      </c>
      <c r="AK175" s="104">
        <f t="shared" si="291"/>
        <v>0</v>
      </c>
      <c r="AL175" s="105"/>
    </row>
    <row r="176" spans="1:38" ht="15.6" hidden="1" thickBot="1">
      <c r="A176" s="91"/>
      <c r="B176" s="100"/>
      <c r="C176" s="92"/>
      <c r="D176" s="101" t="s">
        <v>102</v>
      </c>
      <c r="E176" s="106" t="e">
        <f t="shared" ref="E176:R176" si="292">E175/E174</f>
        <v>#DIV/0!</v>
      </c>
      <c r="F176" s="106" t="e">
        <f t="shared" si="292"/>
        <v>#DIV/0!</v>
      </c>
      <c r="G176" s="106" t="e">
        <f t="shared" si="292"/>
        <v>#DIV/0!</v>
      </c>
      <c r="H176" s="106" t="e">
        <f t="shared" si="292"/>
        <v>#DIV/0!</v>
      </c>
      <c r="I176" s="106" t="e">
        <f t="shared" si="292"/>
        <v>#DIV/0!</v>
      </c>
      <c r="J176" s="106" t="e">
        <f t="shared" si="292"/>
        <v>#DIV/0!</v>
      </c>
      <c r="K176" s="106" t="e">
        <f t="shared" si="292"/>
        <v>#DIV/0!</v>
      </c>
      <c r="L176" s="106" t="e">
        <f t="shared" si="292"/>
        <v>#DIV/0!</v>
      </c>
      <c r="M176" s="107" t="e">
        <f t="shared" si="292"/>
        <v>#DIV/0!</v>
      </c>
      <c r="N176" s="107" t="e">
        <f t="shared" si="292"/>
        <v>#DIV/0!</v>
      </c>
      <c r="O176" s="107" t="e">
        <f t="shared" si="292"/>
        <v>#DIV/0!</v>
      </c>
      <c r="P176" s="108" t="e">
        <f t="shared" si="292"/>
        <v>#DIV/0!</v>
      </c>
      <c r="Q176" s="109" t="e">
        <f t="shared" si="292"/>
        <v>#DIV/0!</v>
      </c>
      <c r="R176" s="110" t="e">
        <f t="shared" si="292"/>
        <v>#DIV/0!</v>
      </c>
      <c r="S176" s="105"/>
      <c r="T176" s="91"/>
      <c r="U176" s="100"/>
      <c r="V176" s="92"/>
      <c r="W176" s="101" t="s">
        <v>102</v>
      </c>
      <c r="X176" s="106" t="e">
        <f t="shared" ref="X176:AK176" si="293">X175/X174</f>
        <v>#DIV/0!</v>
      </c>
      <c r="Y176" s="106" t="e">
        <f t="shared" si="293"/>
        <v>#DIV/0!</v>
      </c>
      <c r="Z176" s="106" t="e">
        <f t="shared" si="293"/>
        <v>#DIV/0!</v>
      </c>
      <c r="AA176" s="106" t="e">
        <f t="shared" si="293"/>
        <v>#DIV/0!</v>
      </c>
      <c r="AB176" s="106" t="e">
        <f t="shared" si="293"/>
        <v>#DIV/0!</v>
      </c>
      <c r="AC176" s="106" t="e">
        <f t="shared" si="293"/>
        <v>#DIV/0!</v>
      </c>
      <c r="AD176" s="106" t="e">
        <f t="shared" si="293"/>
        <v>#DIV/0!</v>
      </c>
      <c r="AE176" s="106" t="e">
        <f t="shared" si="293"/>
        <v>#DIV/0!</v>
      </c>
      <c r="AF176" s="107" t="e">
        <f t="shared" si="293"/>
        <v>#DIV/0!</v>
      </c>
      <c r="AG176" s="107" t="e">
        <f t="shared" si="293"/>
        <v>#DIV/0!</v>
      </c>
      <c r="AH176" s="107" t="e">
        <f t="shared" si="293"/>
        <v>#DIV/0!</v>
      </c>
      <c r="AI176" s="108" t="e">
        <f t="shared" si="293"/>
        <v>#DIV/0!</v>
      </c>
      <c r="AJ176" s="109" t="e">
        <f t="shared" si="293"/>
        <v>#DIV/0!</v>
      </c>
      <c r="AK176" s="110" t="e">
        <f t="shared" si="293"/>
        <v>#DIV/0!</v>
      </c>
      <c r="AL176" s="105"/>
    </row>
    <row r="177" spans="1:38" ht="15.6" hidden="1" thickBot="1">
      <c r="A177" s="91"/>
      <c r="B177" s="100"/>
      <c r="C177" s="111"/>
      <c r="D177" s="112" t="s">
        <v>103</v>
      </c>
      <c r="E177" s="113" t="e">
        <f t="shared" ref="E177:R177" si="294">E175/E173</f>
        <v>#DIV/0!</v>
      </c>
      <c r="F177" s="113" t="e">
        <f t="shared" si="294"/>
        <v>#DIV/0!</v>
      </c>
      <c r="G177" s="113" t="e">
        <f t="shared" si="294"/>
        <v>#DIV/0!</v>
      </c>
      <c r="H177" s="113" t="e">
        <f t="shared" si="294"/>
        <v>#DIV/0!</v>
      </c>
      <c r="I177" s="113" t="e">
        <f t="shared" si="294"/>
        <v>#DIV/0!</v>
      </c>
      <c r="J177" s="113" t="e">
        <f t="shared" si="294"/>
        <v>#DIV/0!</v>
      </c>
      <c r="K177" s="113" t="e">
        <f t="shared" si="294"/>
        <v>#DIV/0!</v>
      </c>
      <c r="L177" s="113" t="e">
        <f t="shared" si="294"/>
        <v>#DIV/0!</v>
      </c>
      <c r="M177" s="113" t="e">
        <f t="shared" si="294"/>
        <v>#DIV/0!</v>
      </c>
      <c r="N177" s="113" t="e">
        <f t="shared" si="294"/>
        <v>#DIV/0!</v>
      </c>
      <c r="O177" s="113" t="e">
        <f t="shared" si="294"/>
        <v>#DIV/0!</v>
      </c>
      <c r="P177" s="114" t="e">
        <f t="shared" si="294"/>
        <v>#DIV/0!</v>
      </c>
      <c r="Q177" s="115" t="e">
        <f t="shared" si="294"/>
        <v>#DIV/0!</v>
      </c>
      <c r="R177" s="116" t="e">
        <f t="shared" si="294"/>
        <v>#DIV/0!</v>
      </c>
      <c r="T177" s="91"/>
      <c r="U177" s="100"/>
      <c r="V177" s="111"/>
      <c r="W177" s="112" t="s">
        <v>103</v>
      </c>
      <c r="X177" s="113" t="e">
        <f t="shared" ref="X177:AK177" si="295">X175/X173</f>
        <v>#DIV/0!</v>
      </c>
      <c r="Y177" s="113" t="e">
        <f t="shared" si="295"/>
        <v>#DIV/0!</v>
      </c>
      <c r="Z177" s="113" t="e">
        <f t="shared" si="295"/>
        <v>#DIV/0!</v>
      </c>
      <c r="AA177" s="113" t="e">
        <f t="shared" si="295"/>
        <v>#DIV/0!</v>
      </c>
      <c r="AB177" s="113" t="e">
        <f t="shared" si="295"/>
        <v>#DIV/0!</v>
      </c>
      <c r="AC177" s="113" t="e">
        <f t="shared" si="295"/>
        <v>#DIV/0!</v>
      </c>
      <c r="AD177" s="113" t="e">
        <f t="shared" si="295"/>
        <v>#DIV/0!</v>
      </c>
      <c r="AE177" s="113" t="e">
        <f t="shared" si="295"/>
        <v>#DIV/0!</v>
      </c>
      <c r="AF177" s="113" t="e">
        <f t="shared" si="295"/>
        <v>#DIV/0!</v>
      </c>
      <c r="AG177" s="113" t="e">
        <f t="shared" si="295"/>
        <v>#DIV/0!</v>
      </c>
      <c r="AH177" s="113" t="e">
        <f t="shared" si="295"/>
        <v>#DIV/0!</v>
      </c>
      <c r="AI177" s="114" t="e">
        <f t="shared" si="295"/>
        <v>#DIV/0!</v>
      </c>
      <c r="AJ177" s="115" t="e">
        <f t="shared" si="295"/>
        <v>#DIV/0!</v>
      </c>
      <c r="AK177" s="116" t="e">
        <f t="shared" si="295"/>
        <v>#DIV/0!</v>
      </c>
    </row>
    <row r="178" spans="1:38" ht="15.6" hidden="1" thickBot="1">
      <c r="A178" s="91"/>
      <c r="B178" s="100"/>
      <c r="C178" s="86"/>
      <c r="D178" s="87">
        <v>2019</v>
      </c>
      <c r="E178" s="88"/>
      <c r="F178" s="121"/>
      <c r="G178" s="121"/>
      <c r="H178" s="121"/>
      <c r="I178" s="121"/>
      <c r="J178" s="121"/>
      <c r="K178" s="121"/>
      <c r="L178" s="121"/>
      <c r="M178" s="122"/>
      <c r="N178" s="122"/>
      <c r="O178" s="122"/>
      <c r="P178" s="123"/>
      <c r="Q178" s="89">
        <f t="shared" ref="Q178:Q180" si="296">SUM(E178:P178)</f>
        <v>0</v>
      </c>
      <c r="R178" s="90">
        <f t="shared" ref="R178" si="297">SUM(E178:M178)</f>
        <v>0</v>
      </c>
      <c r="T178" s="91"/>
      <c r="U178" s="100"/>
      <c r="V178" s="86">
        <f t="shared" ref="V178:V179" si="298">C178</f>
        <v>0</v>
      </c>
      <c r="W178" s="87">
        <v>2019</v>
      </c>
      <c r="X178" s="88"/>
      <c r="Y178" s="121"/>
      <c r="Z178" s="121"/>
      <c r="AA178" s="121"/>
      <c r="AB178" s="121"/>
      <c r="AC178" s="121"/>
      <c r="AD178" s="121"/>
      <c r="AE178" s="121"/>
      <c r="AF178" s="122"/>
      <c r="AG178" s="122"/>
      <c r="AH178" s="122"/>
      <c r="AI178" s="123"/>
      <c r="AJ178" s="89">
        <f t="shared" ref="AJ178:AJ180" si="299">SUM(X178:AI178)</f>
        <v>0</v>
      </c>
      <c r="AK178" s="90">
        <f t="shared" ref="AK178:AK180" si="300">SUM(X178:AF178)</f>
        <v>0</v>
      </c>
    </row>
    <row r="179" spans="1:38" ht="15.6" hidden="1" thickBot="1">
      <c r="A179" s="91"/>
      <c r="B179" s="100"/>
      <c r="C179" s="92"/>
      <c r="D179" s="93" t="s">
        <v>92</v>
      </c>
      <c r="E179" s="94"/>
      <c r="F179" s="97"/>
      <c r="G179" s="97"/>
      <c r="H179" s="97"/>
      <c r="I179" s="97"/>
      <c r="J179" s="97"/>
      <c r="K179" s="97"/>
      <c r="L179" s="97"/>
      <c r="M179" s="98"/>
      <c r="N179" s="98"/>
      <c r="O179" s="98"/>
      <c r="P179" s="99"/>
      <c r="Q179" s="95">
        <f t="shared" si="296"/>
        <v>0</v>
      </c>
      <c r="R179" s="96">
        <f t="shared" si="225"/>
        <v>0</v>
      </c>
      <c r="T179" s="91"/>
      <c r="U179" s="100"/>
      <c r="V179" s="92">
        <f t="shared" si="298"/>
        <v>0</v>
      </c>
      <c r="W179" s="93" t="s">
        <v>92</v>
      </c>
      <c r="X179" s="94"/>
      <c r="Y179" s="97"/>
      <c r="Z179" s="97"/>
      <c r="AA179" s="97"/>
      <c r="AB179" s="97"/>
      <c r="AC179" s="97"/>
      <c r="AD179" s="97"/>
      <c r="AE179" s="97"/>
      <c r="AF179" s="98"/>
      <c r="AG179" s="98"/>
      <c r="AH179" s="98"/>
      <c r="AI179" s="99"/>
      <c r="AJ179" s="95">
        <f t="shared" si="299"/>
        <v>0</v>
      </c>
      <c r="AK179" s="96">
        <f t="shared" si="300"/>
        <v>0</v>
      </c>
    </row>
    <row r="180" spans="1:38" ht="15.6" hidden="1" thickBot="1">
      <c r="A180" s="91"/>
      <c r="B180" s="100"/>
      <c r="C180" s="92"/>
      <c r="D180" s="101">
        <v>2020</v>
      </c>
      <c r="E180" s="102"/>
      <c r="F180" s="124"/>
      <c r="G180" s="124"/>
      <c r="H180" s="124"/>
      <c r="I180" s="124"/>
      <c r="J180" s="124"/>
      <c r="K180" s="124"/>
      <c r="L180" s="124"/>
      <c r="M180" s="125"/>
      <c r="N180" s="125"/>
      <c r="O180" s="125"/>
      <c r="P180" s="126"/>
      <c r="Q180" s="103">
        <f t="shared" si="296"/>
        <v>0</v>
      </c>
      <c r="R180" s="104">
        <f t="shared" si="225"/>
        <v>0</v>
      </c>
      <c r="S180" s="105"/>
      <c r="T180" s="91"/>
      <c r="U180" s="100"/>
      <c r="V180" s="92"/>
      <c r="W180" s="101">
        <v>2020</v>
      </c>
      <c r="X180" s="102"/>
      <c r="Y180" s="124"/>
      <c r="Z180" s="124"/>
      <c r="AA180" s="124"/>
      <c r="AB180" s="124"/>
      <c r="AC180" s="124"/>
      <c r="AD180" s="124"/>
      <c r="AE180" s="124"/>
      <c r="AF180" s="125"/>
      <c r="AG180" s="125"/>
      <c r="AH180" s="125"/>
      <c r="AI180" s="126"/>
      <c r="AJ180" s="103">
        <f t="shared" si="299"/>
        <v>0</v>
      </c>
      <c r="AK180" s="104">
        <f t="shared" si="300"/>
        <v>0</v>
      </c>
      <c r="AL180" s="105"/>
    </row>
    <row r="181" spans="1:38" ht="15.6" hidden="1" thickBot="1">
      <c r="A181" s="91"/>
      <c r="B181" s="100"/>
      <c r="C181" s="92"/>
      <c r="D181" s="101" t="s">
        <v>102</v>
      </c>
      <c r="E181" s="106" t="e">
        <f t="shared" ref="E181:R181" si="301">E180/E179</f>
        <v>#DIV/0!</v>
      </c>
      <c r="F181" s="106" t="e">
        <f t="shared" si="301"/>
        <v>#DIV/0!</v>
      </c>
      <c r="G181" s="106" t="e">
        <f t="shared" si="301"/>
        <v>#DIV/0!</v>
      </c>
      <c r="H181" s="106" t="e">
        <f t="shared" si="301"/>
        <v>#DIV/0!</v>
      </c>
      <c r="I181" s="106" t="e">
        <f t="shared" si="301"/>
        <v>#DIV/0!</v>
      </c>
      <c r="J181" s="106" t="e">
        <f t="shared" si="301"/>
        <v>#DIV/0!</v>
      </c>
      <c r="K181" s="106" t="e">
        <f t="shared" si="301"/>
        <v>#DIV/0!</v>
      </c>
      <c r="L181" s="106" t="e">
        <f t="shared" si="301"/>
        <v>#DIV/0!</v>
      </c>
      <c r="M181" s="107" t="e">
        <f t="shared" si="301"/>
        <v>#DIV/0!</v>
      </c>
      <c r="N181" s="107" t="e">
        <f t="shared" si="301"/>
        <v>#DIV/0!</v>
      </c>
      <c r="O181" s="107" t="e">
        <f t="shared" si="301"/>
        <v>#DIV/0!</v>
      </c>
      <c r="P181" s="108" t="e">
        <f t="shared" si="301"/>
        <v>#DIV/0!</v>
      </c>
      <c r="Q181" s="109" t="e">
        <f t="shared" si="301"/>
        <v>#DIV/0!</v>
      </c>
      <c r="R181" s="110" t="e">
        <f t="shared" si="301"/>
        <v>#DIV/0!</v>
      </c>
      <c r="S181" s="105"/>
      <c r="T181" s="91"/>
      <c r="U181" s="100"/>
      <c r="V181" s="92"/>
      <c r="W181" s="101" t="s">
        <v>102</v>
      </c>
      <c r="X181" s="106" t="e">
        <f t="shared" ref="X181:AK181" si="302">X180/X179</f>
        <v>#DIV/0!</v>
      </c>
      <c r="Y181" s="106" t="e">
        <f t="shared" si="302"/>
        <v>#DIV/0!</v>
      </c>
      <c r="Z181" s="106" t="e">
        <f t="shared" si="302"/>
        <v>#DIV/0!</v>
      </c>
      <c r="AA181" s="106" t="e">
        <f t="shared" si="302"/>
        <v>#DIV/0!</v>
      </c>
      <c r="AB181" s="106" t="e">
        <f t="shared" si="302"/>
        <v>#DIV/0!</v>
      </c>
      <c r="AC181" s="106" t="e">
        <f t="shared" si="302"/>
        <v>#DIV/0!</v>
      </c>
      <c r="AD181" s="106" t="e">
        <f t="shared" si="302"/>
        <v>#DIV/0!</v>
      </c>
      <c r="AE181" s="106" t="e">
        <f t="shared" si="302"/>
        <v>#DIV/0!</v>
      </c>
      <c r="AF181" s="107" t="e">
        <f t="shared" si="302"/>
        <v>#DIV/0!</v>
      </c>
      <c r="AG181" s="107" t="e">
        <f t="shared" si="302"/>
        <v>#DIV/0!</v>
      </c>
      <c r="AH181" s="107" t="e">
        <f t="shared" si="302"/>
        <v>#DIV/0!</v>
      </c>
      <c r="AI181" s="108" t="e">
        <f t="shared" si="302"/>
        <v>#DIV/0!</v>
      </c>
      <c r="AJ181" s="109" t="e">
        <f t="shared" si="302"/>
        <v>#DIV/0!</v>
      </c>
      <c r="AK181" s="110" t="e">
        <f t="shared" si="302"/>
        <v>#DIV/0!</v>
      </c>
      <c r="AL181" s="105"/>
    </row>
    <row r="182" spans="1:38" ht="15.6" hidden="1" thickBot="1">
      <c r="A182" s="91"/>
      <c r="B182" s="100"/>
      <c r="C182" s="111"/>
      <c r="D182" s="112" t="s">
        <v>103</v>
      </c>
      <c r="E182" s="113" t="e">
        <f t="shared" ref="E182:R182" si="303">E180/E178</f>
        <v>#DIV/0!</v>
      </c>
      <c r="F182" s="113" t="e">
        <f t="shared" si="303"/>
        <v>#DIV/0!</v>
      </c>
      <c r="G182" s="113" t="e">
        <f t="shared" si="303"/>
        <v>#DIV/0!</v>
      </c>
      <c r="H182" s="113" t="e">
        <f t="shared" si="303"/>
        <v>#DIV/0!</v>
      </c>
      <c r="I182" s="113" t="e">
        <f t="shared" si="303"/>
        <v>#DIV/0!</v>
      </c>
      <c r="J182" s="113" t="e">
        <f t="shared" si="303"/>
        <v>#DIV/0!</v>
      </c>
      <c r="K182" s="113" t="e">
        <f t="shared" si="303"/>
        <v>#DIV/0!</v>
      </c>
      <c r="L182" s="113" t="e">
        <f t="shared" si="303"/>
        <v>#DIV/0!</v>
      </c>
      <c r="M182" s="113" t="e">
        <f t="shared" si="303"/>
        <v>#DIV/0!</v>
      </c>
      <c r="N182" s="113" t="e">
        <f t="shared" si="303"/>
        <v>#DIV/0!</v>
      </c>
      <c r="O182" s="113" t="e">
        <f t="shared" si="303"/>
        <v>#DIV/0!</v>
      </c>
      <c r="P182" s="114" t="e">
        <f t="shared" si="303"/>
        <v>#DIV/0!</v>
      </c>
      <c r="Q182" s="115" t="e">
        <f t="shared" si="303"/>
        <v>#DIV/0!</v>
      </c>
      <c r="R182" s="116" t="e">
        <f t="shared" si="303"/>
        <v>#DIV/0!</v>
      </c>
      <c r="T182" s="91"/>
      <c r="U182" s="100"/>
      <c r="V182" s="111"/>
      <c r="W182" s="112" t="s">
        <v>103</v>
      </c>
      <c r="X182" s="113" t="e">
        <f t="shared" ref="X182:AK182" si="304">X180/X178</f>
        <v>#DIV/0!</v>
      </c>
      <c r="Y182" s="113" t="e">
        <f t="shared" si="304"/>
        <v>#DIV/0!</v>
      </c>
      <c r="Z182" s="113" t="e">
        <f t="shared" si="304"/>
        <v>#DIV/0!</v>
      </c>
      <c r="AA182" s="113" t="e">
        <f t="shared" si="304"/>
        <v>#DIV/0!</v>
      </c>
      <c r="AB182" s="113" t="e">
        <f t="shared" si="304"/>
        <v>#DIV/0!</v>
      </c>
      <c r="AC182" s="113" t="e">
        <f t="shared" si="304"/>
        <v>#DIV/0!</v>
      </c>
      <c r="AD182" s="113" t="e">
        <f t="shared" si="304"/>
        <v>#DIV/0!</v>
      </c>
      <c r="AE182" s="113" t="e">
        <f t="shared" si="304"/>
        <v>#DIV/0!</v>
      </c>
      <c r="AF182" s="113" t="e">
        <f t="shared" si="304"/>
        <v>#DIV/0!</v>
      </c>
      <c r="AG182" s="113" t="e">
        <f t="shared" si="304"/>
        <v>#DIV/0!</v>
      </c>
      <c r="AH182" s="113" t="e">
        <f t="shared" si="304"/>
        <v>#DIV/0!</v>
      </c>
      <c r="AI182" s="114" t="e">
        <f t="shared" si="304"/>
        <v>#DIV/0!</v>
      </c>
      <c r="AJ182" s="115" t="e">
        <f t="shared" si="304"/>
        <v>#DIV/0!</v>
      </c>
      <c r="AK182" s="116" t="e">
        <f t="shared" si="304"/>
        <v>#DIV/0!</v>
      </c>
    </row>
    <row r="183" spans="1:38" ht="15.6" hidden="1" thickBot="1">
      <c r="A183" s="91"/>
      <c r="B183" s="100"/>
      <c r="C183" s="86"/>
      <c r="D183" s="87">
        <v>2019</v>
      </c>
      <c r="E183" s="88"/>
      <c r="F183" s="121"/>
      <c r="G183" s="121"/>
      <c r="H183" s="121"/>
      <c r="I183" s="121"/>
      <c r="J183" s="121"/>
      <c r="K183" s="121"/>
      <c r="L183" s="121"/>
      <c r="M183" s="122"/>
      <c r="N183" s="122"/>
      <c r="O183" s="122"/>
      <c r="P183" s="123"/>
      <c r="Q183" s="89">
        <f t="shared" ref="Q183:Q185" si="305">SUM(E183:P183)</f>
        <v>0</v>
      </c>
      <c r="R183" s="90">
        <f t="shared" ref="R183" si="306">SUM(E183:M183)</f>
        <v>0</v>
      </c>
      <c r="T183" s="91"/>
      <c r="U183" s="100"/>
      <c r="V183" s="86">
        <f t="shared" ref="V183:V184" si="307">C183</f>
        <v>0</v>
      </c>
      <c r="W183" s="87">
        <v>2019</v>
      </c>
      <c r="X183" s="88"/>
      <c r="Y183" s="121"/>
      <c r="Z183" s="121"/>
      <c r="AA183" s="121"/>
      <c r="AB183" s="121"/>
      <c r="AC183" s="121"/>
      <c r="AD183" s="121"/>
      <c r="AE183" s="121"/>
      <c r="AF183" s="122"/>
      <c r="AG183" s="122"/>
      <c r="AH183" s="122"/>
      <c r="AI183" s="123"/>
      <c r="AJ183" s="89">
        <f t="shared" ref="AJ183:AJ185" si="308">SUM(X183:AI183)</f>
        <v>0</v>
      </c>
      <c r="AK183" s="90">
        <f t="shared" ref="AK183:AK185" si="309">SUM(X183:AF183)</f>
        <v>0</v>
      </c>
    </row>
    <row r="184" spans="1:38" ht="15.6" hidden="1" thickBot="1">
      <c r="A184" s="91"/>
      <c r="B184" s="100"/>
      <c r="C184" s="92"/>
      <c r="D184" s="93" t="s">
        <v>92</v>
      </c>
      <c r="E184" s="94"/>
      <c r="F184" s="97"/>
      <c r="G184" s="97"/>
      <c r="H184" s="97"/>
      <c r="I184" s="97"/>
      <c r="J184" s="97"/>
      <c r="K184" s="97"/>
      <c r="L184" s="97"/>
      <c r="M184" s="98"/>
      <c r="N184" s="98"/>
      <c r="O184" s="98"/>
      <c r="P184" s="99"/>
      <c r="Q184" s="95">
        <f t="shared" si="305"/>
        <v>0</v>
      </c>
      <c r="R184" s="96">
        <f t="shared" si="225"/>
        <v>0</v>
      </c>
      <c r="T184" s="91"/>
      <c r="U184" s="100"/>
      <c r="V184" s="92">
        <f t="shared" si="307"/>
        <v>0</v>
      </c>
      <c r="W184" s="93" t="s">
        <v>92</v>
      </c>
      <c r="X184" s="94"/>
      <c r="Y184" s="97"/>
      <c r="Z184" s="97"/>
      <c r="AA184" s="97"/>
      <c r="AB184" s="97"/>
      <c r="AC184" s="97"/>
      <c r="AD184" s="97"/>
      <c r="AE184" s="97"/>
      <c r="AF184" s="98"/>
      <c r="AG184" s="98"/>
      <c r="AH184" s="98"/>
      <c r="AI184" s="99"/>
      <c r="AJ184" s="95">
        <f t="shared" si="308"/>
        <v>0</v>
      </c>
      <c r="AK184" s="96">
        <f t="shared" si="309"/>
        <v>0</v>
      </c>
    </row>
    <row r="185" spans="1:38" ht="15.6" hidden="1" thickBot="1">
      <c r="A185" s="91"/>
      <c r="B185" s="100"/>
      <c r="C185" s="92"/>
      <c r="D185" s="101">
        <v>2020</v>
      </c>
      <c r="E185" s="102"/>
      <c r="F185" s="124"/>
      <c r="G185" s="124"/>
      <c r="H185" s="124"/>
      <c r="I185" s="124"/>
      <c r="J185" s="124"/>
      <c r="K185" s="124"/>
      <c r="L185" s="124"/>
      <c r="M185" s="125"/>
      <c r="N185" s="125"/>
      <c r="O185" s="125"/>
      <c r="P185" s="126"/>
      <c r="Q185" s="103">
        <f t="shared" si="305"/>
        <v>0</v>
      </c>
      <c r="R185" s="104">
        <f t="shared" si="225"/>
        <v>0</v>
      </c>
      <c r="S185" s="105"/>
      <c r="T185" s="91"/>
      <c r="U185" s="100"/>
      <c r="V185" s="92"/>
      <c r="W185" s="101">
        <v>2020</v>
      </c>
      <c r="X185" s="102"/>
      <c r="Y185" s="124"/>
      <c r="Z185" s="124"/>
      <c r="AA185" s="124"/>
      <c r="AB185" s="124"/>
      <c r="AC185" s="124"/>
      <c r="AD185" s="124"/>
      <c r="AE185" s="124"/>
      <c r="AF185" s="125"/>
      <c r="AG185" s="125"/>
      <c r="AH185" s="125"/>
      <c r="AI185" s="126"/>
      <c r="AJ185" s="103">
        <f t="shared" si="308"/>
        <v>0</v>
      </c>
      <c r="AK185" s="104">
        <f t="shared" si="309"/>
        <v>0</v>
      </c>
      <c r="AL185" s="105"/>
    </row>
    <row r="186" spans="1:38" ht="15.6" hidden="1" thickBot="1">
      <c r="A186" s="91"/>
      <c r="B186" s="100"/>
      <c r="C186" s="92"/>
      <c r="D186" s="101" t="s">
        <v>102</v>
      </c>
      <c r="E186" s="106" t="e">
        <f t="shared" ref="E186:R186" si="310">E185/E184</f>
        <v>#DIV/0!</v>
      </c>
      <c r="F186" s="106" t="e">
        <f t="shared" si="310"/>
        <v>#DIV/0!</v>
      </c>
      <c r="G186" s="106" t="e">
        <f t="shared" si="310"/>
        <v>#DIV/0!</v>
      </c>
      <c r="H186" s="106" t="e">
        <f t="shared" si="310"/>
        <v>#DIV/0!</v>
      </c>
      <c r="I186" s="106" t="e">
        <f t="shared" si="310"/>
        <v>#DIV/0!</v>
      </c>
      <c r="J186" s="106" t="e">
        <f t="shared" si="310"/>
        <v>#DIV/0!</v>
      </c>
      <c r="K186" s="106" t="e">
        <f t="shared" si="310"/>
        <v>#DIV/0!</v>
      </c>
      <c r="L186" s="106" t="e">
        <f t="shared" si="310"/>
        <v>#DIV/0!</v>
      </c>
      <c r="M186" s="107" t="e">
        <f t="shared" si="310"/>
        <v>#DIV/0!</v>
      </c>
      <c r="N186" s="107" t="e">
        <f t="shared" si="310"/>
        <v>#DIV/0!</v>
      </c>
      <c r="O186" s="107" t="e">
        <f t="shared" si="310"/>
        <v>#DIV/0!</v>
      </c>
      <c r="P186" s="108" t="e">
        <f t="shared" si="310"/>
        <v>#DIV/0!</v>
      </c>
      <c r="Q186" s="109" t="e">
        <f t="shared" si="310"/>
        <v>#DIV/0!</v>
      </c>
      <c r="R186" s="110" t="e">
        <f t="shared" si="310"/>
        <v>#DIV/0!</v>
      </c>
      <c r="S186" s="105"/>
      <c r="T186" s="91"/>
      <c r="U186" s="100"/>
      <c r="V186" s="92"/>
      <c r="W186" s="101" t="s">
        <v>102</v>
      </c>
      <c r="X186" s="106" t="e">
        <f t="shared" ref="X186:AK186" si="311">X185/X184</f>
        <v>#DIV/0!</v>
      </c>
      <c r="Y186" s="106" t="e">
        <f t="shared" si="311"/>
        <v>#DIV/0!</v>
      </c>
      <c r="Z186" s="106" t="e">
        <f t="shared" si="311"/>
        <v>#DIV/0!</v>
      </c>
      <c r="AA186" s="106" t="e">
        <f t="shared" si="311"/>
        <v>#DIV/0!</v>
      </c>
      <c r="AB186" s="106" t="e">
        <f t="shared" si="311"/>
        <v>#DIV/0!</v>
      </c>
      <c r="AC186" s="106" t="e">
        <f t="shared" si="311"/>
        <v>#DIV/0!</v>
      </c>
      <c r="AD186" s="106" t="e">
        <f t="shared" si="311"/>
        <v>#DIV/0!</v>
      </c>
      <c r="AE186" s="106" t="e">
        <f t="shared" si="311"/>
        <v>#DIV/0!</v>
      </c>
      <c r="AF186" s="107" t="e">
        <f t="shared" si="311"/>
        <v>#DIV/0!</v>
      </c>
      <c r="AG186" s="107" t="e">
        <f t="shared" si="311"/>
        <v>#DIV/0!</v>
      </c>
      <c r="AH186" s="107" t="e">
        <f t="shared" si="311"/>
        <v>#DIV/0!</v>
      </c>
      <c r="AI186" s="108" t="e">
        <f t="shared" si="311"/>
        <v>#DIV/0!</v>
      </c>
      <c r="AJ186" s="109" t="e">
        <f t="shared" si="311"/>
        <v>#DIV/0!</v>
      </c>
      <c r="AK186" s="110" t="e">
        <f t="shared" si="311"/>
        <v>#DIV/0!</v>
      </c>
      <c r="AL186" s="105"/>
    </row>
    <row r="187" spans="1:38" ht="15.6" hidden="1" thickBot="1">
      <c r="A187" s="91"/>
      <c r="B187" s="100"/>
      <c r="C187" s="111"/>
      <c r="D187" s="112" t="s">
        <v>103</v>
      </c>
      <c r="E187" s="113" t="e">
        <f t="shared" ref="E187:R187" si="312">E185/E183</f>
        <v>#DIV/0!</v>
      </c>
      <c r="F187" s="113" t="e">
        <f t="shared" si="312"/>
        <v>#DIV/0!</v>
      </c>
      <c r="G187" s="113" t="e">
        <f t="shared" si="312"/>
        <v>#DIV/0!</v>
      </c>
      <c r="H187" s="113" t="e">
        <f t="shared" si="312"/>
        <v>#DIV/0!</v>
      </c>
      <c r="I187" s="113" t="e">
        <f t="shared" si="312"/>
        <v>#DIV/0!</v>
      </c>
      <c r="J187" s="113" t="e">
        <f t="shared" si="312"/>
        <v>#DIV/0!</v>
      </c>
      <c r="K187" s="113" t="e">
        <f t="shared" si="312"/>
        <v>#DIV/0!</v>
      </c>
      <c r="L187" s="113" t="e">
        <f t="shared" si="312"/>
        <v>#DIV/0!</v>
      </c>
      <c r="M187" s="113" t="e">
        <f t="shared" si="312"/>
        <v>#DIV/0!</v>
      </c>
      <c r="N187" s="113" t="e">
        <f t="shared" si="312"/>
        <v>#DIV/0!</v>
      </c>
      <c r="O187" s="113" t="e">
        <f t="shared" si="312"/>
        <v>#DIV/0!</v>
      </c>
      <c r="P187" s="114" t="e">
        <f t="shared" si="312"/>
        <v>#DIV/0!</v>
      </c>
      <c r="Q187" s="115" t="e">
        <f t="shared" si="312"/>
        <v>#DIV/0!</v>
      </c>
      <c r="R187" s="116" t="e">
        <f t="shared" si="312"/>
        <v>#DIV/0!</v>
      </c>
      <c r="T187" s="91"/>
      <c r="U187" s="100"/>
      <c r="V187" s="111"/>
      <c r="W187" s="112" t="s">
        <v>103</v>
      </c>
      <c r="X187" s="113" t="e">
        <f t="shared" ref="X187:AK187" si="313">X185/X183</f>
        <v>#DIV/0!</v>
      </c>
      <c r="Y187" s="113" t="e">
        <f t="shared" si="313"/>
        <v>#DIV/0!</v>
      </c>
      <c r="Z187" s="113" t="e">
        <f t="shared" si="313"/>
        <v>#DIV/0!</v>
      </c>
      <c r="AA187" s="113" t="e">
        <f t="shared" si="313"/>
        <v>#DIV/0!</v>
      </c>
      <c r="AB187" s="113" t="e">
        <f t="shared" si="313"/>
        <v>#DIV/0!</v>
      </c>
      <c r="AC187" s="113" t="e">
        <f t="shared" si="313"/>
        <v>#DIV/0!</v>
      </c>
      <c r="AD187" s="113" t="e">
        <f t="shared" si="313"/>
        <v>#DIV/0!</v>
      </c>
      <c r="AE187" s="113" t="e">
        <f t="shared" si="313"/>
        <v>#DIV/0!</v>
      </c>
      <c r="AF187" s="113" t="e">
        <f t="shared" si="313"/>
        <v>#DIV/0!</v>
      </c>
      <c r="AG187" s="113" t="e">
        <f t="shared" si="313"/>
        <v>#DIV/0!</v>
      </c>
      <c r="AH187" s="113" t="e">
        <f t="shared" si="313"/>
        <v>#DIV/0!</v>
      </c>
      <c r="AI187" s="114" t="e">
        <f t="shared" si="313"/>
        <v>#DIV/0!</v>
      </c>
      <c r="AJ187" s="115" t="e">
        <f t="shared" si="313"/>
        <v>#DIV/0!</v>
      </c>
      <c r="AK187" s="116" t="e">
        <f t="shared" si="313"/>
        <v>#DIV/0!</v>
      </c>
    </row>
    <row r="188" spans="1:38" ht="15.6" hidden="1" thickBot="1">
      <c r="A188" s="91"/>
      <c r="B188" s="100"/>
      <c r="C188" s="86"/>
      <c r="D188" s="87">
        <v>2019</v>
      </c>
      <c r="E188" s="88"/>
      <c r="F188" s="121"/>
      <c r="G188" s="121"/>
      <c r="H188" s="121"/>
      <c r="I188" s="121"/>
      <c r="J188" s="121"/>
      <c r="K188" s="121"/>
      <c r="L188" s="121"/>
      <c r="M188" s="122"/>
      <c r="N188" s="122"/>
      <c r="O188" s="122"/>
      <c r="P188" s="123"/>
      <c r="Q188" s="89">
        <f t="shared" ref="Q188:Q190" si="314">SUM(E188:P188)</f>
        <v>0</v>
      </c>
      <c r="R188" s="90">
        <f t="shared" ref="R188" si="315">SUM(E188:M188)</f>
        <v>0</v>
      </c>
      <c r="T188" s="91"/>
      <c r="U188" s="100"/>
      <c r="V188" s="86">
        <f t="shared" ref="V188:V189" si="316">C188</f>
        <v>0</v>
      </c>
      <c r="W188" s="87">
        <v>2019</v>
      </c>
      <c r="X188" s="88"/>
      <c r="Y188" s="121"/>
      <c r="Z188" s="121"/>
      <c r="AA188" s="121"/>
      <c r="AB188" s="121"/>
      <c r="AC188" s="121"/>
      <c r="AD188" s="121"/>
      <c r="AE188" s="121"/>
      <c r="AF188" s="122"/>
      <c r="AG188" s="122"/>
      <c r="AH188" s="122"/>
      <c r="AI188" s="123"/>
      <c r="AJ188" s="89">
        <f t="shared" ref="AJ188:AJ190" si="317">SUM(X188:AI188)</f>
        <v>0</v>
      </c>
      <c r="AK188" s="90">
        <f t="shared" ref="AK188:AK190" si="318">SUM(X188:AF188)</f>
        <v>0</v>
      </c>
    </row>
    <row r="189" spans="1:38" ht="15.6" hidden="1" thickBot="1">
      <c r="A189" s="91"/>
      <c r="B189" s="100"/>
      <c r="C189" s="92"/>
      <c r="D189" s="93" t="s">
        <v>92</v>
      </c>
      <c r="E189" s="94"/>
      <c r="F189" s="97"/>
      <c r="G189" s="97"/>
      <c r="H189" s="97"/>
      <c r="I189" s="97"/>
      <c r="J189" s="97"/>
      <c r="K189" s="97"/>
      <c r="L189" s="97"/>
      <c r="M189" s="98"/>
      <c r="N189" s="98"/>
      <c r="O189" s="98"/>
      <c r="P189" s="99"/>
      <c r="Q189" s="95">
        <f t="shared" si="314"/>
        <v>0</v>
      </c>
      <c r="R189" s="96">
        <f t="shared" si="225"/>
        <v>0</v>
      </c>
      <c r="T189" s="91"/>
      <c r="U189" s="100"/>
      <c r="V189" s="92">
        <f t="shared" si="316"/>
        <v>0</v>
      </c>
      <c r="W189" s="93" t="s">
        <v>92</v>
      </c>
      <c r="X189" s="94"/>
      <c r="Y189" s="97"/>
      <c r="Z189" s="97"/>
      <c r="AA189" s="97"/>
      <c r="AB189" s="97"/>
      <c r="AC189" s="97"/>
      <c r="AD189" s="97"/>
      <c r="AE189" s="97"/>
      <c r="AF189" s="98"/>
      <c r="AG189" s="98"/>
      <c r="AH189" s="98"/>
      <c r="AI189" s="99"/>
      <c r="AJ189" s="95">
        <f t="shared" si="317"/>
        <v>0</v>
      </c>
      <c r="AK189" s="96">
        <f t="shared" si="318"/>
        <v>0</v>
      </c>
    </row>
    <row r="190" spans="1:38" ht="15.6" hidden="1" thickBot="1">
      <c r="A190" s="91"/>
      <c r="B190" s="100"/>
      <c r="C190" s="92"/>
      <c r="D190" s="101">
        <v>2020</v>
      </c>
      <c r="E190" s="102"/>
      <c r="F190" s="124"/>
      <c r="G190" s="124"/>
      <c r="H190" s="124"/>
      <c r="I190" s="124"/>
      <c r="J190" s="124"/>
      <c r="K190" s="124"/>
      <c r="L190" s="124"/>
      <c r="M190" s="125"/>
      <c r="N190" s="125"/>
      <c r="O190" s="125"/>
      <c r="P190" s="126"/>
      <c r="Q190" s="103">
        <f t="shared" si="314"/>
        <v>0</v>
      </c>
      <c r="R190" s="104">
        <f t="shared" si="225"/>
        <v>0</v>
      </c>
      <c r="S190" s="105"/>
      <c r="T190" s="91"/>
      <c r="U190" s="100"/>
      <c r="V190" s="92"/>
      <c r="W190" s="101">
        <v>2020</v>
      </c>
      <c r="X190" s="102"/>
      <c r="Y190" s="124"/>
      <c r="Z190" s="124"/>
      <c r="AA190" s="124"/>
      <c r="AB190" s="124"/>
      <c r="AC190" s="124"/>
      <c r="AD190" s="124"/>
      <c r="AE190" s="124"/>
      <c r="AF190" s="125"/>
      <c r="AG190" s="125"/>
      <c r="AH190" s="125"/>
      <c r="AI190" s="126"/>
      <c r="AJ190" s="103">
        <f t="shared" si="317"/>
        <v>0</v>
      </c>
      <c r="AK190" s="104">
        <f t="shared" si="318"/>
        <v>0</v>
      </c>
      <c r="AL190" s="105"/>
    </row>
    <row r="191" spans="1:38" ht="15.6" hidden="1" thickBot="1">
      <c r="A191" s="91"/>
      <c r="B191" s="100"/>
      <c r="C191" s="92"/>
      <c r="D191" s="101" t="s">
        <v>102</v>
      </c>
      <c r="E191" s="106" t="e">
        <f t="shared" ref="E191:R191" si="319">E190/E189</f>
        <v>#DIV/0!</v>
      </c>
      <c r="F191" s="106" t="e">
        <f t="shared" si="319"/>
        <v>#DIV/0!</v>
      </c>
      <c r="G191" s="106" t="e">
        <f t="shared" si="319"/>
        <v>#DIV/0!</v>
      </c>
      <c r="H191" s="106" t="e">
        <f t="shared" si="319"/>
        <v>#DIV/0!</v>
      </c>
      <c r="I191" s="106" t="e">
        <f t="shared" si="319"/>
        <v>#DIV/0!</v>
      </c>
      <c r="J191" s="106" t="e">
        <f t="shared" si="319"/>
        <v>#DIV/0!</v>
      </c>
      <c r="K191" s="106" t="e">
        <f t="shared" si="319"/>
        <v>#DIV/0!</v>
      </c>
      <c r="L191" s="106" t="e">
        <f t="shared" si="319"/>
        <v>#DIV/0!</v>
      </c>
      <c r="M191" s="107" t="e">
        <f t="shared" si="319"/>
        <v>#DIV/0!</v>
      </c>
      <c r="N191" s="107" t="e">
        <f t="shared" si="319"/>
        <v>#DIV/0!</v>
      </c>
      <c r="O191" s="107" t="e">
        <f t="shared" si="319"/>
        <v>#DIV/0!</v>
      </c>
      <c r="P191" s="108" t="e">
        <f t="shared" si="319"/>
        <v>#DIV/0!</v>
      </c>
      <c r="Q191" s="109" t="e">
        <f t="shared" si="319"/>
        <v>#DIV/0!</v>
      </c>
      <c r="R191" s="110" t="e">
        <f t="shared" si="319"/>
        <v>#DIV/0!</v>
      </c>
      <c r="S191" s="105"/>
      <c r="T191" s="91"/>
      <c r="U191" s="100"/>
      <c r="V191" s="92"/>
      <c r="W191" s="101" t="s">
        <v>102</v>
      </c>
      <c r="X191" s="106" t="e">
        <f t="shared" ref="X191:AK191" si="320">X190/X189</f>
        <v>#DIV/0!</v>
      </c>
      <c r="Y191" s="106" t="e">
        <f t="shared" si="320"/>
        <v>#DIV/0!</v>
      </c>
      <c r="Z191" s="106" t="e">
        <f t="shared" si="320"/>
        <v>#DIV/0!</v>
      </c>
      <c r="AA191" s="106" t="e">
        <f t="shared" si="320"/>
        <v>#DIV/0!</v>
      </c>
      <c r="AB191" s="106" t="e">
        <f t="shared" si="320"/>
        <v>#DIV/0!</v>
      </c>
      <c r="AC191" s="106" t="e">
        <f t="shared" si="320"/>
        <v>#DIV/0!</v>
      </c>
      <c r="AD191" s="106" t="e">
        <f t="shared" si="320"/>
        <v>#DIV/0!</v>
      </c>
      <c r="AE191" s="106" t="e">
        <f t="shared" si="320"/>
        <v>#DIV/0!</v>
      </c>
      <c r="AF191" s="107" t="e">
        <f t="shared" si="320"/>
        <v>#DIV/0!</v>
      </c>
      <c r="AG191" s="107" t="e">
        <f t="shared" si="320"/>
        <v>#DIV/0!</v>
      </c>
      <c r="AH191" s="107" t="e">
        <f t="shared" si="320"/>
        <v>#DIV/0!</v>
      </c>
      <c r="AI191" s="108" t="e">
        <f t="shared" si="320"/>
        <v>#DIV/0!</v>
      </c>
      <c r="AJ191" s="109" t="e">
        <f t="shared" si="320"/>
        <v>#DIV/0!</v>
      </c>
      <c r="AK191" s="110" t="e">
        <f t="shared" si="320"/>
        <v>#DIV/0!</v>
      </c>
      <c r="AL191" s="105"/>
    </row>
    <row r="192" spans="1:38" ht="15.6" hidden="1" thickBot="1">
      <c r="A192" s="91"/>
      <c r="B192" s="100"/>
      <c r="C192" s="111"/>
      <c r="D192" s="112" t="s">
        <v>103</v>
      </c>
      <c r="E192" s="113" t="e">
        <f t="shared" ref="E192:R192" si="321">E190/E188</f>
        <v>#DIV/0!</v>
      </c>
      <c r="F192" s="113" t="e">
        <f t="shared" si="321"/>
        <v>#DIV/0!</v>
      </c>
      <c r="G192" s="113" t="e">
        <f t="shared" si="321"/>
        <v>#DIV/0!</v>
      </c>
      <c r="H192" s="113" t="e">
        <f t="shared" si="321"/>
        <v>#DIV/0!</v>
      </c>
      <c r="I192" s="113" t="e">
        <f t="shared" si="321"/>
        <v>#DIV/0!</v>
      </c>
      <c r="J192" s="113" t="e">
        <f t="shared" si="321"/>
        <v>#DIV/0!</v>
      </c>
      <c r="K192" s="113" t="e">
        <f t="shared" si="321"/>
        <v>#DIV/0!</v>
      </c>
      <c r="L192" s="113" t="e">
        <f t="shared" si="321"/>
        <v>#DIV/0!</v>
      </c>
      <c r="M192" s="113" t="e">
        <f t="shared" si="321"/>
        <v>#DIV/0!</v>
      </c>
      <c r="N192" s="113" t="e">
        <f t="shared" si="321"/>
        <v>#DIV/0!</v>
      </c>
      <c r="O192" s="113" t="e">
        <f t="shared" si="321"/>
        <v>#DIV/0!</v>
      </c>
      <c r="P192" s="114" t="e">
        <f t="shared" si="321"/>
        <v>#DIV/0!</v>
      </c>
      <c r="Q192" s="115" t="e">
        <f t="shared" si="321"/>
        <v>#DIV/0!</v>
      </c>
      <c r="R192" s="116" t="e">
        <f t="shared" si="321"/>
        <v>#DIV/0!</v>
      </c>
      <c r="T192" s="91"/>
      <c r="U192" s="100"/>
      <c r="V192" s="111"/>
      <c r="W192" s="112" t="s">
        <v>103</v>
      </c>
      <c r="X192" s="113" t="e">
        <f t="shared" ref="X192:AK192" si="322">X190/X188</f>
        <v>#DIV/0!</v>
      </c>
      <c r="Y192" s="113" t="e">
        <f t="shared" si="322"/>
        <v>#DIV/0!</v>
      </c>
      <c r="Z192" s="113" t="e">
        <f t="shared" si="322"/>
        <v>#DIV/0!</v>
      </c>
      <c r="AA192" s="113" t="e">
        <f t="shared" si="322"/>
        <v>#DIV/0!</v>
      </c>
      <c r="AB192" s="113" t="e">
        <f t="shared" si="322"/>
        <v>#DIV/0!</v>
      </c>
      <c r="AC192" s="113" t="e">
        <f t="shared" si="322"/>
        <v>#DIV/0!</v>
      </c>
      <c r="AD192" s="113" t="e">
        <f t="shared" si="322"/>
        <v>#DIV/0!</v>
      </c>
      <c r="AE192" s="113" t="e">
        <f t="shared" si="322"/>
        <v>#DIV/0!</v>
      </c>
      <c r="AF192" s="113" t="e">
        <f t="shared" si="322"/>
        <v>#DIV/0!</v>
      </c>
      <c r="AG192" s="113" t="e">
        <f t="shared" si="322"/>
        <v>#DIV/0!</v>
      </c>
      <c r="AH192" s="113" t="e">
        <f t="shared" si="322"/>
        <v>#DIV/0!</v>
      </c>
      <c r="AI192" s="114" t="e">
        <f t="shared" si="322"/>
        <v>#DIV/0!</v>
      </c>
      <c r="AJ192" s="115" t="e">
        <f t="shared" si="322"/>
        <v>#DIV/0!</v>
      </c>
      <c r="AK192" s="116" t="e">
        <f t="shared" si="322"/>
        <v>#DIV/0!</v>
      </c>
    </row>
    <row r="193" spans="1:38" ht="15.6" hidden="1" thickBot="1">
      <c r="A193" s="91"/>
      <c r="B193" s="100"/>
      <c r="C193" s="86"/>
      <c r="D193" s="87">
        <v>2019</v>
      </c>
      <c r="E193" s="88"/>
      <c r="F193" s="121"/>
      <c r="G193" s="121"/>
      <c r="H193" s="121"/>
      <c r="I193" s="121"/>
      <c r="J193" s="121"/>
      <c r="K193" s="121"/>
      <c r="L193" s="121"/>
      <c r="M193" s="122"/>
      <c r="N193" s="122"/>
      <c r="O193" s="122"/>
      <c r="P193" s="123"/>
      <c r="Q193" s="89">
        <f t="shared" ref="Q193:Q195" si="323">SUM(E193:P193)</f>
        <v>0</v>
      </c>
      <c r="R193" s="90">
        <f t="shared" ref="R193" si="324">SUM(E193:M193)</f>
        <v>0</v>
      </c>
      <c r="T193" s="91"/>
      <c r="U193" s="100"/>
      <c r="V193" s="86">
        <f t="shared" ref="V193:V194" si="325">C193</f>
        <v>0</v>
      </c>
      <c r="W193" s="87">
        <v>2019</v>
      </c>
      <c r="X193" s="88"/>
      <c r="Y193" s="121"/>
      <c r="Z193" s="121"/>
      <c r="AA193" s="121"/>
      <c r="AB193" s="121"/>
      <c r="AC193" s="121"/>
      <c r="AD193" s="121"/>
      <c r="AE193" s="121"/>
      <c r="AF193" s="122"/>
      <c r="AG193" s="122"/>
      <c r="AH193" s="122"/>
      <c r="AI193" s="123"/>
      <c r="AJ193" s="89">
        <f t="shared" ref="AJ193:AJ195" si="326">SUM(X193:AI193)</f>
        <v>0</v>
      </c>
      <c r="AK193" s="90">
        <f t="shared" ref="AK193:AK195" si="327">SUM(X193:AF193)</f>
        <v>0</v>
      </c>
    </row>
    <row r="194" spans="1:38" ht="15.6" hidden="1" thickBot="1">
      <c r="A194" s="91"/>
      <c r="B194" s="100"/>
      <c r="C194" s="92"/>
      <c r="D194" s="93" t="s">
        <v>92</v>
      </c>
      <c r="E194" s="94"/>
      <c r="F194" s="97"/>
      <c r="G194" s="97"/>
      <c r="H194" s="97"/>
      <c r="I194" s="97"/>
      <c r="J194" s="97"/>
      <c r="K194" s="97"/>
      <c r="L194" s="97"/>
      <c r="M194" s="98"/>
      <c r="N194" s="98"/>
      <c r="O194" s="98"/>
      <c r="P194" s="99"/>
      <c r="Q194" s="95">
        <f t="shared" si="323"/>
        <v>0</v>
      </c>
      <c r="R194" s="96">
        <f t="shared" si="225"/>
        <v>0</v>
      </c>
      <c r="T194" s="91"/>
      <c r="U194" s="100"/>
      <c r="V194" s="92">
        <f t="shared" si="325"/>
        <v>0</v>
      </c>
      <c r="W194" s="93" t="s">
        <v>92</v>
      </c>
      <c r="X194" s="94"/>
      <c r="Y194" s="97"/>
      <c r="Z194" s="97"/>
      <c r="AA194" s="97"/>
      <c r="AB194" s="97"/>
      <c r="AC194" s="97"/>
      <c r="AD194" s="97"/>
      <c r="AE194" s="97"/>
      <c r="AF194" s="98"/>
      <c r="AG194" s="98"/>
      <c r="AH194" s="98"/>
      <c r="AI194" s="99"/>
      <c r="AJ194" s="95">
        <f t="shared" si="326"/>
        <v>0</v>
      </c>
      <c r="AK194" s="96">
        <f t="shared" si="327"/>
        <v>0</v>
      </c>
    </row>
    <row r="195" spans="1:38" ht="15.6" hidden="1" thickBot="1">
      <c r="A195" s="91"/>
      <c r="B195" s="100"/>
      <c r="C195" s="92"/>
      <c r="D195" s="101">
        <v>2020</v>
      </c>
      <c r="E195" s="102"/>
      <c r="F195" s="124"/>
      <c r="G195" s="124"/>
      <c r="H195" s="124"/>
      <c r="I195" s="124"/>
      <c r="J195" s="124"/>
      <c r="K195" s="124"/>
      <c r="L195" s="124"/>
      <c r="M195" s="125"/>
      <c r="N195" s="125"/>
      <c r="O195" s="125"/>
      <c r="P195" s="126"/>
      <c r="Q195" s="103">
        <f t="shared" si="323"/>
        <v>0</v>
      </c>
      <c r="R195" s="104">
        <f t="shared" si="225"/>
        <v>0</v>
      </c>
      <c r="S195" s="105"/>
      <c r="T195" s="91"/>
      <c r="U195" s="100"/>
      <c r="V195" s="92"/>
      <c r="W195" s="101">
        <v>2020</v>
      </c>
      <c r="X195" s="102"/>
      <c r="Y195" s="124"/>
      <c r="Z195" s="124"/>
      <c r="AA195" s="124"/>
      <c r="AB195" s="124"/>
      <c r="AC195" s="124"/>
      <c r="AD195" s="124"/>
      <c r="AE195" s="124"/>
      <c r="AF195" s="125"/>
      <c r="AG195" s="125"/>
      <c r="AH195" s="125"/>
      <c r="AI195" s="126"/>
      <c r="AJ195" s="103">
        <f t="shared" si="326"/>
        <v>0</v>
      </c>
      <c r="AK195" s="104">
        <f t="shared" si="327"/>
        <v>0</v>
      </c>
      <c r="AL195" s="105"/>
    </row>
    <row r="196" spans="1:38" ht="15.6" hidden="1" thickBot="1">
      <c r="A196" s="91"/>
      <c r="B196" s="100"/>
      <c r="C196" s="92"/>
      <c r="D196" s="101" t="s">
        <v>102</v>
      </c>
      <c r="E196" s="106" t="e">
        <f t="shared" ref="E196:R196" si="328">E195/E194</f>
        <v>#DIV/0!</v>
      </c>
      <c r="F196" s="106" t="e">
        <f t="shared" si="328"/>
        <v>#DIV/0!</v>
      </c>
      <c r="G196" s="106" t="e">
        <f t="shared" si="328"/>
        <v>#DIV/0!</v>
      </c>
      <c r="H196" s="106" t="e">
        <f t="shared" si="328"/>
        <v>#DIV/0!</v>
      </c>
      <c r="I196" s="106" t="e">
        <f t="shared" si="328"/>
        <v>#DIV/0!</v>
      </c>
      <c r="J196" s="106" t="e">
        <f t="shared" si="328"/>
        <v>#DIV/0!</v>
      </c>
      <c r="K196" s="106" t="e">
        <f t="shared" si="328"/>
        <v>#DIV/0!</v>
      </c>
      <c r="L196" s="106" t="e">
        <f t="shared" si="328"/>
        <v>#DIV/0!</v>
      </c>
      <c r="M196" s="107" t="e">
        <f t="shared" si="328"/>
        <v>#DIV/0!</v>
      </c>
      <c r="N196" s="107" t="e">
        <f t="shared" si="328"/>
        <v>#DIV/0!</v>
      </c>
      <c r="O196" s="107" t="e">
        <f t="shared" si="328"/>
        <v>#DIV/0!</v>
      </c>
      <c r="P196" s="108" t="e">
        <f t="shared" si="328"/>
        <v>#DIV/0!</v>
      </c>
      <c r="Q196" s="109" t="e">
        <f t="shared" si="328"/>
        <v>#DIV/0!</v>
      </c>
      <c r="R196" s="110" t="e">
        <f t="shared" si="328"/>
        <v>#DIV/0!</v>
      </c>
      <c r="S196" s="105"/>
      <c r="T196" s="91"/>
      <c r="U196" s="100"/>
      <c r="V196" s="92"/>
      <c r="W196" s="101" t="s">
        <v>102</v>
      </c>
      <c r="X196" s="106" t="e">
        <f t="shared" ref="X196:AK196" si="329">X195/X194</f>
        <v>#DIV/0!</v>
      </c>
      <c r="Y196" s="106" t="e">
        <f t="shared" si="329"/>
        <v>#DIV/0!</v>
      </c>
      <c r="Z196" s="106" t="e">
        <f t="shared" si="329"/>
        <v>#DIV/0!</v>
      </c>
      <c r="AA196" s="106" t="e">
        <f t="shared" si="329"/>
        <v>#DIV/0!</v>
      </c>
      <c r="AB196" s="106" t="e">
        <f t="shared" si="329"/>
        <v>#DIV/0!</v>
      </c>
      <c r="AC196" s="106" t="e">
        <f t="shared" si="329"/>
        <v>#DIV/0!</v>
      </c>
      <c r="AD196" s="106" t="e">
        <f t="shared" si="329"/>
        <v>#DIV/0!</v>
      </c>
      <c r="AE196" s="106" t="e">
        <f t="shared" si="329"/>
        <v>#DIV/0!</v>
      </c>
      <c r="AF196" s="107" t="e">
        <f t="shared" si="329"/>
        <v>#DIV/0!</v>
      </c>
      <c r="AG196" s="107" t="e">
        <f t="shared" si="329"/>
        <v>#DIV/0!</v>
      </c>
      <c r="AH196" s="107" t="e">
        <f t="shared" si="329"/>
        <v>#DIV/0!</v>
      </c>
      <c r="AI196" s="108" t="e">
        <f t="shared" si="329"/>
        <v>#DIV/0!</v>
      </c>
      <c r="AJ196" s="109" t="e">
        <f t="shared" si="329"/>
        <v>#DIV/0!</v>
      </c>
      <c r="AK196" s="110" t="e">
        <f t="shared" si="329"/>
        <v>#DIV/0!</v>
      </c>
      <c r="AL196" s="105"/>
    </row>
    <row r="197" spans="1:38" ht="15.6" hidden="1" thickBot="1">
      <c r="A197" s="91"/>
      <c r="B197" s="100"/>
      <c r="C197" s="111"/>
      <c r="D197" s="112" t="s">
        <v>103</v>
      </c>
      <c r="E197" s="113" t="e">
        <f t="shared" ref="E197:R197" si="330">E195/E193</f>
        <v>#DIV/0!</v>
      </c>
      <c r="F197" s="113" t="e">
        <f t="shared" si="330"/>
        <v>#DIV/0!</v>
      </c>
      <c r="G197" s="113" t="e">
        <f t="shared" si="330"/>
        <v>#DIV/0!</v>
      </c>
      <c r="H197" s="113" t="e">
        <f t="shared" si="330"/>
        <v>#DIV/0!</v>
      </c>
      <c r="I197" s="113" t="e">
        <f t="shared" si="330"/>
        <v>#DIV/0!</v>
      </c>
      <c r="J197" s="113" t="e">
        <f t="shared" si="330"/>
        <v>#DIV/0!</v>
      </c>
      <c r="K197" s="113" t="e">
        <f t="shared" si="330"/>
        <v>#DIV/0!</v>
      </c>
      <c r="L197" s="113" t="e">
        <f t="shared" si="330"/>
        <v>#DIV/0!</v>
      </c>
      <c r="M197" s="113" t="e">
        <f t="shared" si="330"/>
        <v>#DIV/0!</v>
      </c>
      <c r="N197" s="113" t="e">
        <f t="shared" si="330"/>
        <v>#DIV/0!</v>
      </c>
      <c r="O197" s="113" t="e">
        <f t="shared" si="330"/>
        <v>#DIV/0!</v>
      </c>
      <c r="P197" s="114" t="e">
        <f t="shared" si="330"/>
        <v>#DIV/0!</v>
      </c>
      <c r="Q197" s="115" t="e">
        <f t="shared" si="330"/>
        <v>#DIV/0!</v>
      </c>
      <c r="R197" s="116" t="e">
        <f t="shared" si="330"/>
        <v>#DIV/0!</v>
      </c>
      <c r="T197" s="91"/>
      <c r="U197" s="100"/>
      <c r="V197" s="111"/>
      <c r="W197" s="112" t="s">
        <v>103</v>
      </c>
      <c r="X197" s="113" t="e">
        <f t="shared" ref="X197:AK197" si="331">X195/X193</f>
        <v>#DIV/0!</v>
      </c>
      <c r="Y197" s="113" t="e">
        <f t="shared" si="331"/>
        <v>#DIV/0!</v>
      </c>
      <c r="Z197" s="113" t="e">
        <f t="shared" si="331"/>
        <v>#DIV/0!</v>
      </c>
      <c r="AA197" s="113" t="e">
        <f t="shared" si="331"/>
        <v>#DIV/0!</v>
      </c>
      <c r="AB197" s="113" t="e">
        <f t="shared" si="331"/>
        <v>#DIV/0!</v>
      </c>
      <c r="AC197" s="113" t="e">
        <f t="shared" si="331"/>
        <v>#DIV/0!</v>
      </c>
      <c r="AD197" s="113" t="e">
        <f t="shared" si="331"/>
        <v>#DIV/0!</v>
      </c>
      <c r="AE197" s="113" t="e">
        <f t="shared" si="331"/>
        <v>#DIV/0!</v>
      </c>
      <c r="AF197" s="113" t="e">
        <f t="shared" si="331"/>
        <v>#DIV/0!</v>
      </c>
      <c r="AG197" s="113" t="e">
        <f t="shared" si="331"/>
        <v>#DIV/0!</v>
      </c>
      <c r="AH197" s="113" t="e">
        <f t="shared" si="331"/>
        <v>#DIV/0!</v>
      </c>
      <c r="AI197" s="114" t="e">
        <f t="shared" si="331"/>
        <v>#DIV/0!</v>
      </c>
      <c r="AJ197" s="115" t="e">
        <f t="shared" si="331"/>
        <v>#DIV/0!</v>
      </c>
      <c r="AK197" s="116" t="e">
        <f t="shared" si="331"/>
        <v>#DIV/0!</v>
      </c>
    </row>
    <row r="198" spans="1:38" ht="15.6" hidden="1" thickBot="1">
      <c r="A198" s="91"/>
      <c r="B198" s="100"/>
      <c r="C198" s="86"/>
      <c r="D198" s="87">
        <v>2019</v>
      </c>
      <c r="E198" s="88"/>
      <c r="F198" s="121"/>
      <c r="G198" s="121"/>
      <c r="H198" s="121"/>
      <c r="I198" s="121"/>
      <c r="J198" s="121"/>
      <c r="K198" s="121"/>
      <c r="L198" s="121"/>
      <c r="M198" s="122"/>
      <c r="N198" s="122"/>
      <c r="O198" s="122"/>
      <c r="P198" s="123"/>
      <c r="Q198" s="89">
        <f t="shared" ref="Q198:Q200" si="332">SUM(E198:P198)</f>
        <v>0</v>
      </c>
      <c r="R198" s="90">
        <f t="shared" ref="R198" si="333">SUM(E198:M198)</f>
        <v>0</v>
      </c>
      <c r="T198" s="91"/>
      <c r="U198" s="100"/>
      <c r="V198" s="86">
        <f t="shared" ref="V198:V199" si="334">C198</f>
        <v>0</v>
      </c>
      <c r="W198" s="87">
        <v>2019</v>
      </c>
      <c r="X198" s="88"/>
      <c r="Y198" s="121"/>
      <c r="Z198" s="121"/>
      <c r="AA198" s="121"/>
      <c r="AB198" s="121"/>
      <c r="AC198" s="121"/>
      <c r="AD198" s="121"/>
      <c r="AE198" s="121"/>
      <c r="AF198" s="122"/>
      <c r="AG198" s="122"/>
      <c r="AH198" s="122"/>
      <c r="AI198" s="123"/>
      <c r="AJ198" s="89">
        <f t="shared" ref="AJ198:AJ200" si="335">SUM(X198:AI198)</f>
        <v>0</v>
      </c>
      <c r="AK198" s="90">
        <f t="shared" ref="AK198:AK200" si="336">SUM(X198:AF198)</f>
        <v>0</v>
      </c>
    </row>
    <row r="199" spans="1:38" ht="15.6" hidden="1" thickBot="1">
      <c r="A199" s="91"/>
      <c r="B199" s="100"/>
      <c r="C199" s="92"/>
      <c r="D199" s="93" t="s">
        <v>92</v>
      </c>
      <c r="E199" s="94"/>
      <c r="F199" s="97"/>
      <c r="G199" s="97"/>
      <c r="H199" s="97"/>
      <c r="I199" s="97"/>
      <c r="J199" s="97"/>
      <c r="K199" s="97"/>
      <c r="L199" s="97"/>
      <c r="M199" s="98"/>
      <c r="N199" s="98"/>
      <c r="O199" s="98"/>
      <c r="P199" s="99"/>
      <c r="Q199" s="95">
        <f t="shared" si="332"/>
        <v>0</v>
      </c>
      <c r="R199" s="96">
        <f t="shared" si="225"/>
        <v>0</v>
      </c>
      <c r="T199" s="91"/>
      <c r="U199" s="100"/>
      <c r="V199" s="92">
        <f t="shared" si="334"/>
        <v>0</v>
      </c>
      <c r="W199" s="93" t="s">
        <v>92</v>
      </c>
      <c r="X199" s="94"/>
      <c r="Y199" s="97"/>
      <c r="Z199" s="97"/>
      <c r="AA199" s="97"/>
      <c r="AB199" s="97"/>
      <c r="AC199" s="97"/>
      <c r="AD199" s="97"/>
      <c r="AE199" s="97"/>
      <c r="AF199" s="98"/>
      <c r="AG199" s="98"/>
      <c r="AH199" s="98"/>
      <c r="AI199" s="99"/>
      <c r="AJ199" s="95">
        <f t="shared" si="335"/>
        <v>0</v>
      </c>
      <c r="AK199" s="96">
        <f t="shared" si="336"/>
        <v>0</v>
      </c>
    </row>
    <row r="200" spans="1:38" ht="15.6" hidden="1" thickBot="1">
      <c r="A200" s="91"/>
      <c r="B200" s="100"/>
      <c r="C200" s="92"/>
      <c r="D200" s="101">
        <v>2020</v>
      </c>
      <c r="E200" s="102"/>
      <c r="F200" s="124"/>
      <c r="G200" s="124"/>
      <c r="H200" s="124"/>
      <c r="I200" s="124"/>
      <c r="J200" s="124"/>
      <c r="K200" s="124"/>
      <c r="L200" s="124"/>
      <c r="M200" s="125"/>
      <c r="N200" s="125"/>
      <c r="O200" s="125"/>
      <c r="P200" s="126"/>
      <c r="Q200" s="103">
        <f t="shared" si="332"/>
        <v>0</v>
      </c>
      <c r="R200" s="104">
        <f t="shared" si="225"/>
        <v>0</v>
      </c>
      <c r="S200" s="105"/>
      <c r="T200" s="91"/>
      <c r="U200" s="100"/>
      <c r="V200" s="92"/>
      <c r="W200" s="101">
        <v>2020</v>
      </c>
      <c r="X200" s="102"/>
      <c r="Y200" s="124"/>
      <c r="Z200" s="124"/>
      <c r="AA200" s="124"/>
      <c r="AB200" s="124"/>
      <c r="AC200" s="124"/>
      <c r="AD200" s="124"/>
      <c r="AE200" s="124"/>
      <c r="AF200" s="125"/>
      <c r="AG200" s="125"/>
      <c r="AH200" s="125"/>
      <c r="AI200" s="126"/>
      <c r="AJ200" s="103">
        <f t="shared" si="335"/>
        <v>0</v>
      </c>
      <c r="AK200" s="104">
        <f t="shared" si="336"/>
        <v>0</v>
      </c>
      <c r="AL200" s="105"/>
    </row>
    <row r="201" spans="1:38" ht="15.6" hidden="1" thickBot="1">
      <c r="A201" s="91"/>
      <c r="B201" s="100"/>
      <c r="C201" s="92"/>
      <c r="D201" s="101" t="s">
        <v>102</v>
      </c>
      <c r="E201" s="106" t="e">
        <f t="shared" ref="E201:R201" si="337">E200/E199</f>
        <v>#DIV/0!</v>
      </c>
      <c r="F201" s="106" t="e">
        <f t="shared" si="337"/>
        <v>#DIV/0!</v>
      </c>
      <c r="G201" s="106" t="e">
        <f t="shared" si="337"/>
        <v>#DIV/0!</v>
      </c>
      <c r="H201" s="106" t="e">
        <f t="shared" si="337"/>
        <v>#DIV/0!</v>
      </c>
      <c r="I201" s="106" t="e">
        <f t="shared" si="337"/>
        <v>#DIV/0!</v>
      </c>
      <c r="J201" s="106" t="e">
        <f t="shared" si="337"/>
        <v>#DIV/0!</v>
      </c>
      <c r="K201" s="106" t="e">
        <f t="shared" si="337"/>
        <v>#DIV/0!</v>
      </c>
      <c r="L201" s="106" t="e">
        <f t="shared" si="337"/>
        <v>#DIV/0!</v>
      </c>
      <c r="M201" s="107" t="e">
        <f t="shared" si="337"/>
        <v>#DIV/0!</v>
      </c>
      <c r="N201" s="107" t="e">
        <f t="shared" si="337"/>
        <v>#DIV/0!</v>
      </c>
      <c r="O201" s="107" t="e">
        <f t="shared" si="337"/>
        <v>#DIV/0!</v>
      </c>
      <c r="P201" s="108" t="e">
        <f t="shared" si="337"/>
        <v>#DIV/0!</v>
      </c>
      <c r="Q201" s="109" t="e">
        <f t="shared" si="337"/>
        <v>#DIV/0!</v>
      </c>
      <c r="R201" s="110" t="e">
        <f t="shared" si="337"/>
        <v>#DIV/0!</v>
      </c>
      <c r="S201" s="105"/>
      <c r="T201" s="91"/>
      <c r="U201" s="100"/>
      <c r="V201" s="92"/>
      <c r="W201" s="101" t="s">
        <v>102</v>
      </c>
      <c r="X201" s="106" t="e">
        <f t="shared" ref="X201:AK201" si="338">X200/X199</f>
        <v>#DIV/0!</v>
      </c>
      <c r="Y201" s="106" t="e">
        <f t="shared" si="338"/>
        <v>#DIV/0!</v>
      </c>
      <c r="Z201" s="106" t="e">
        <f t="shared" si="338"/>
        <v>#DIV/0!</v>
      </c>
      <c r="AA201" s="106" t="e">
        <f t="shared" si="338"/>
        <v>#DIV/0!</v>
      </c>
      <c r="AB201" s="106" t="e">
        <f t="shared" si="338"/>
        <v>#DIV/0!</v>
      </c>
      <c r="AC201" s="106" t="e">
        <f t="shared" si="338"/>
        <v>#DIV/0!</v>
      </c>
      <c r="AD201" s="106" t="e">
        <f t="shared" si="338"/>
        <v>#DIV/0!</v>
      </c>
      <c r="AE201" s="106" t="e">
        <f t="shared" si="338"/>
        <v>#DIV/0!</v>
      </c>
      <c r="AF201" s="107" t="e">
        <f t="shared" si="338"/>
        <v>#DIV/0!</v>
      </c>
      <c r="AG201" s="107" t="e">
        <f t="shared" si="338"/>
        <v>#DIV/0!</v>
      </c>
      <c r="AH201" s="107" t="e">
        <f t="shared" si="338"/>
        <v>#DIV/0!</v>
      </c>
      <c r="AI201" s="108" t="e">
        <f t="shared" si="338"/>
        <v>#DIV/0!</v>
      </c>
      <c r="AJ201" s="109" t="e">
        <f t="shared" si="338"/>
        <v>#DIV/0!</v>
      </c>
      <c r="AK201" s="110" t="e">
        <f t="shared" si="338"/>
        <v>#DIV/0!</v>
      </c>
      <c r="AL201" s="105"/>
    </row>
    <row r="202" spans="1:38" ht="15.6" hidden="1" thickBot="1">
      <c r="A202" s="91"/>
      <c r="B202" s="100"/>
      <c r="C202" s="111"/>
      <c r="D202" s="112" t="s">
        <v>103</v>
      </c>
      <c r="E202" s="113" t="e">
        <f t="shared" ref="E202:R202" si="339">E200/E198</f>
        <v>#DIV/0!</v>
      </c>
      <c r="F202" s="113" t="e">
        <f t="shared" si="339"/>
        <v>#DIV/0!</v>
      </c>
      <c r="G202" s="113" t="e">
        <f t="shared" si="339"/>
        <v>#DIV/0!</v>
      </c>
      <c r="H202" s="113" t="e">
        <f t="shared" si="339"/>
        <v>#DIV/0!</v>
      </c>
      <c r="I202" s="113" t="e">
        <f t="shared" si="339"/>
        <v>#DIV/0!</v>
      </c>
      <c r="J202" s="113" t="e">
        <f t="shared" si="339"/>
        <v>#DIV/0!</v>
      </c>
      <c r="K202" s="113" t="e">
        <f t="shared" si="339"/>
        <v>#DIV/0!</v>
      </c>
      <c r="L202" s="113" t="e">
        <f t="shared" si="339"/>
        <v>#DIV/0!</v>
      </c>
      <c r="M202" s="113" t="e">
        <f t="shared" si="339"/>
        <v>#DIV/0!</v>
      </c>
      <c r="N202" s="113" t="e">
        <f t="shared" si="339"/>
        <v>#DIV/0!</v>
      </c>
      <c r="O202" s="113" t="e">
        <f t="shared" si="339"/>
        <v>#DIV/0!</v>
      </c>
      <c r="P202" s="114" t="e">
        <f t="shared" si="339"/>
        <v>#DIV/0!</v>
      </c>
      <c r="Q202" s="115" t="e">
        <f t="shared" si="339"/>
        <v>#DIV/0!</v>
      </c>
      <c r="R202" s="116" t="e">
        <f t="shared" si="339"/>
        <v>#DIV/0!</v>
      </c>
      <c r="T202" s="91"/>
      <c r="U202" s="100"/>
      <c r="V202" s="111"/>
      <c r="W202" s="112" t="s">
        <v>103</v>
      </c>
      <c r="X202" s="113" t="e">
        <f t="shared" ref="X202:AK202" si="340">X200/X198</f>
        <v>#DIV/0!</v>
      </c>
      <c r="Y202" s="113" t="e">
        <f t="shared" si="340"/>
        <v>#DIV/0!</v>
      </c>
      <c r="Z202" s="113" t="e">
        <f t="shared" si="340"/>
        <v>#DIV/0!</v>
      </c>
      <c r="AA202" s="113" t="e">
        <f t="shared" si="340"/>
        <v>#DIV/0!</v>
      </c>
      <c r="AB202" s="113" t="e">
        <f t="shared" si="340"/>
        <v>#DIV/0!</v>
      </c>
      <c r="AC202" s="113" t="e">
        <f t="shared" si="340"/>
        <v>#DIV/0!</v>
      </c>
      <c r="AD202" s="113" t="e">
        <f t="shared" si="340"/>
        <v>#DIV/0!</v>
      </c>
      <c r="AE202" s="113" t="e">
        <f t="shared" si="340"/>
        <v>#DIV/0!</v>
      </c>
      <c r="AF202" s="113" t="e">
        <f t="shared" si="340"/>
        <v>#DIV/0!</v>
      </c>
      <c r="AG202" s="113" t="e">
        <f t="shared" si="340"/>
        <v>#DIV/0!</v>
      </c>
      <c r="AH202" s="113" t="e">
        <f t="shared" si="340"/>
        <v>#DIV/0!</v>
      </c>
      <c r="AI202" s="114" t="e">
        <f t="shared" si="340"/>
        <v>#DIV/0!</v>
      </c>
      <c r="AJ202" s="115" t="e">
        <f t="shared" si="340"/>
        <v>#DIV/0!</v>
      </c>
      <c r="AK202" s="116" t="e">
        <f t="shared" si="340"/>
        <v>#DIV/0!</v>
      </c>
    </row>
    <row r="203" spans="1:38" ht="15.6" hidden="1" thickBot="1">
      <c r="A203" s="91"/>
      <c r="B203" s="100"/>
      <c r="C203" s="86"/>
      <c r="D203" s="87">
        <v>2019</v>
      </c>
      <c r="E203" s="88"/>
      <c r="F203" s="121"/>
      <c r="G203" s="121"/>
      <c r="H203" s="121"/>
      <c r="I203" s="121"/>
      <c r="J203" s="121"/>
      <c r="K203" s="121"/>
      <c r="L203" s="121"/>
      <c r="M203" s="122"/>
      <c r="N203" s="122"/>
      <c r="O203" s="122"/>
      <c r="P203" s="123"/>
      <c r="Q203" s="89">
        <f t="shared" ref="Q203:Q205" si="341">SUM(E203:P203)</f>
        <v>0</v>
      </c>
      <c r="R203" s="90">
        <f t="shared" ref="R203:R265" si="342">SUM(E203:M203)</f>
        <v>0</v>
      </c>
      <c r="T203" s="91"/>
      <c r="U203" s="100"/>
      <c r="V203" s="86">
        <f t="shared" ref="V203:V204" si="343">C203</f>
        <v>0</v>
      </c>
      <c r="W203" s="87">
        <v>2019</v>
      </c>
      <c r="X203" s="88"/>
      <c r="Y203" s="121"/>
      <c r="Z203" s="121"/>
      <c r="AA203" s="121"/>
      <c r="AB203" s="121"/>
      <c r="AC203" s="121"/>
      <c r="AD203" s="121"/>
      <c r="AE203" s="121"/>
      <c r="AF203" s="122"/>
      <c r="AG203" s="122"/>
      <c r="AH203" s="122"/>
      <c r="AI203" s="123"/>
      <c r="AJ203" s="89">
        <f t="shared" ref="AJ203:AJ205" si="344">SUM(X203:AI203)</f>
        <v>0</v>
      </c>
      <c r="AK203" s="90">
        <f t="shared" ref="AK203:AK205" si="345">SUM(X203:AF203)</f>
        <v>0</v>
      </c>
    </row>
    <row r="204" spans="1:38" ht="15.6" hidden="1" thickBot="1">
      <c r="A204" s="91"/>
      <c r="B204" s="100"/>
      <c r="C204" s="92"/>
      <c r="D204" s="93" t="s">
        <v>92</v>
      </c>
      <c r="E204" s="94"/>
      <c r="F204" s="97"/>
      <c r="G204" s="97"/>
      <c r="H204" s="97"/>
      <c r="I204" s="97"/>
      <c r="J204" s="97"/>
      <c r="K204" s="97"/>
      <c r="L204" s="97"/>
      <c r="M204" s="98"/>
      <c r="N204" s="98"/>
      <c r="O204" s="98"/>
      <c r="P204" s="99"/>
      <c r="Q204" s="95">
        <f t="shared" si="341"/>
        <v>0</v>
      </c>
      <c r="R204" s="96">
        <f t="shared" si="342"/>
        <v>0</v>
      </c>
      <c r="T204" s="91"/>
      <c r="U204" s="100"/>
      <c r="V204" s="92">
        <f t="shared" si="343"/>
        <v>0</v>
      </c>
      <c r="W204" s="93" t="s">
        <v>92</v>
      </c>
      <c r="X204" s="94"/>
      <c r="Y204" s="97"/>
      <c r="Z204" s="97"/>
      <c r="AA204" s="97"/>
      <c r="AB204" s="97"/>
      <c r="AC204" s="97"/>
      <c r="AD204" s="97"/>
      <c r="AE204" s="97"/>
      <c r="AF204" s="98"/>
      <c r="AG204" s="98"/>
      <c r="AH204" s="98"/>
      <c r="AI204" s="99"/>
      <c r="AJ204" s="95">
        <f t="shared" si="344"/>
        <v>0</v>
      </c>
      <c r="AK204" s="96">
        <f t="shared" si="345"/>
        <v>0</v>
      </c>
    </row>
    <row r="205" spans="1:38" ht="15.6" hidden="1" thickBot="1">
      <c r="A205" s="91"/>
      <c r="B205" s="100"/>
      <c r="C205" s="92"/>
      <c r="D205" s="101">
        <v>2020</v>
      </c>
      <c r="E205" s="102"/>
      <c r="F205" s="124"/>
      <c r="G205" s="124"/>
      <c r="H205" s="124"/>
      <c r="I205" s="124"/>
      <c r="J205" s="124"/>
      <c r="K205" s="124"/>
      <c r="L205" s="124"/>
      <c r="M205" s="125"/>
      <c r="N205" s="125"/>
      <c r="O205" s="125"/>
      <c r="P205" s="126"/>
      <c r="Q205" s="103">
        <f t="shared" si="341"/>
        <v>0</v>
      </c>
      <c r="R205" s="104">
        <f t="shared" si="342"/>
        <v>0</v>
      </c>
      <c r="S205" s="105"/>
      <c r="T205" s="91"/>
      <c r="U205" s="100"/>
      <c r="V205" s="92"/>
      <c r="W205" s="101">
        <v>2020</v>
      </c>
      <c r="X205" s="102"/>
      <c r="Y205" s="124"/>
      <c r="Z205" s="124"/>
      <c r="AA205" s="124"/>
      <c r="AB205" s="124"/>
      <c r="AC205" s="124"/>
      <c r="AD205" s="124"/>
      <c r="AE205" s="124"/>
      <c r="AF205" s="125"/>
      <c r="AG205" s="125"/>
      <c r="AH205" s="125"/>
      <c r="AI205" s="126"/>
      <c r="AJ205" s="103">
        <f t="shared" si="344"/>
        <v>0</v>
      </c>
      <c r="AK205" s="104">
        <f t="shared" si="345"/>
        <v>0</v>
      </c>
      <c r="AL205" s="105"/>
    </row>
    <row r="206" spans="1:38" ht="15.6" hidden="1" thickBot="1">
      <c r="A206" s="91"/>
      <c r="B206" s="100"/>
      <c r="C206" s="92"/>
      <c r="D206" s="101" t="s">
        <v>102</v>
      </c>
      <c r="E206" s="106" t="e">
        <f t="shared" ref="E206:R206" si="346">E205/E204</f>
        <v>#DIV/0!</v>
      </c>
      <c r="F206" s="106" t="e">
        <f t="shared" si="346"/>
        <v>#DIV/0!</v>
      </c>
      <c r="G206" s="106" t="e">
        <f t="shared" si="346"/>
        <v>#DIV/0!</v>
      </c>
      <c r="H206" s="106" t="e">
        <f t="shared" si="346"/>
        <v>#DIV/0!</v>
      </c>
      <c r="I206" s="106" t="e">
        <f t="shared" si="346"/>
        <v>#DIV/0!</v>
      </c>
      <c r="J206" s="106" t="e">
        <f t="shared" si="346"/>
        <v>#DIV/0!</v>
      </c>
      <c r="K206" s="106" t="e">
        <f t="shared" si="346"/>
        <v>#DIV/0!</v>
      </c>
      <c r="L206" s="106" t="e">
        <f t="shared" si="346"/>
        <v>#DIV/0!</v>
      </c>
      <c r="M206" s="107" t="e">
        <f t="shared" si="346"/>
        <v>#DIV/0!</v>
      </c>
      <c r="N206" s="107" t="e">
        <f t="shared" si="346"/>
        <v>#DIV/0!</v>
      </c>
      <c r="O206" s="107" t="e">
        <f t="shared" si="346"/>
        <v>#DIV/0!</v>
      </c>
      <c r="P206" s="108" t="e">
        <f t="shared" si="346"/>
        <v>#DIV/0!</v>
      </c>
      <c r="Q206" s="109" t="e">
        <f t="shared" si="346"/>
        <v>#DIV/0!</v>
      </c>
      <c r="R206" s="110" t="e">
        <f t="shared" si="346"/>
        <v>#DIV/0!</v>
      </c>
      <c r="S206" s="105"/>
      <c r="T206" s="91"/>
      <c r="U206" s="100"/>
      <c r="V206" s="92"/>
      <c r="W206" s="101" t="s">
        <v>102</v>
      </c>
      <c r="X206" s="106" t="e">
        <f t="shared" ref="X206:AK206" si="347">X205/X204</f>
        <v>#DIV/0!</v>
      </c>
      <c r="Y206" s="106" t="e">
        <f t="shared" si="347"/>
        <v>#DIV/0!</v>
      </c>
      <c r="Z206" s="106" t="e">
        <f t="shared" si="347"/>
        <v>#DIV/0!</v>
      </c>
      <c r="AA206" s="106" t="e">
        <f t="shared" si="347"/>
        <v>#DIV/0!</v>
      </c>
      <c r="AB206" s="106" t="e">
        <f t="shared" si="347"/>
        <v>#DIV/0!</v>
      </c>
      <c r="AC206" s="106" t="e">
        <f t="shared" si="347"/>
        <v>#DIV/0!</v>
      </c>
      <c r="AD206" s="106" t="e">
        <f t="shared" si="347"/>
        <v>#DIV/0!</v>
      </c>
      <c r="AE206" s="106" t="e">
        <f t="shared" si="347"/>
        <v>#DIV/0!</v>
      </c>
      <c r="AF206" s="107" t="e">
        <f t="shared" si="347"/>
        <v>#DIV/0!</v>
      </c>
      <c r="AG206" s="107" t="e">
        <f t="shared" si="347"/>
        <v>#DIV/0!</v>
      </c>
      <c r="AH206" s="107" t="e">
        <f t="shared" si="347"/>
        <v>#DIV/0!</v>
      </c>
      <c r="AI206" s="108" t="e">
        <f t="shared" si="347"/>
        <v>#DIV/0!</v>
      </c>
      <c r="AJ206" s="109" t="e">
        <f t="shared" si="347"/>
        <v>#DIV/0!</v>
      </c>
      <c r="AK206" s="110" t="e">
        <f t="shared" si="347"/>
        <v>#DIV/0!</v>
      </c>
      <c r="AL206" s="105"/>
    </row>
    <row r="207" spans="1:38" ht="15.6" hidden="1" thickBot="1">
      <c r="A207" s="91"/>
      <c r="B207" s="100"/>
      <c r="C207" s="111"/>
      <c r="D207" s="112" t="s">
        <v>103</v>
      </c>
      <c r="E207" s="113" t="e">
        <f t="shared" ref="E207:R207" si="348">E205/E203</f>
        <v>#DIV/0!</v>
      </c>
      <c r="F207" s="113" t="e">
        <f t="shared" si="348"/>
        <v>#DIV/0!</v>
      </c>
      <c r="G207" s="113" t="e">
        <f t="shared" si="348"/>
        <v>#DIV/0!</v>
      </c>
      <c r="H207" s="113" t="e">
        <f t="shared" si="348"/>
        <v>#DIV/0!</v>
      </c>
      <c r="I207" s="113" t="e">
        <f t="shared" si="348"/>
        <v>#DIV/0!</v>
      </c>
      <c r="J207" s="113" t="e">
        <f t="shared" si="348"/>
        <v>#DIV/0!</v>
      </c>
      <c r="K207" s="113" t="e">
        <f t="shared" si="348"/>
        <v>#DIV/0!</v>
      </c>
      <c r="L207" s="113" t="e">
        <f t="shared" si="348"/>
        <v>#DIV/0!</v>
      </c>
      <c r="M207" s="113" t="e">
        <f t="shared" si="348"/>
        <v>#DIV/0!</v>
      </c>
      <c r="N207" s="113" t="e">
        <f t="shared" si="348"/>
        <v>#DIV/0!</v>
      </c>
      <c r="O207" s="113" t="e">
        <f t="shared" si="348"/>
        <v>#DIV/0!</v>
      </c>
      <c r="P207" s="114" t="e">
        <f t="shared" si="348"/>
        <v>#DIV/0!</v>
      </c>
      <c r="Q207" s="115" t="e">
        <f t="shared" si="348"/>
        <v>#DIV/0!</v>
      </c>
      <c r="R207" s="116" t="e">
        <f t="shared" si="348"/>
        <v>#DIV/0!</v>
      </c>
      <c r="T207" s="91"/>
      <c r="U207" s="100"/>
      <c r="V207" s="111"/>
      <c r="W207" s="112" t="s">
        <v>103</v>
      </c>
      <c r="X207" s="113" t="e">
        <f t="shared" ref="X207:AK207" si="349">X205/X203</f>
        <v>#DIV/0!</v>
      </c>
      <c r="Y207" s="113" t="e">
        <f t="shared" si="349"/>
        <v>#DIV/0!</v>
      </c>
      <c r="Z207" s="113" t="e">
        <f t="shared" si="349"/>
        <v>#DIV/0!</v>
      </c>
      <c r="AA207" s="113" t="e">
        <f t="shared" si="349"/>
        <v>#DIV/0!</v>
      </c>
      <c r="AB207" s="113" t="e">
        <f t="shared" si="349"/>
        <v>#DIV/0!</v>
      </c>
      <c r="AC207" s="113" t="e">
        <f t="shared" si="349"/>
        <v>#DIV/0!</v>
      </c>
      <c r="AD207" s="113" t="e">
        <f t="shared" si="349"/>
        <v>#DIV/0!</v>
      </c>
      <c r="AE207" s="113" t="e">
        <f t="shared" si="349"/>
        <v>#DIV/0!</v>
      </c>
      <c r="AF207" s="113" t="e">
        <f t="shared" si="349"/>
        <v>#DIV/0!</v>
      </c>
      <c r="AG207" s="113" t="e">
        <f t="shared" si="349"/>
        <v>#DIV/0!</v>
      </c>
      <c r="AH207" s="113" t="e">
        <f t="shared" si="349"/>
        <v>#DIV/0!</v>
      </c>
      <c r="AI207" s="114" t="e">
        <f t="shared" si="349"/>
        <v>#DIV/0!</v>
      </c>
      <c r="AJ207" s="115" t="e">
        <f t="shared" si="349"/>
        <v>#DIV/0!</v>
      </c>
      <c r="AK207" s="116" t="e">
        <f t="shared" si="349"/>
        <v>#DIV/0!</v>
      </c>
    </row>
    <row r="208" spans="1:38" ht="15.6" hidden="1" thickBot="1">
      <c r="A208" s="91"/>
      <c r="B208" s="100"/>
      <c r="C208" s="86"/>
      <c r="D208" s="87">
        <v>2019</v>
      </c>
      <c r="E208" s="88"/>
      <c r="F208" s="121"/>
      <c r="G208" s="121"/>
      <c r="H208" s="121"/>
      <c r="I208" s="121"/>
      <c r="J208" s="121"/>
      <c r="K208" s="121"/>
      <c r="L208" s="121"/>
      <c r="M208" s="122"/>
      <c r="N208" s="122"/>
      <c r="O208" s="122"/>
      <c r="P208" s="123"/>
      <c r="Q208" s="89">
        <f t="shared" ref="Q208:Q210" si="350">SUM(E208:P208)</f>
        <v>0</v>
      </c>
      <c r="R208" s="90">
        <f t="shared" ref="R208" si="351">SUM(E208:M208)</f>
        <v>0</v>
      </c>
      <c r="T208" s="91"/>
      <c r="U208" s="100"/>
      <c r="V208" s="86">
        <f t="shared" ref="V208:V209" si="352">C208</f>
        <v>0</v>
      </c>
      <c r="W208" s="87">
        <v>2019</v>
      </c>
      <c r="X208" s="88"/>
      <c r="Y208" s="121"/>
      <c r="Z208" s="121"/>
      <c r="AA208" s="121"/>
      <c r="AB208" s="121"/>
      <c r="AC208" s="121"/>
      <c r="AD208" s="121"/>
      <c r="AE208" s="121"/>
      <c r="AF208" s="122"/>
      <c r="AG208" s="122"/>
      <c r="AH208" s="122"/>
      <c r="AI208" s="123"/>
      <c r="AJ208" s="89">
        <f t="shared" ref="AJ208:AJ210" si="353">SUM(X208:AI208)</f>
        <v>0</v>
      </c>
      <c r="AK208" s="90">
        <f t="shared" ref="AK208:AK210" si="354">SUM(X208:AF208)</f>
        <v>0</v>
      </c>
    </row>
    <row r="209" spans="1:38" ht="15.6" hidden="1" thickBot="1">
      <c r="A209" s="91"/>
      <c r="B209" s="100"/>
      <c r="C209" s="92"/>
      <c r="D209" s="93" t="s">
        <v>92</v>
      </c>
      <c r="E209" s="94"/>
      <c r="F209" s="97"/>
      <c r="G209" s="97"/>
      <c r="H209" s="97"/>
      <c r="I209" s="97"/>
      <c r="J209" s="97"/>
      <c r="K209" s="97"/>
      <c r="L209" s="97"/>
      <c r="M209" s="98"/>
      <c r="N209" s="98"/>
      <c r="O209" s="98"/>
      <c r="P209" s="99"/>
      <c r="Q209" s="95">
        <f t="shared" si="350"/>
        <v>0</v>
      </c>
      <c r="R209" s="96">
        <f t="shared" si="342"/>
        <v>0</v>
      </c>
      <c r="T209" s="91"/>
      <c r="U209" s="100"/>
      <c r="V209" s="92">
        <f t="shared" si="352"/>
        <v>0</v>
      </c>
      <c r="W209" s="93" t="s">
        <v>92</v>
      </c>
      <c r="X209" s="94"/>
      <c r="Y209" s="97"/>
      <c r="Z209" s="97"/>
      <c r="AA209" s="97"/>
      <c r="AB209" s="97"/>
      <c r="AC209" s="97"/>
      <c r="AD209" s="97"/>
      <c r="AE209" s="97"/>
      <c r="AF209" s="98"/>
      <c r="AG209" s="98"/>
      <c r="AH209" s="98"/>
      <c r="AI209" s="99"/>
      <c r="AJ209" s="95">
        <f t="shared" si="353"/>
        <v>0</v>
      </c>
      <c r="AK209" s="96">
        <f t="shared" si="354"/>
        <v>0</v>
      </c>
    </row>
    <row r="210" spans="1:38" ht="15.6" hidden="1" thickBot="1">
      <c r="A210" s="91"/>
      <c r="B210" s="100"/>
      <c r="C210" s="92"/>
      <c r="D210" s="101">
        <v>2020</v>
      </c>
      <c r="E210" s="102"/>
      <c r="F210" s="124"/>
      <c r="G210" s="124"/>
      <c r="H210" s="124"/>
      <c r="I210" s="124"/>
      <c r="J210" s="124"/>
      <c r="K210" s="124"/>
      <c r="L210" s="124"/>
      <c r="M210" s="125"/>
      <c r="N210" s="125"/>
      <c r="O210" s="125"/>
      <c r="P210" s="126"/>
      <c r="Q210" s="103">
        <f t="shared" si="350"/>
        <v>0</v>
      </c>
      <c r="R210" s="104">
        <f t="shared" si="342"/>
        <v>0</v>
      </c>
      <c r="S210" s="105"/>
      <c r="T210" s="91"/>
      <c r="U210" s="100"/>
      <c r="V210" s="92"/>
      <c r="W210" s="101">
        <v>2020</v>
      </c>
      <c r="X210" s="102"/>
      <c r="Y210" s="124"/>
      <c r="Z210" s="124"/>
      <c r="AA210" s="124"/>
      <c r="AB210" s="124"/>
      <c r="AC210" s="124"/>
      <c r="AD210" s="124"/>
      <c r="AE210" s="124"/>
      <c r="AF210" s="125"/>
      <c r="AG210" s="125"/>
      <c r="AH210" s="125"/>
      <c r="AI210" s="126"/>
      <c r="AJ210" s="103">
        <f t="shared" si="353"/>
        <v>0</v>
      </c>
      <c r="AK210" s="104">
        <f t="shared" si="354"/>
        <v>0</v>
      </c>
      <c r="AL210" s="105"/>
    </row>
    <row r="211" spans="1:38" ht="15.6" hidden="1" thickBot="1">
      <c r="A211" s="91"/>
      <c r="B211" s="100"/>
      <c r="C211" s="92"/>
      <c r="D211" s="101" t="s">
        <v>102</v>
      </c>
      <c r="E211" s="106" t="e">
        <f t="shared" ref="E211:R211" si="355">E210/E209</f>
        <v>#DIV/0!</v>
      </c>
      <c r="F211" s="106" t="e">
        <f t="shared" si="355"/>
        <v>#DIV/0!</v>
      </c>
      <c r="G211" s="106" t="e">
        <f t="shared" si="355"/>
        <v>#DIV/0!</v>
      </c>
      <c r="H211" s="106" t="e">
        <f t="shared" si="355"/>
        <v>#DIV/0!</v>
      </c>
      <c r="I211" s="106" t="e">
        <f t="shared" si="355"/>
        <v>#DIV/0!</v>
      </c>
      <c r="J211" s="106" t="e">
        <f t="shared" si="355"/>
        <v>#DIV/0!</v>
      </c>
      <c r="K211" s="106" t="e">
        <f t="shared" si="355"/>
        <v>#DIV/0!</v>
      </c>
      <c r="L211" s="106" t="e">
        <f t="shared" si="355"/>
        <v>#DIV/0!</v>
      </c>
      <c r="M211" s="107" t="e">
        <f t="shared" si="355"/>
        <v>#DIV/0!</v>
      </c>
      <c r="N211" s="107" t="e">
        <f t="shared" si="355"/>
        <v>#DIV/0!</v>
      </c>
      <c r="O211" s="107" t="e">
        <f t="shared" si="355"/>
        <v>#DIV/0!</v>
      </c>
      <c r="P211" s="108" t="e">
        <f t="shared" si="355"/>
        <v>#DIV/0!</v>
      </c>
      <c r="Q211" s="109" t="e">
        <f t="shared" si="355"/>
        <v>#DIV/0!</v>
      </c>
      <c r="R211" s="110" t="e">
        <f t="shared" si="355"/>
        <v>#DIV/0!</v>
      </c>
      <c r="S211" s="105"/>
      <c r="T211" s="91"/>
      <c r="U211" s="100"/>
      <c r="V211" s="92"/>
      <c r="W211" s="101" t="s">
        <v>102</v>
      </c>
      <c r="X211" s="106" t="e">
        <f t="shared" ref="X211:AK211" si="356">X210/X209</f>
        <v>#DIV/0!</v>
      </c>
      <c r="Y211" s="106" t="e">
        <f t="shared" si="356"/>
        <v>#DIV/0!</v>
      </c>
      <c r="Z211" s="106" t="e">
        <f t="shared" si="356"/>
        <v>#DIV/0!</v>
      </c>
      <c r="AA211" s="106" t="e">
        <f t="shared" si="356"/>
        <v>#DIV/0!</v>
      </c>
      <c r="AB211" s="106" t="e">
        <f t="shared" si="356"/>
        <v>#DIV/0!</v>
      </c>
      <c r="AC211" s="106" t="e">
        <f t="shared" si="356"/>
        <v>#DIV/0!</v>
      </c>
      <c r="AD211" s="106" t="e">
        <f t="shared" si="356"/>
        <v>#DIV/0!</v>
      </c>
      <c r="AE211" s="106" t="e">
        <f t="shared" si="356"/>
        <v>#DIV/0!</v>
      </c>
      <c r="AF211" s="107" t="e">
        <f t="shared" si="356"/>
        <v>#DIV/0!</v>
      </c>
      <c r="AG211" s="107" t="e">
        <f t="shared" si="356"/>
        <v>#DIV/0!</v>
      </c>
      <c r="AH211" s="107" t="e">
        <f t="shared" si="356"/>
        <v>#DIV/0!</v>
      </c>
      <c r="AI211" s="108" t="e">
        <f t="shared" si="356"/>
        <v>#DIV/0!</v>
      </c>
      <c r="AJ211" s="109" t="e">
        <f t="shared" si="356"/>
        <v>#DIV/0!</v>
      </c>
      <c r="AK211" s="110" t="e">
        <f t="shared" si="356"/>
        <v>#DIV/0!</v>
      </c>
      <c r="AL211" s="105"/>
    </row>
    <row r="212" spans="1:38" ht="15.6" hidden="1" thickBot="1">
      <c r="A212" s="91"/>
      <c r="B212" s="100"/>
      <c r="C212" s="111"/>
      <c r="D212" s="112" t="s">
        <v>103</v>
      </c>
      <c r="E212" s="113" t="e">
        <f t="shared" ref="E212:R212" si="357">E210/E208</f>
        <v>#DIV/0!</v>
      </c>
      <c r="F212" s="113" t="e">
        <f t="shared" si="357"/>
        <v>#DIV/0!</v>
      </c>
      <c r="G212" s="113" t="e">
        <f t="shared" si="357"/>
        <v>#DIV/0!</v>
      </c>
      <c r="H212" s="113" t="e">
        <f t="shared" si="357"/>
        <v>#DIV/0!</v>
      </c>
      <c r="I212" s="113" t="e">
        <f t="shared" si="357"/>
        <v>#DIV/0!</v>
      </c>
      <c r="J212" s="113" t="e">
        <f t="shared" si="357"/>
        <v>#DIV/0!</v>
      </c>
      <c r="K212" s="113" t="e">
        <f t="shared" si="357"/>
        <v>#DIV/0!</v>
      </c>
      <c r="L212" s="113" t="e">
        <f t="shared" si="357"/>
        <v>#DIV/0!</v>
      </c>
      <c r="M212" s="113" t="e">
        <f t="shared" si="357"/>
        <v>#DIV/0!</v>
      </c>
      <c r="N212" s="113" t="e">
        <f t="shared" si="357"/>
        <v>#DIV/0!</v>
      </c>
      <c r="O212" s="113" t="e">
        <f t="shared" si="357"/>
        <v>#DIV/0!</v>
      </c>
      <c r="P212" s="114" t="e">
        <f t="shared" si="357"/>
        <v>#DIV/0!</v>
      </c>
      <c r="Q212" s="115" t="e">
        <f t="shared" si="357"/>
        <v>#DIV/0!</v>
      </c>
      <c r="R212" s="116" t="e">
        <f t="shared" si="357"/>
        <v>#DIV/0!</v>
      </c>
      <c r="T212" s="91"/>
      <c r="U212" s="100"/>
      <c r="V212" s="111"/>
      <c r="W212" s="112" t="s">
        <v>103</v>
      </c>
      <c r="X212" s="113" t="e">
        <f t="shared" ref="X212:AK212" si="358">X210/X208</f>
        <v>#DIV/0!</v>
      </c>
      <c r="Y212" s="113" t="e">
        <f t="shared" si="358"/>
        <v>#DIV/0!</v>
      </c>
      <c r="Z212" s="113" t="e">
        <f t="shared" si="358"/>
        <v>#DIV/0!</v>
      </c>
      <c r="AA212" s="113" t="e">
        <f t="shared" si="358"/>
        <v>#DIV/0!</v>
      </c>
      <c r="AB212" s="113" t="e">
        <f t="shared" si="358"/>
        <v>#DIV/0!</v>
      </c>
      <c r="AC212" s="113" t="e">
        <f t="shared" si="358"/>
        <v>#DIV/0!</v>
      </c>
      <c r="AD212" s="113" t="e">
        <f t="shared" si="358"/>
        <v>#DIV/0!</v>
      </c>
      <c r="AE212" s="113" t="e">
        <f t="shared" si="358"/>
        <v>#DIV/0!</v>
      </c>
      <c r="AF212" s="113" t="e">
        <f t="shared" si="358"/>
        <v>#DIV/0!</v>
      </c>
      <c r="AG212" s="113" t="e">
        <f t="shared" si="358"/>
        <v>#DIV/0!</v>
      </c>
      <c r="AH212" s="113" t="e">
        <f t="shared" si="358"/>
        <v>#DIV/0!</v>
      </c>
      <c r="AI212" s="114" t="e">
        <f t="shared" si="358"/>
        <v>#DIV/0!</v>
      </c>
      <c r="AJ212" s="115" t="e">
        <f t="shared" si="358"/>
        <v>#DIV/0!</v>
      </c>
      <c r="AK212" s="116" t="e">
        <f t="shared" si="358"/>
        <v>#DIV/0!</v>
      </c>
    </row>
    <row r="213" spans="1:38" ht="15.6" hidden="1" thickBot="1">
      <c r="A213" s="91"/>
      <c r="B213" s="100"/>
      <c r="C213" s="86"/>
      <c r="D213" s="87">
        <v>2019</v>
      </c>
      <c r="E213" s="88"/>
      <c r="F213" s="121"/>
      <c r="G213" s="121"/>
      <c r="H213" s="121"/>
      <c r="I213" s="121"/>
      <c r="J213" s="121"/>
      <c r="K213" s="121"/>
      <c r="L213" s="121"/>
      <c r="M213" s="122"/>
      <c r="N213" s="122"/>
      <c r="O213" s="122"/>
      <c r="P213" s="123"/>
      <c r="Q213" s="89">
        <f t="shared" ref="Q213:Q215" si="359">SUM(E213:P213)</f>
        <v>0</v>
      </c>
      <c r="R213" s="90">
        <f t="shared" ref="R213" si="360">SUM(E213:M213)</f>
        <v>0</v>
      </c>
      <c r="T213" s="91"/>
      <c r="U213" s="100"/>
      <c r="V213" s="86">
        <f t="shared" ref="V213:V214" si="361">C213</f>
        <v>0</v>
      </c>
      <c r="W213" s="87">
        <v>2019</v>
      </c>
      <c r="X213" s="88"/>
      <c r="Y213" s="121"/>
      <c r="Z213" s="121"/>
      <c r="AA213" s="121"/>
      <c r="AB213" s="121"/>
      <c r="AC213" s="121"/>
      <c r="AD213" s="121"/>
      <c r="AE213" s="121"/>
      <c r="AF213" s="122"/>
      <c r="AG213" s="122"/>
      <c r="AH213" s="122"/>
      <c r="AI213" s="123"/>
      <c r="AJ213" s="89">
        <f t="shared" ref="AJ213:AJ215" si="362">SUM(X213:AI213)</f>
        <v>0</v>
      </c>
      <c r="AK213" s="90">
        <f t="shared" ref="AK213:AK215" si="363">SUM(X213:AF213)</f>
        <v>0</v>
      </c>
    </row>
    <row r="214" spans="1:38" ht="15.6" hidden="1" thickBot="1">
      <c r="A214" s="91"/>
      <c r="B214" s="100"/>
      <c r="C214" s="92"/>
      <c r="D214" s="93" t="s">
        <v>92</v>
      </c>
      <c r="E214" s="94"/>
      <c r="F214" s="97"/>
      <c r="G214" s="97"/>
      <c r="H214" s="97"/>
      <c r="I214" s="97"/>
      <c r="J214" s="97"/>
      <c r="K214" s="97"/>
      <c r="L214" s="97"/>
      <c r="M214" s="98"/>
      <c r="N214" s="98"/>
      <c r="O214" s="98"/>
      <c r="P214" s="99"/>
      <c r="Q214" s="95">
        <f t="shared" si="359"/>
        <v>0</v>
      </c>
      <c r="R214" s="96">
        <f t="shared" si="342"/>
        <v>0</v>
      </c>
      <c r="T214" s="91"/>
      <c r="U214" s="100"/>
      <c r="V214" s="92">
        <f t="shared" si="361"/>
        <v>0</v>
      </c>
      <c r="W214" s="93" t="s">
        <v>92</v>
      </c>
      <c r="X214" s="94"/>
      <c r="Y214" s="97"/>
      <c r="Z214" s="97"/>
      <c r="AA214" s="97"/>
      <c r="AB214" s="97"/>
      <c r="AC214" s="97"/>
      <c r="AD214" s="97"/>
      <c r="AE214" s="97"/>
      <c r="AF214" s="98"/>
      <c r="AG214" s="98"/>
      <c r="AH214" s="98"/>
      <c r="AI214" s="99"/>
      <c r="AJ214" s="95">
        <f t="shared" si="362"/>
        <v>0</v>
      </c>
      <c r="AK214" s="96">
        <f t="shared" si="363"/>
        <v>0</v>
      </c>
    </row>
    <row r="215" spans="1:38" ht="15.6" hidden="1" thickBot="1">
      <c r="A215" s="91"/>
      <c r="B215" s="100"/>
      <c r="C215" s="92"/>
      <c r="D215" s="101">
        <v>2020</v>
      </c>
      <c r="E215" s="102"/>
      <c r="F215" s="124"/>
      <c r="G215" s="124"/>
      <c r="H215" s="124"/>
      <c r="I215" s="124"/>
      <c r="J215" s="124"/>
      <c r="K215" s="124"/>
      <c r="L215" s="124"/>
      <c r="M215" s="125"/>
      <c r="N215" s="125"/>
      <c r="O215" s="125"/>
      <c r="P215" s="126"/>
      <c r="Q215" s="103">
        <f t="shared" si="359"/>
        <v>0</v>
      </c>
      <c r="R215" s="104">
        <f t="shared" si="342"/>
        <v>0</v>
      </c>
      <c r="S215" s="105"/>
      <c r="T215" s="91"/>
      <c r="U215" s="100"/>
      <c r="V215" s="92"/>
      <c r="W215" s="101">
        <v>2020</v>
      </c>
      <c r="X215" s="102"/>
      <c r="Y215" s="124"/>
      <c r="Z215" s="124"/>
      <c r="AA215" s="124"/>
      <c r="AB215" s="124"/>
      <c r="AC215" s="124"/>
      <c r="AD215" s="124"/>
      <c r="AE215" s="124"/>
      <c r="AF215" s="125"/>
      <c r="AG215" s="125"/>
      <c r="AH215" s="125"/>
      <c r="AI215" s="126"/>
      <c r="AJ215" s="103">
        <f t="shared" si="362"/>
        <v>0</v>
      </c>
      <c r="AK215" s="104">
        <f t="shared" si="363"/>
        <v>0</v>
      </c>
      <c r="AL215" s="105"/>
    </row>
    <row r="216" spans="1:38" ht="15.6" hidden="1" thickBot="1">
      <c r="A216" s="91"/>
      <c r="B216" s="100"/>
      <c r="C216" s="92"/>
      <c r="D216" s="101" t="s">
        <v>102</v>
      </c>
      <c r="E216" s="106" t="e">
        <f t="shared" ref="E216:R216" si="364">E215/E214</f>
        <v>#DIV/0!</v>
      </c>
      <c r="F216" s="106" t="e">
        <f t="shared" si="364"/>
        <v>#DIV/0!</v>
      </c>
      <c r="G216" s="106" t="e">
        <f t="shared" si="364"/>
        <v>#DIV/0!</v>
      </c>
      <c r="H216" s="106" t="e">
        <f t="shared" si="364"/>
        <v>#DIV/0!</v>
      </c>
      <c r="I216" s="106" t="e">
        <f t="shared" si="364"/>
        <v>#DIV/0!</v>
      </c>
      <c r="J216" s="106" t="e">
        <f t="shared" si="364"/>
        <v>#DIV/0!</v>
      </c>
      <c r="K216" s="106" t="e">
        <f t="shared" si="364"/>
        <v>#DIV/0!</v>
      </c>
      <c r="L216" s="106" t="e">
        <f t="shared" si="364"/>
        <v>#DIV/0!</v>
      </c>
      <c r="M216" s="107" t="e">
        <f t="shared" si="364"/>
        <v>#DIV/0!</v>
      </c>
      <c r="N216" s="107" t="e">
        <f t="shared" si="364"/>
        <v>#DIV/0!</v>
      </c>
      <c r="O216" s="107" t="e">
        <f t="shared" si="364"/>
        <v>#DIV/0!</v>
      </c>
      <c r="P216" s="108" t="e">
        <f t="shared" si="364"/>
        <v>#DIV/0!</v>
      </c>
      <c r="Q216" s="109" t="e">
        <f t="shared" si="364"/>
        <v>#DIV/0!</v>
      </c>
      <c r="R216" s="110" t="e">
        <f t="shared" si="364"/>
        <v>#DIV/0!</v>
      </c>
      <c r="S216" s="105"/>
      <c r="T216" s="91"/>
      <c r="U216" s="100"/>
      <c r="V216" s="92"/>
      <c r="W216" s="101" t="s">
        <v>102</v>
      </c>
      <c r="X216" s="106" t="e">
        <f t="shared" ref="X216:AK216" si="365">X215/X214</f>
        <v>#DIV/0!</v>
      </c>
      <c r="Y216" s="106" t="e">
        <f t="shared" si="365"/>
        <v>#DIV/0!</v>
      </c>
      <c r="Z216" s="106" t="e">
        <f t="shared" si="365"/>
        <v>#DIV/0!</v>
      </c>
      <c r="AA216" s="106" t="e">
        <f t="shared" si="365"/>
        <v>#DIV/0!</v>
      </c>
      <c r="AB216" s="106" t="e">
        <f t="shared" si="365"/>
        <v>#DIV/0!</v>
      </c>
      <c r="AC216" s="106" t="e">
        <f t="shared" si="365"/>
        <v>#DIV/0!</v>
      </c>
      <c r="AD216" s="106" t="e">
        <f t="shared" si="365"/>
        <v>#DIV/0!</v>
      </c>
      <c r="AE216" s="106" t="e">
        <f t="shared" si="365"/>
        <v>#DIV/0!</v>
      </c>
      <c r="AF216" s="107" t="e">
        <f t="shared" si="365"/>
        <v>#DIV/0!</v>
      </c>
      <c r="AG216" s="107" t="e">
        <f t="shared" si="365"/>
        <v>#DIV/0!</v>
      </c>
      <c r="AH216" s="107" t="e">
        <f t="shared" si="365"/>
        <v>#DIV/0!</v>
      </c>
      <c r="AI216" s="108" t="e">
        <f t="shared" si="365"/>
        <v>#DIV/0!</v>
      </c>
      <c r="AJ216" s="109" t="e">
        <f t="shared" si="365"/>
        <v>#DIV/0!</v>
      </c>
      <c r="AK216" s="110" t="e">
        <f t="shared" si="365"/>
        <v>#DIV/0!</v>
      </c>
      <c r="AL216" s="105"/>
    </row>
    <row r="217" spans="1:38" ht="15.6" hidden="1" thickBot="1">
      <c r="A217" s="91"/>
      <c r="B217" s="100"/>
      <c r="C217" s="111"/>
      <c r="D217" s="112" t="s">
        <v>103</v>
      </c>
      <c r="E217" s="113" t="e">
        <f t="shared" ref="E217:R217" si="366">E215/E213</f>
        <v>#DIV/0!</v>
      </c>
      <c r="F217" s="113" t="e">
        <f t="shared" si="366"/>
        <v>#DIV/0!</v>
      </c>
      <c r="G217" s="113" t="e">
        <f t="shared" si="366"/>
        <v>#DIV/0!</v>
      </c>
      <c r="H217" s="113" t="e">
        <f t="shared" si="366"/>
        <v>#DIV/0!</v>
      </c>
      <c r="I217" s="113" t="e">
        <f t="shared" si="366"/>
        <v>#DIV/0!</v>
      </c>
      <c r="J217" s="113" t="e">
        <f t="shared" si="366"/>
        <v>#DIV/0!</v>
      </c>
      <c r="K217" s="113" t="e">
        <f t="shared" si="366"/>
        <v>#DIV/0!</v>
      </c>
      <c r="L217" s="113" t="e">
        <f t="shared" si="366"/>
        <v>#DIV/0!</v>
      </c>
      <c r="M217" s="113" t="e">
        <f t="shared" si="366"/>
        <v>#DIV/0!</v>
      </c>
      <c r="N217" s="113" t="e">
        <f t="shared" si="366"/>
        <v>#DIV/0!</v>
      </c>
      <c r="O217" s="113" t="e">
        <f t="shared" si="366"/>
        <v>#DIV/0!</v>
      </c>
      <c r="P217" s="114" t="e">
        <f t="shared" si="366"/>
        <v>#DIV/0!</v>
      </c>
      <c r="Q217" s="115" t="e">
        <f t="shared" si="366"/>
        <v>#DIV/0!</v>
      </c>
      <c r="R217" s="116" t="e">
        <f t="shared" si="366"/>
        <v>#DIV/0!</v>
      </c>
      <c r="T217" s="91"/>
      <c r="U217" s="100"/>
      <c r="V217" s="111"/>
      <c r="W217" s="112" t="s">
        <v>103</v>
      </c>
      <c r="X217" s="113" t="e">
        <f t="shared" ref="X217:AK217" si="367">X215/X213</f>
        <v>#DIV/0!</v>
      </c>
      <c r="Y217" s="113" t="e">
        <f t="shared" si="367"/>
        <v>#DIV/0!</v>
      </c>
      <c r="Z217" s="113" t="e">
        <f t="shared" si="367"/>
        <v>#DIV/0!</v>
      </c>
      <c r="AA217" s="113" t="e">
        <f t="shared" si="367"/>
        <v>#DIV/0!</v>
      </c>
      <c r="AB217" s="113" t="e">
        <f t="shared" si="367"/>
        <v>#DIV/0!</v>
      </c>
      <c r="AC217" s="113" t="e">
        <f t="shared" si="367"/>
        <v>#DIV/0!</v>
      </c>
      <c r="AD217" s="113" t="e">
        <f t="shared" si="367"/>
        <v>#DIV/0!</v>
      </c>
      <c r="AE217" s="113" t="e">
        <f t="shared" si="367"/>
        <v>#DIV/0!</v>
      </c>
      <c r="AF217" s="113" t="e">
        <f t="shared" si="367"/>
        <v>#DIV/0!</v>
      </c>
      <c r="AG217" s="113" t="e">
        <f t="shared" si="367"/>
        <v>#DIV/0!</v>
      </c>
      <c r="AH217" s="113" t="e">
        <f t="shared" si="367"/>
        <v>#DIV/0!</v>
      </c>
      <c r="AI217" s="114" t="e">
        <f t="shared" si="367"/>
        <v>#DIV/0!</v>
      </c>
      <c r="AJ217" s="115" t="e">
        <f t="shared" si="367"/>
        <v>#DIV/0!</v>
      </c>
      <c r="AK217" s="116" t="e">
        <f t="shared" si="367"/>
        <v>#DIV/0!</v>
      </c>
    </row>
    <row r="218" spans="1:38" ht="15.6" hidden="1" thickBot="1">
      <c r="A218" s="91"/>
      <c r="B218" s="100"/>
      <c r="C218" s="86" t="s">
        <v>116</v>
      </c>
      <c r="D218" s="87">
        <v>2019</v>
      </c>
      <c r="E218" s="88"/>
      <c r="F218" s="121"/>
      <c r="G218" s="121"/>
      <c r="H218" s="121"/>
      <c r="I218" s="121"/>
      <c r="J218" s="121"/>
      <c r="K218" s="121"/>
      <c r="L218" s="121"/>
      <c r="M218" s="122"/>
      <c r="N218" s="122"/>
      <c r="O218" s="122"/>
      <c r="P218" s="123"/>
      <c r="Q218" s="89">
        <f t="shared" ref="Q218:Q220" si="368">SUM(E218:P218)</f>
        <v>0</v>
      </c>
      <c r="R218" s="90">
        <f t="shared" ref="R218" si="369">SUM(E218:M218)</f>
        <v>0</v>
      </c>
      <c r="T218" s="91"/>
      <c r="U218" s="100"/>
      <c r="V218" s="86" t="str">
        <f t="shared" ref="V218:V219" si="370">C218</f>
        <v>その他</v>
      </c>
      <c r="W218" s="87">
        <v>2019</v>
      </c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9">
        <f t="shared" ref="AJ218:AJ220" si="371">SUM(X218:AI218)</f>
        <v>0</v>
      </c>
      <c r="AK218" s="90">
        <f t="shared" ref="AK218:AK220" si="372">SUM(X218:AF218)</f>
        <v>0</v>
      </c>
    </row>
    <row r="219" spans="1:38" ht="15.6" hidden="1" thickBot="1">
      <c r="A219" s="91"/>
      <c r="B219" s="100"/>
      <c r="C219" s="92" t="s">
        <v>129</v>
      </c>
      <c r="D219" s="93" t="s">
        <v>92</v>
      </c>
      <c r="E219" s="94"/>
      <c r="F219" s="97"/>
      <c r="G219" s="97"/>
      <c r="H219" s="97"/>
      <c r="I219" s="97"/>
      <c r="J219" s="97"/>
      <c r="K219" s="97"/>
      <c r="L219" s="97"/>
      <c r="M219" s="98"/>
      <c r="N219" s="98"/>
      <c r="O219" s="98"/>
      <c r="P219" s="99"/>
      <c r="Q219" s="95">
        <f t="shared" si="368"/>
        <v>0</v>
      </c>
      <c r="R219" s="96">
        <f t="shared" si="342"/>
        <v>0</v>
      </c>
      <c r="T219" s="91"/>
      <c r="U219" s="100"/>
      <c r="V219" s="92" t="str">
        <f t="shared" si="370"/>
        <v>Others</v>
      </c>
      <c r="W219" s="93" t="s">
        <v>92</v>
      </c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  <c r="AI219" s="94"/>
      <c r="AJ219" s="95">
        <f t="shared" si="371"/>
        <v>0</v>
      </c>
      <c r="AK219" s="96">
        <f t="shared" si="372"/>
        <v>0</v>
      </c>
    </row>
    <row r="220" spans="1:38" ht="15.6" hidden="1" thickBot="1">
      <c r="A220" s="91"/>
      <c r="B220" s="100"/>
      <c r="C220" s="92"/>
      <c r="D220" s="101">
        <v>2020</v>
      </c>
      <c r="E220" s="102"/>
      <c r="F220" s="124"/>
      <c r="G220" s="124"/>
      <c r="H220" s="124"/>
      <c r="I220" s="124"/>
      <c r="J220" s="124"/>
      <c r="K220" s="124"/>
      <c r="L220" s="124"/>
      <c r="M220" s="125"/>
      <c r="N220" s="125"/>
      <c r="O220" s="125"/>
      <c r="P220" s="126"/>
      <c r="Q220" s="103">
        <f t="shared" si="368"/>
        <v>0</v>
      </c>
      <c r="R220" s="104">
        <f t="shared" si="342"/>
        <v>0</v>
      </c>
      <c r="S220" s="105"/>
      <c r="T220" s="91"/>
      <c r="U220" s="100"/>
      <c r="V220" s="92"/>
      <c r="W220" s="101">
        <v>2020</v>
      </c>
      <c r="X220" s="102"/>
      <c r="Y220" s="124"/>
      <c r="Z220" s="124"/>
      <c r="AA220" s="124"/>
      <c r="AB220" s="124"/>
      <c r="AC220" s="124"/>
      <c r="AD220" s="124"/>
      <c r="AE220" s="124"/>
      <c r="AF220" s="125"/>
      <c r="AG220" s="125"/>
      <c r="AH220" s="125"/>
      <c r="AI220" s="126"/>
      <c r="AJ220" s="103">
        <f t="shared" si="371"/>
        <v>0</v>
      </c>
      <c r="AK220" s="104">
        <f t="shared" si="372"/>
        <v>0</v>
      </c>
      <c r="AL220" s="105"/>
    </row>
    <row r="221" spans="1:38" ht="15.6" hidden="1" thickBot="1">
      <c r="A221" s="91"/>
      <c r="B221" s="100"/>
      <c r="C221" s="92"/>
      <c r="D221" s="101" t="s">
        <v>102</v>
      </c>
      <c r="E221" s="106" t="e">
        <f t="shared" ref="E221:R221" si="373">E220/E219</f>
        <v>#DIV/0!</v>
      </c>
      <c r="F221" s="106" t="e">
        <f t="shared" si="373"/>
        <v>#DIV/0!</v>
      </c>
      <c r="G221" s="106" t="e">
        <f t="shared" si="373"/>
        <v>#DIV/0!</v>
      </c>
      <c r="H221" s="106" t="e">
        <f t="shared" si="373"/>
        <v>#DIV/0!</v>
      </c>
      <c r="I221" s="106" t="e">
        <f t="shared" si="373"/>
        <v>#DIV/0!</v>
      </c>
      <c r="J221" s="106" t="e">
        <f t="shared" si="373"/>
        <v>#DIV/0!</v>
      </c>
      <c r="K221" s="106" t="e">
        <f t="shared" si="373"/>
        <v>#DIV/0!</v>
      </c>
      <c r="L221" s="106" t="e">
        <f t="shared" si="373"/>
        <v>#DIV/0!</v>
      </c>
      <c r="M221" s="107" t="e">
        <f t="shared" si="373"/>
        <v>#DIV/0!</v>
      </c>
      <c r="N221" s="107" t="e">
        <f t="shared" si="373"/>
        <v>#DIV/0!</v>
      </c>
      <c r="O221" s="107" t="e">
        <f t="shared" si="373"/>
        <v>#DIV/0!</v>
      </c>
      <c r="P221" s="108" t="e">
        <f t="shared" si="373"/>
        <v>#DIV/0!</v>
      </c>
      <c r="Q221" s="109" t="e">
        <f t="shared" si="373"/>
        <v>#DIV/0!</v>
      </c>
      <c r="R221" s="110" t="e">
        <f t="shared" si="373"/>
        <v>#DIV/0!</v>
      </c>
      <c r="S221" s="105"/>
      <c r="T221" s="91"/>
      <c r="U221" s="100"/>
      <c r="V221" s="92"/>
      <c r="W221" s="101" t="s">
        <v>102</v>
      </c>
      <c r="X221" s="106" t="e">
        <f t="shared" ref="X221:AK221" si="374">X220/X219</f>
        <v>#DIV/0!</v>
      </c>
      <c r="Y221" s="106" t="e">
        <f t="shared" si="374"/>
        <v>#DIV/0!</v>
      </c>
      <c r="Z221" s="106" t="e">
        <f t="shared" si="374"/>
        <v>#DIV/0!</v>
      </c>
      <c r="AA221" s="106" t="e">
        <f t="shared" si="374"/>
        <v>#DIV/0!</v>
      </c>
      <c r="AB221" s="106" t="e">
        <f t="shared" si="374"/>
        <v>#DIV/0!</v>
      </c>
      <c r="AC221" s="106" t="e">
        <f t="shared" si="374"/>
        <v>#DIV/0!</v>
      </c>
      <c r="AD221" s="106" t="e">
        <f t="shared" si="374"/>
        <v>#DIV/0!</v>
      </c>
      <c r="AE221" s="106" t="e">
        <f t="shared" si="374"/>
        <v>#DIV/0!</v>
      </c>
      <c r="AF221" s="107" t="e">
        <f t="shared" si="374"/>
        <v>#DIV/0!</v>
      </c>
      <c r="AG221" s="107" t="e">
        <f t="shared" si="374"/>
        <v>#DIV/0!</v>
      </c>
      <c r="AH221" s="107" t="e">
        <f t="shared" si="374"/>
        <v>#DIV/0!</v>
      </c>
      <c r="AI221" s="108" t="e">
        <f t="shared" si="374"/>
        <v>#DIV/0!</v>
      </c>
      <c r="AJ221" s="109" t="e">
        <f t="shared" si="374"/>
        <v>#DIV/0!</v>
      </c>
      <c r="AK221" s="110" t="e">
        <f t="shared" si="374"/>
        <v>#DIV/0!</v>
      </c>
      <c r="AL221" s="105"/>
    </row>
    <row r="222" spans="1:38" ht="15.6" hidden="1" thickBot="1">
      <c r="A222" s="91"/>
      <c r="B222" s="100"/>
      <c r="C222" s="111"/>
      <c r="D222" s="112" t="s">
        <v>103</v>
      </c>
      <c r="E222" s="113" t="e">
        <f t="shared" ref="E222:R222" si="375">E220/E218</f>
        <v>#DIV/0!</v>
      </c>
      <c r="F222" s="113" t="e">
        <f t="shared" si="375"/>
        <v>#DIV/0!</v>
      </c>
      <c r="G222" s="113" t="e">
        <f t="shared" si="375"/>
        <v>#DIV/0!</v>
      </c>
      <c r="H222" s="113" t="e">
        <f t="shared" si="375"/>
        <v>#DIV/0!</v>
      </c>
      <c r="I222" s="113" t="e">
        <f t="shared" si="375"/>
        <v>#DIV/0!</v>
      </c>
      <c r="J222" s="113" t="e">
        <f t="shared" si="375"/>
        <v>#DIV/0!</v>
      </c>
      <c r="K222" s="113" t="e">
        <f t="shared" si="375"/>
        <v>#DIV/0!</v>
      </c>
      <c r="L222" s="113" t="e">
        <f t="shared" si="375"/>
        <v>#DIV/0!</v>
      </c>
      <c r="M222" s="113" t="e">
        <f t="shared" si="375"/>
        <v>#DIV/0!</v>
      </c>
      <c r="N222" s="113" t="e">
        <f t="shared" si="375"/>
        <v>#DIV/0!</v>
      </c>
      <c r="O222" s="113" t="e">
        <f t="shared" si="375"/>
        <v>#DIV/0!</v>
      </c>
      <c r="P222" s="114" t="e">
        <f t="shared" si="375"/>
        <v>#DIV/0!</v>
      </c>
      <c r="Q222" s="115" t="e">
        <f t="shared" si="375"/>
        <v>#DIV/0!</v>
      </c>
      <c r="R222" s="116" t="e">
        <f t="shared" si="375"/>
        <v>#DIV/0!</v>
      </c>
      <c r="T222" s="91"/>
      <c r="U222" s="100"/>
      <c r="V222" s="111"/>
      <c r="W222" s="112" t="s">
        <v>103</v>
      </c>
      <c r="X222" s="113" t="e">
        <f t="shared" ref="X222:AK222" si="376">X220/X218</f>
        <v>#DIV/0!</v>
      </c>
      <c r="Y222" s="113" t="e">
        <f t="shared" si="376"/>
        <v>#DIV/0!</v>
      </c>
      <c r="Z222" s="113" t="e">
        <f t="shared" si="376"/>
        <v>#DIV/0!</v>
      </c>
      <c r="AA222" s="113" t="e">
        <f t="shared" si="376"/>
        <v>#DIV/0!</v>
      </c>
      <c r="AB222" s="113" t="e">
        <f t="shared" si="376"/>
        <v>#DIV/0!</v>
      </c>
      <c r="AC222" s="113" t="e">
        <f t="shared" si="376"/>
        <v>#DIV/0!</v>
      </c>
      <c r="AD222" s="113" t="e">
        <f t="shared" si="376"/>
        <v>#DIV/0!</v>
      </c>
      <c r="AE222" s="113" t="e">
        <f t="shared" si="376"/>
        <v>#DIV/0!</v>
      </c>
      <c r="AF222" s="113" t="e">
        <f t="shared" si="376"/>
        <v>#DIV/0!</v>
      </c>
      <c r="AG222" s="113" t="e">
        <f t="shared" si="376"/>
        <v>#DIV/0!</v>
      </c>
      <c r="AH222" s="113" t="e">
        <f t="shared" si="376"/>
        <v>#DIV/0!</v>
      </c>
      <c r="AI222" s="114" t="e">
        <f t="shared" si="376"/>
        <v>#DIV/0!</v>
      </c>
      <c r="AJ222" s="115" t="e">
        <f t="shared" si="376"/>
        <v>#DIV/0!</v>
      </c>
      <c r="AK222" s="116" t="e">
        <f t="shared" si="376"/>
        <v>#DIV/0!</v>
      </c>
    </row>
    <row r="223" spans="1:38" ht="15.6" hidden="1" thickBot="1">
      <c r="A223" s="91"/>
      <c r="B223" s="303" t="s">
        <v>139</v>
      </c>
      <c r="C223" s="304"/>
      <c r="D223" s="127">
        <v>2019</v>
      </c>
      <c r="E223" s="128">
        <f>SUM(E218,E213,E208,E203,E198,E193,E188,E183,E178,E173,E168,E163,E158,E153)</f>
        <v>0</v>
      </c>
      <c r="F223" s="129">
        <f t="shared" ref="F223:P223" si="377">SUM(F218,F213,F208,F203,F198,F193,F188,F183,F178,F173,F168,F163,F158,F153)</f>
        <v>0</v>
      </c>
      <c r="G223" s="129">
        <f t="shared" si="377"/>
        <v>0</v>
      </c>
      <c r="H223" s="129">
        <f t="shared" si="377"/>
        <v>0</v>
      </c>
      <c r="I223" s="129">
        <f t="shared" si="377"/>
        <v>0</v>
      </c>
      <c r="J223" s="129">
        <f t="shared" si="377"/>
        <v>0</v>
      </c>
      <c r="K223" s="129">
        <f t="shared" si="377"/>
        <v>0</v>
      </c>
      <c r="L223" s="129">
        <f t="shared" si="377"/>
        <v>0</v>
      </c>
      <c r="M223" s="129">
        <f t="shared" si="377"/>
        <v>0</v>
      </c>
      <c r="N223" s="129">
        <f t="shared" si="377"/>
        <v>0</v>
      </c>
      <c r="O223" s="129">
        <f t="shared" si="377"/>
        <v>0</v>
      </c>
      <c r="P223" s="130">
        <f t="shared" si="377"/>
        <v>0</v>
      </c>
      <c r="Q223" s="131">
        <f>SUM(E223:P223)</f>
        <v>0</v>
      </c>
      <c r="R223" s="90">
        <f t="shared" ref="R223" si="378">SUM(E223:M223)</f>
        <v>0</v>
      </c>
      <c r="T223" s="91"/>
      <c r="U223" s="309" t="s">
        <v>139</v>
      </c>
      <c r="V223" s="310"/>
      <c r="W223" s="132">
        <v>2019</v>
      </c>
      <c r="X223" s="133">
        <f>SUM(X218,X213,X208,X203,X198,X193,X188,X183,X178,X173,X168,X163,X158,X153)</f>
        <v>0</v>
      </c>
      <c r="Y223" s="134">
        <f t="shared" ref="Y223:AI223" si="379">SUM(Y218,Y213,Y208,Y203,Y198,Y193,Y188,Y183,Y178,Y173,Y168,Y163,Y158,Y153)</f>
        <v>0</v>
      </c>
      <c r="Z223" s="134">
        <f t="shared" si="379"/>
        <v>0</v>
      </c>
      <c r="AA223" s="134">
        <f t="shared" si="379"/>
        <v>0</v>
      </c>
      <c r="AB223" s="134">
        <f t="shared" si="379"/>
        <v>0</v>
      </c>
      <c r="AC223" s="134">
        <f t="shared" si="379"/>
        <v>0</v>
      </c>
      <c r="AD223" s="134">
        <f t="shared" si="379"/>
        <v>0</v>
      </c>
      <c r="AE223" s="134">
        <f t="shared" si="379"/>
        <v>0</v>
      </c>
      <c r="AF223" s="134">
        <f t="shared" si="379"/>
        <v>0</v>
      </c>
      <c r="AG223" s="134">
        <f t="shared" si="379"/>
        <v>0</v>
      </c>
      <c r="AH223" s="134">
        <f t="shared" si="379"/>
        <v>0</v>
      </c>
      <c r="AI223" s="135">
        <f t="shared" si="379"/>
        <v>0</v>
      </c>
      <c r="AJ223" s="136">
        <f>SUM(X223:AI223)</f>
        <v>0</v>
      </c>
      <c r="AK223" s="90">
        <f t="shared" ref="AK223:AK225" si="380">SUM(X223:AF223)</f>
        <v>0</v>
      </c>
    </row>
    <row r="224" spans="1:38" ht="15.6" hidden="1" thickBot="1">
      <c r="A224" s="91"/>
      <c r="B224" s="305"/>
      <c r="C224" s="306"/>
      <c r="D224" s="137" t="s">
        <v>92</v>
      </c>
      <c r="E224" s="138">
        <f t="shared" ref="E224:P225" si="381">SUM(E219,E214,E209,E204,E199,E194,E189,E184,E179,E174,E169,E164,E159,E154)</f>
        <v>0</v>
      </c>
      <c r="F224" s="138">
        <f t="shared" si="381"/>
        <v>0</v>
      </c>
      <c r="G224" s="138">
        <f t="shared" si="381"/>
        <v>0</v>
      </c>
      <c r="H224" s="138">
        <f t="shared" si="381"/>
        <v>0</v>
      </c>
      <c r="I224" s="138">
        <f t="shared" si="381"/>
        <v>0</v>
      </c>
      <c r="J224" s="138">
        <f t="shared" si="381"/>
        <v>0</v>
      </c>
      <c r="K224" s="138">
        <f t="shared" si="381"/>
        <v>0</v>
      </c>
      <c r="L224" s="138">
        <f t="shared" si="381"/>
        <v>0</v>
      </c>
      <c r="M224" s="138">
        <f t="shared" si="381"/>
        <v>0</v>
      </c>
      <c r="N224" s="138">
        <f t="shared" si="381"/>
        <v>0</v>
      </c>
      <c r="O224" s="138">
        <f t="shared" si="381"/>
        <v>0</v>
      </c>
      <c r="P224" s="138">
        <f t="shared" si="381"/>
        <v>0</v>
      </c>
      <c r="Q224" s="139">
        <f t="shared" ref="Q224:Q225" si="382">SUM(E224:P224)</f>
        <v>0</v>
      </c>
      <c r="R224" s="96">
        <f t="shared" si="342"/>
        <v>0</v>
      </c>
      <c r="T224" s="91"/>
      <c r="U224" s="311"/>
      <c r="V224" s="312"/>
      <c r="W224" s="140" t="s">
        <v>92</v>
      </c>
      <c r="X224" s="141">
        <f t="shared" ref="X224:AI225" si="383">SUM(X219,X214,X209,X204,X199,X194,X189,X184,X179,X174,X169,X164,X159,X154)</f>
        <v>0</v>
      </c>
      <c r="Y224" s="141">
        <f t="shared" si="383"/>
        <v>0</v>
      </c>
      <c r="Z224" s="141">
        <f t="shared" si="383"/>
        <v>0</v>
      </c>
      <c r="AA224" s="141">
        <f t="shared" si="383"/>
        <v>0</v>
      </c>
      <c r="AB224" s="141">
        <f t="shared" si="383"/>
        <v>0</v>
      </c>
      <c r="AC224" s="141">
        <f t="shared" si="383"/>
        <v>0</v>
      </c>
      <c r="AD224" s="141">
        <f t="shared" si="383"/>
        <v>0</v>
      </c>
      <c r="AE224" s="141">
        <f t="shared" si="383"/>
        <v>0</v>
      </c>
      <c r="AF224" s="141">
        <f t="shared" si="383"/>
        <v>0</v>
      </c>
      <c r="AG224" s="141">
        <f t="shared" si="383"/>
        <v>0</v>
      </c>
      <c r="AH224" s="141">
        <f t="shared" si="383"/>
        <v>0</v>
      </c>
      <c r="AI224" s="141">
        <f t="shared" si="383"/>
        <v>0</v>
      </c>
      <c r="AJ224" s="142">
        <f t="shared" ref="AJ224:AJ225" si="384">SUM(X224:AI224)</f>
        <v>0</v>
      </c>
      <c r="AK224" s="96">
        <f t="shared" si="380"/>
        <v>0</v>
      </c>
    </row>
    <row r="225" spans="1:38" ht="15.6" hidden="1" thickBot="1">
      <c r="A225" s="91"/>
      <c r="B225" s="305"/>
      <c r="C225" s="306"/>
      <c r="D225" s="143">
        <v>2020</v>
      </c>
      <c r="E225" s="144">
        <f>SUM(E220,E215,E210,E205,E200,E195,E190,E185,E180,E175,E170,E165,E160,E155)</f>
        <v>0</v>
      </c>
      <c r="F225" s="144">
        <f t="shared" si="381"/>
        <v>0</v>
      </c>
      <c r="G225" s="144">
        <f t="shared" si="381"/>
        <v>0</v>
      </c>
      <c r="H225" s="144">
        <f t="shared" si="381"/>
        <v>0</v>
      </c>
      <c r="I225" s="144">
        <f t="shared" si="381"/>
        <v>0</v>
      </c>
      <c r="J225" s="144">
        <f t="shared" si="381"/>
        <v>0</v>
      </c>
      <c r="K225" s="144">
        <f t="shared" si="381"/>
        <v>0</v>
      </c>
      <c r="L225" s="144">
        <f t="shared" si="381"/>
        <v>0</v>
      </c>
      <c r="M225" s="144">
        <f t="shared" si="381"/>
        <v>0</v>
      </c>
      <c r="N225" s="144">
        <f t="shared" si="381"/>
        <v>0</v>
      </c>
      <c r="O225" s="144">
        <f t="shared" si="381"/>
        <v>0</v>
      </c>
      <c r="P225" s="144">
        <f t="shared" si="381"/>
        <v>0</v>
      </c>
      <c r="Q225" s="145">
        <f t="shared" si="382"/>
        <v>0</v>
      </c>
      <c r="R225" s="104">
        <f t="shared" si="342"/>
        <v>0</v>
      </c>
      <c r="S225" s="105"/>
      <c r="T225" s="91"/>
      <c r="U225" s="311"/>
      <c r="V225" s="312"/>
      <c r="W225" s="146">
        <v>2020</v>
      </c>
      <c r="X225" s="147">
        <f>SUM(X220,X215,X210,X205,X200,X195,X190,X185,X180,X175,X170,X165,X160,X155)</f>
        <v>0</v>
      </c>
      <c r="Y225" s="147">
        <f t="shared" si="383"/>
        <v>0</v>
      </c>
      <c r="Z225" s="147">
        <f t="shared" si="383"/>
        <v>0</v>
      </c>
      <c r="AA225" s="147">
        <f t="shared" si="383"/>
        <v>0</v>
      </c>
      <c r="AB225" s="147">
        <f t="shared" si="383"/>
        <v>0</v>
      </c>
      <c r="AC225" s="147">
        <f t="shared" si="383"/>
        <v>0</v>
      </c>
      <c r="AD225" s="147">
        <f t="shared" si="383"/>
        <v>0</v>
      </c>
      <c r="AE225" s="147">
        <f t="shared" si="383"/>
        <v>0</v>
      </c>
      <c r="AF225" s="147">
        <f t="shared" si="383"/>
        <v>0</v>
      </c>
      <c r="AG225" s="147">
        <f t="shared" si="383"/>
        <v>0</v>
      </c>
      <c r="AH225" s="147">
        <f t="shared" si="383"/>
        <v>0</v>
      </c>
      <c r="AI225" s="147">
        <f t="shared" si="383"/>
        <v>0</v>
      </c>
      <c r="AJ225" s="148">
        <f t="shared" si="384"/>
        <v>0</v>
      </c>
      <c r="AK225" s="104">
        <f t="shared" si="380"/>
        <v>0</v>
      </c>
      <c r="AL225" s="105"/>
    </row>
    <row r="226" spans="1:38" ht="15.6" hidden="1" thickBot="1">
      <c r="A226" s="91"/>
      <c r="B226" s="305"/>
      <c r="C226" s="306"/>
      <c r="D226" s="143" t="s">
        <v>102</v>
      </c>
      <c r="E226" s="144" t="e">
        <f t="shared" ref="E226:R226" si="385">E225/E224</f>
        <v>#DIV/0!</v>
      </c>
      <c r="F226" s="144" t="e">
        <f t="shared" si="385"/>
        <v>#DIV/0!</v>
      </c>
      <c r="G226" s="144" t="e">
        <f t="shared" si="385"/>
        <v>#DIV/0!</v>
      </c>
      <c r="H226" s="144" t="e">
        <f t="shared" si="385"/>
        <v>#DIV/0!</v>
      </c>
      <c r="I226" s="144" t="e">
        <f t="shared" si="385"/>
        <v>#DIV/0!</v>
      </c>
      <c r="J226" s="144" t="e">
        <f t="shared" si="385"/>
        <v>#DIV/0!</v>
      </c>
      <c r="K226" s="144" t="e">
        <f t="shared" si="385"/>
        <v>#DIV/0!</v>
      </c>
      <c r="L226" s="144" t="e">
        <f t="shared" si="385"/>
        <v>#DIV/0!</v>
      </c>
      <c r="M226" s="144" t="e">
        <f t="shared" si="385"/>
        <v>#DIV/0!</v>
      </c>
      <c r="N226" s="144" t="e">
        <f t="shared" si="385"/>
        <v>#DIV/0!</v>
      </c>
      <c r="O226" s="144" t="e">
        <f t="shared" si="385"/>
        <v>#DIV/0!</v>
      </c>
      <c r="P226" s="172" t="e">
        <f t="shared" si="385"/>
        <v>#DIV/0!</v>
      </c>
      <c r="Q226" s="145" t="e">
        <f t="shared" si="385"/>
        <v>#DIV/0!</v>
      </c>
      <c r="R226" s="104" t="e">
        <f t="shared" si="385"/>
        <v>#DIV/0!</v>
      </c>
      <c r="S226" s="105"/>
      <c r="T226" s="91"/>
      <c r="U226" s="311"/>
      <c r="V226" s="312"/>
      <c r="W226" s="146" t="s">
        <v>102</v>
      </c>
      <c r="X226" s="147" t="e">
        <f t="shared" ref="X226:AK226" si="386">X225/X224</f>
        <v>#DIV/0!</v>
      </c>
      <c r="Y226" s="147" t="e">
        <f t="shared" si="386"/>
        <v>#DIV/0!</v>
      </c>
      <c r="Z226" s="147" t="e">
        <f t="shared" si="386"/>
        <v>#DIV/0!</v>
      </c>
      <c r="AA226" s="147" t="e">
        <f t="shared" si="386"/>
        <v>#DIV/0!</v>
      </c>
      <c r="AB226" s="147" t="e">
        <f t="shared" si="386"/>
        <v>#DIV/0!</v>
      </c>
      <c r="AC226" s="147" t="e">
        <f t="shared" si="386"/>
        <v>#DIV/0!</v>
      </c>
      <c r="AD226" s="147" t="e">
        <f t="shared" si="386"/>
        <v>#DIV/0!</v>
      </c>
      <c r="AE226" s="147" t="e">
        <f t="shared" si="386"/>
        <v>#DIV/0!</v>
      </c>
      <c r="AF226" s="147" t="e">
        <f t="shared" si="386"/>
        <v>#DIV/0!</v>
      </c>
      <c r="AG226" s="147" t="e">
        <f t="shared" si="386"/>
        <v>#DIV/0!</v>
      </c>
      <c r="AH226" s="147" t="e">
        <f t="shared" si="386"/>
        <v>#DIV/0!</v>
      </c>
      <c r="AI226" s="173" t="e">
        <f t="shared" si="386"/>
        <v>#DIV/0!</v>
      </c>
      <c r="AJ226" s="148" t="e">
        <f t="shared" si="386"/>
        <v>#DIV/0!</v>
      </c>
      <c r="AK226" s="104" t="e">
        <f t="shared" si="386"/>
        <v>#DIV/0!</v>
      </c>
      <c r="AL226" s="105"/>
    </row>
    <row r="227" spans="1:38" ht="15.6" hidden="1" thickBot="1">
      <c r="A227" s="155"/>
      <c r="B227" s="307"/>
      <c r="C227" s="308"/>
      <c r="D227" s="156" t="s">
        <v>103</v>
      </c>
      <c r="E227" s="165" t="e">
        <f t="shared" ref="E227:R227" si="387">E225/E223</f>
        <v>#DIV/0!</v>
      </c>
      <c r="F227" s="165" t="e">
        <f t="shared" si="387"/>
        <v>#DIV/0!</v>
      </c>
      <c r="G227" s="165" t="e">
        <f t="shared" si="387"/>
        <v>#DIV/0!</v>
      </c>
      <c r="H227" s="165" t="e">
        <f t="shared" si="387"/>
        <v>#DIV/0!</v>
      </c>
      <c r="I227" s="165" t="e">
        <f t="shared" si="387"/>
        <v>#DIV/0!</v>
      </c>
      <c r="J227" s="165" t="e">
        <f t="shared" si="387"/>
        <v>#DIV/0!</v>
      </c>
      <c r="K227" s="165" t="e">
        <f t="shared" si="387"/>
        <v>#DIV/0!</v>
      </c>
      <c r="L227" s="165" t="e">
        <f t="shared" si="387"/>
        <v>#DIV/0!</v>
      </c>
      <c r="M227" s="165" t="e">
        <f t="shared" si="387"/>
        <v>#DIV/0!</v>
      </c>
      <c r="N227" s="165" t="e">
        <f t="shared" si="387"/>
        <v>#DIV/0!</v>
      </c>
      <c r="O227" s="165" t="e">
        <f t="shared" si="387"/>
        <v>#DIV/0!</v>
      </c>
      <c r="P227" s="166" t="e">
        <f t="shared" si="387"/>
        <v>#DIV/0!</v>
      </c>
      <c r="Q227" s="167" t="e">
        <f t="shared" si="387"/>
        <v>#DIV/0!</v>
      </c>
      <c r="R227" s="168" t="e">
        <f t="shared" si="387"/>
        <v>#DIV/0!</v>
      </c>
      <c r="T227" s="155"/>
      <c r="U227" s="313"/>
      <c r="V227" s="314"/>
      <c r="W227" s="160" t="s">
        <v>103</v>
      </c>
      <c r="X227" s="169" t="e">
        <f t="shared" ref="X227:AK227" si="388">X225/X223</f>
        <v>#DIV/0!</v>
      </c>
      <c r="Y227" s="169" t="e">
        <f t="shared" si="388"/>
        <v>#DIV/0!</v>
      </c>
      <c r="Z227" s="169" t="e">
        <f t="shared" si="388"/>
        <v>#DIV/0!</v>
      </c>
      <c r="AA227" s="169" t="e">
        <f t="shared" si="388"/>
        <v>#DIV/0!</v>
      </c>
      <c r="AB227" s="169" t="e">
        <f t="shared" si="388"/>
        <v>#DIV/0!</v>
      </c>
      <c r="AC227" s="169" t="e">
        <f t="shared" si="388"/>
        <v>#DIV/0!</v>
      </c>
      <c r="AD227" s="169" t="e">
        <f t="shared" si="388"/>
        <v>#DIV/0!</v>
      </c>
      <c r="AE227" s="169" t="e">
        <f t="shared" si="388"/>
        <v>#DIV/0!</v>
      </c>
      <c r="AF227" s="169" t="e">
        <f t="shared" si="388"/>
        <v>#DIV/0!</v>
      </c>
      <c r="AG227" s="169" t="e">
        <f t="shared" si="388"/>
        <v>#DIV/0!</v>
      </c>
      <c r="AH227" s="169" t="e">
        <f t="shared" si="388"/>
        <v>#DIV/0!</v>
      </c>
      <c r="AI227" s="170" t="e">
        <f t="shared" si="388"/>
        <v>#DIV/0!</v>
      </c>
      <c r="AJ227" s="171" t="e">
        <f t="shared" si="388"/>
        <v>#DIV/0!</v>
      </c>
      <c r="AK227" s="168" t="e">
        <f t="shared" si="388"/>
        <v>#DIV/0!</v>
      </c>
    </row>
    <row r="228" spans="1:38" ht="15.6" hidden="1" thickBot="1">
      <c r="A228" s="84" t="s">
        <v>120</v>
      </c>
      <c r="B228" s="85" t="s">
        <v>140</v>
      </c>
      <c r="C228" s="86" t="s">
        <v>122</v>
      </c>
      <c r="D228" s="87">
        <v>2019</v>
      </c>
      <c r="E228" s="88"/>
      <c r="F228" s="121"/>
      <c r="G228" s="121"/>
      <c r="H228" s="121"/>
      <c r="I228" s="121"/>
      <c r="J228" s="121"/>
      <c r="K228" s="121"/>
      <c r="L228" s="121"/>
      <c r="M228" s="122"/>
      <c r="N228" s="122"/>
      <c r="O228" s="122"/>
      <c r="P228" s="123"/>
      <c r="Q228" s="89">
        <f>SUM(E228:P228)</f>
        <v>0</v>
      </c>
      <c r="R228" s="90">
        <f t="shared" ref="R228" si="389">SUM(E228:M228)</f>
        <v>0</v>
      </c>
      <c r="T228" s="84" t="s">
        <v>120</v>
      </c>
      <c r="U228" s="85" t="s">
        <v>140</v>
      </c>
      <c r="V228" s="86" t="str">
        <f>C228</f>
        <v>得意先名</v>
      </c>
      <c r="W228" s="87">
        <v>2019</v>
      </c>
      <c r="X228" s="88"/>
      <c r="Y228" s="121"/>
      <c r="Z228" s="121"/>
      <c r="AA228" s="121"/>
      <c r="AB228" s="121"/>
      <c r="AC228" s="121"/>
      <c r="AD228" s="121"/>
      <c r="AE228" s="121"/>
      <c r="AF228" s="122"/>
      <c r="AG228" s="122"/>
      <c r="AH228" s="122"/>
      <c r="AI228" s="123"/>
      <c r="AJ228" s="89">
        <f>SUM(X228:AI228)</f>
        <v>0</v>
      </c>
      <c r="AK228" s="90">
        <f t="shared" ref="AK228:AK230" si="390">SUM(X228:AF228)</f>
        <v>0</v>
      </c>
    </row>
    <row r="229" spans="1:38" ht="15.6" hidden="1" thickBot="1">
      <c r="A229" s="91"/>
      <c r="B229" s="85" t="s">
        <v>141</v>
      </c>
      <c r="C229" s="92" t="s">
        <v>124</v>
      </c>
      <c r="D229" s="93" t="s">
        <v>92</v>
      </c>
      <c r="E229" s="94"/>
      <c r="F229" s="97"/>
      <c r="G229" s="97"/>
      <c r="H229" s="97"/>
      <c r="I229" s="97"/>
      <c r="J229" s="97"/>
      <c r="K229" s="97"/>
      <c r="L229" s="97"/>
      <c r="M229" s="98"/>
      <c r="N229" s="98"/>
      <c r="O229" s="98"/>
      <c r="P229" s="99"/>
      <c r="Q229" s="95">
        <f>SUM(E229:P229)</f>
        <v>0</v>
      </c>
      <c r="R229" s="96">
        <f t="shared" si="342"/>
        <v>0</v>
      </c>
      <c r="T229" s="91"/>
      <c r="U229" s="85" t="s">
        <v>141</v>
      </c>
      <c r="V229" s="92" t="str">
        <f>C229</f>
        <v>得意先名（英語）</v>
      </c>
      <c r="W229" s="93" t="s">
        <v>92</v>
      </c>
      <c r="X229" s="94"/>
      <c r="Y229" s="97"/>
      <c r="Z229" s="97"/>
      <c r="AA229" s="97"/>
      <c r="AB229" s="97"/>
      <c r="AC229" s="97"/>
      <c r="AD229" s="97"/>
      <c r="AE229" s="97"/>
      <c r="AF229" s="98"/>
      <c r="AG229" s="98"/>
      <c r="AH229" s="98"/>
      <c r="AI229" s="99"/>
      <c r="AJ229" s="95">
        <f>SUM(X229:AI229)</f>
        <v>0</v>
      </c>
      <c r="AK229" s="96">
        <f t="shared" si="390"/>
        <v>0</v>
      </c>
    </row>
    <row r="230" spans="1:38" ht="15.6" hidden="1" thickBot="1">
      <c r="A230" s="91"/>
      <c r="B230" s="100"/>
      <c r="C230" s="92"/>
      <c r="D230" s="101">
        <v>2020</v>
      </c>
      <c r="E230" s="102"/>
      <c r="F230" s="124"/>
      <c r="G230" s="124"/>
      <c r="H230" s="124"/>
      <c r="I230" s="124"/>
      <c r="J230" s="124"/>
      <c r="K230" s="124"/>
      <c r="L230" s="124"/>
      <c r="M230" s="125"/>
      <c r="N230" s="125"/>
      <c r="O230" s="125"/>
      <c r="P230" s="126"/>
      <c r="Q230" s="103">
        <f>SUM(E230:P230)</f>
        <v>0</v>
      </c>
      <c r="R230" s="104">
        <f t="shared" si="342"/>
        <v>0</v>
      </c>
      <c r="S230" s="105"/>
      <c r="T230" s="91"/>
      <c r="U230" s="100"/>
      <c r="V230" s="92"/>
      <c r="W230" s="101">
        <v>2020</v>
      </c>
      <c r="X230" s="102"/>
      <c r="Y230" s="124"/>
      <c r="Z230" s="124"/>
      <c r="AA230" s="124"/>
      <c r="AB230" s="124"/>
      <c r="AC230" s="124"/>
      <c r="AD230" s="124"/>
      <c r="AE230" s="124"/>
      <c r="AF230" s="125"/>
      <c r="AG230" s="125"/>
      <c r="AH230" s="125"/>
      <c r="AI230" s="126"/>
      <c r="AJ230" s="103">
        <f>SUM(X230:AI230)</f>
        <v>0</v>
      </c>
      <c r="AK230" s="104">
        <f t="shared" si="390"/>
        <v>0</v>
      </c>
      <c r="AL230" s="105"/>
    </row>
    <row r="231" spans="1:38" ht="15.6" hidden="1" thickBot="1">
      <c r="A231" s="91"/>
      <c r="B231" s="164"/>
      <c r="C231" s="92"/>
      <c r="D231" s="101" t="s">
        <v>102</v>
      </c>
      <c r="E231" s="106" t="e">
        <f>E230/E229</f>
        <v>#DIV/0!</v>
      </c>
      <c r="F231" s="106" t="e">
        <f t="shared" ref="F231:R231" si="391">F230/F229</f>
        <v>#DIV/0!</v>
      </c>
      <c r="G231" s="106" t="e">
        <f t="shared" si="391"/>
        <v>#DIV/0!</v>
      </c>
      <c r="H231" s="106" t="e">
        <f t="shared" si="391"/>
        <v>#DIV/0!</v>
      </c>
      <c r="I231" s="106" t="e">
        <f t="shared" si="391"/>
        <v>#DIV/0!</v>
      </c>
      <c r="J231" s="106" t="e">
        <f t="shared" si="391"/>
        <v>#DIV/0!</v>
      </c>
      <c r="K231" s="106" t="e">
        <f t="shared" si="391"/>
        <v>#DIV/0!</v>
      </c>
      <c r="L231" s="106" t="e">
        <f t="shared" si="391"/>
        <v>#DIV/0!</v>
      </c>
      <c r="M231" s="107" t="e">
        <f t="shared" si="391"/>
        <v>#DIV/0!</v>
      </c>
      <c r="N231" s="107" t="e">
        <f t="shared" si="391"/>
        <v>#DIV/0!</v>
      </c>
      <c r="O231" s="107" t="e">
        <f t="shared" si="391"/>
        <v>#DIV/0!</v>
      </c>
      <c r="P231" s="108" t="e">
        <f t="shared" si="391"/>
        <v>#DIV/0!</v>
      </c>
      <c r="Q231" s="109" t="e">
        <f t="shared" si="391"/>
        <v>#DIV/0!</v>
      </c>
      <c r="R231" s="110" t="e">
        <f t="shared" si="391"/>
        <v>#DIV/0!</v>
      </c>
      <c r="S231" s="105"/>
      <c r="T231" s="91"/>
      <c r="U231" s="164"/>
      <c r="V231" s="92"/>
      <c r="W231" s="101" t="s">
        <v>102</v>
      </c>
      <c r="X231" s="106" t="e">
        <f>X230/X229</f>
        <v>#DIV/0!</v>
      </c>
      <c r="Y231" s="106" t="e">
        <f t="shared" ref="Y231:AK231" si="392">Y230/Y229</f>
        <v>#DIV/0!</v>
      </c>
      <c r="Z231" s="106" t="e">
        <f t="shared" si="392"/>
        <v>#DIV/0!</v>
      </c>
      <c r="AA231" s="106" t="e">
        <f t="shared" si="392"/>
        <v>#DIV/0!</v>
      </c>
      <c r="AB231" s="106" t="e">
        <f t="shared" si="392"/>
        <v>#DIV/0!</v>
      </c>
      <c r="AC231" s="106" t="e">
        <f t="shared" si="392"/>
        <v>#DIV/0!</v>
      </c>
      <c r="AD231" s="106" t="e">
        <f t="shared" si="392"/>
        <v>#DIV/0!</v>
      </c>
      <c r="AE231" s="106" t="e">
        <f t="shared" si="392"/>
        <v>#DIV/0!</v>
      </c>
      <c r="AF231" s="107" t="e">
        <f t="shared" si="392"/>
        <v>#DIV/0!</v>
      </c>
      <c r="AG231" s="107" t="e">
        <f t="shared" si="392"/>
        <v>#DIV/0!</v>
      </c>
      <c r="AH231" s="107" t="e">
        <f t="shared" si="392"/>
        <v>#DIV/0!</v>
      </c>
      <c r="AI231" s="108" t="e">
        <f t="shared" si="392"/>
        <v>#DIV/0!</v>
      </c>
      <c r="AJ231" s="109" t="e">
        <f t="shared" si="392"/>
        <v>#DIV/0!</v>
      </c>
      <c r="AK231" s="110" t="e">
        <f t="shared" si="392"/>
        <v>#DIV/0!</v>
      </c>
      <c r="AL231" s="105"/>
    </row>
    <row r="232" spans="1:38" ht="15.6" hidden="1" thickBot="1">
      <c r="A232" s="91"/>
      <c r="B232" s="164"/>
      <c r="C232" s="111"/>
      <c r="D232" s="112" t="s">
        <v>103</v>
      </c>
      <c r="E232" s="113" t="e">
        <f>E230/E228</f>
        <v>#DIV/0!</v>
      </c>
      <c r="F232" s="113" t="e">
        <f t="shared" ref="F232:R232" si="393">F230/F228</f>
        <v>#DIV/0!</v>
      </c>
      <c r="G232" s="113" t="e">
        <f t="shared" si="393"/>
        <v>#DIV/0!</v>
      </c>
      <c r="H232" s="113" t="e">
        <f t="shared" si="393"/>
        <v>#DIV/0!</v>
      </c>
      <c r="I232" s="113" t="e">
        <f t="shared" si="393"/>
        <v>#DIV/0!</v>
      </c>
      <c r="J232" s="113" t="e">
        <f t="shared" si="393"/>
        <v>#DIV/0!</v>
      </c>
      <c r="K232" s="113" t="e">
        <f t="shared" si="393"/>
        <v>#DIV/0!</v>
      </c>
      <c r="L232" s="113" t="e">
        <f t="shared" si="393"/>
        <v>#DIV/0!</v>
      </c>
      <c r="M232" s="113" t="e">
        <f t="shared" si="393"/>
        <v>#DIV/0!</v>
      </c>
      <c r="N232" s="113" t="e">
        <f t="shared" si="393"/>
        <v>#DIV/0!</v>
      </c>
      <c r="O232" s="113" t="e">
        <f t="shared" si="393"/>
        <v>#DIV/0!</v>
      </c>
      <c r="P232" s="114" t="e">
        <f t="shared" si="393"/>
        <v>#DIV/0!</v>
      </c>
      <c r="Q232" s="115" t="e">
        <f t="shared" si="393"/>
        <v>#DIV/0!</v>
      </c>
      <c r="R232" s="116" t="e">
        <f t="shared" si="393"/>
        <v>#DIV/0!</v>
      </c>
      <c r="T232" s="91"/>
      <c r="U232" s="164"/>
      <c r="V232" s="111"/>
      <c r="W232" s="112" t="s">
        <v>103</v>
      </c>
      <c r="X232" s="113" t="e">
        <f>X230/X228</f>
        <v>#DIV/0!</v>
      </c>
      <c r="Y232" s="113" t="e">
        <f t="shared" ref="Y232:AK232" si="394">Y230/Y228</f>
        <v>#DIV/0!</v>
      </c>
      <c r="Z232" s="113" t="e">
        <f t="shared" si="394"/>
        <v>#DIV/0!</v>
      </c>
      <c r="AA232" s="113" t="e">
        <f t="shared" si="394"/>
        <v>#DIV/0!</v>
      </c>
      <c r="AB232" s="113" t="e">
        <f t="shared" si="394"/>
        <v>#DIV/0!</v>
      </c>
      <c r="AC232" s="113" t="e">
        <f t="shared" si="394"/>
        <v>#DIV/0!</v>
      </c>
      <c r="AD232" s="113" t="e">
        <f t="shared" si="394"/>
        <v>#DIV/0!</v>
      </c>
      <c r="AE232" s="113" t="e">
        <f t="shared" si="394"/>
        <v>#DIV/0!</v>
      </c>
      <c r="AF232" s="113" t="e">
        <f t="shared" si="394"/>
        <v>#DIV/0!</v>
      </c>
      <c r="AG232" s="113" t="e">
        <f t="shared" si="394"/>
        <v>#DIV/0!</v>
      </c>
      <c r="AH232" s="113" t="e">
        <f t="shared" si="394"/>
        <v>#DIV/0!</v>
      </c>
      <c r="AI232" s="114" t="e">
        <f t="shared" si="394"/>
        <v>#DIV/0!</v>
      </c>
      <c r="AJ232" s="115" t="e">
        <f t="shared" si="394"/>
        <v>#DIV/0!</v>
      </c>
      <c r="AK232" s="116" t="e">
        <f t="shared" si="394"/>
        <v>#DIV/0!</v>
      </c>
    </row>
    <row r="233" spans="1:38" ht="15.6" hidden="1" thickBot="1">
      <c r="A233" s="91"/>
      <c r="B233" s="164"/>
      <c r="C233" s="86"/>
      <c r="D233" s="87">
        <v>2019</v>
      </c>
      <c r="E233" s="88"/>
      <c r="F233" s="121"/>
      <c r="G233" s="121"/>
      <c r="H233" s="121"/>
      <c r="I233" s="121"/>
      <c r="J233" s="121"/>
      <c r="K233" s="121"/>
      <c r="L233" s="121"/>
      <c r="M233" s="122"/>
      <c r="N233" s="122"/>
      <c r="O233" s="122"/>
      <c r="P233" s="123"/>
      <c r="Q233" s="89">
        <f t="shared" ref="Q233:Q235" si="395">SUM(E233:P233)</f>
        <v>0</v>
      </c>
      <c r="R233" s="90">
        <f t="shared" ref="R233" si="396">SUM(E233:M233)</f>
        <v>0</v>
      </c>
      <c r="T233" s="91"/>
      <c r="U233" s="164"/>
      <c r="V233" s="86">
        <f t="shared" ref="V233:V234" si="397">C233</f>
        <v>0</v>
      </c>
      <c r="W233" s="87">
        <v>2019</v>
      </c>
      <c r="X233" s="88"/>
      <c r="Y233" s="121"/>
      <c r="Z233" s="121"/>
      <c r="AA233" s="121"/>
      <c r="AB233" s="121"/>
      <c r="AC233" s="121"/>
      <c r="AD233" s="121"/>
      <c r="AE233" s="121"/>
      <c r="AF233" s="122"/>
      <c r="AG233" s="122"/>
      <c r="AH233" s="122"/>
      <c r="AI233" s="123"/>
      <c r="AJ233" s="89">
        <f t="shared" ref="AJ233:AJ235" si="398">SUM(X233:AI233)</f>
        <v>0</v>
      </c>
      <c r="AK233" s="90">
        <f t="shared" ref="AK233:AK235" si="399">SUM(X233:AF233)</f>
        <v>0</v>
      </c>
    </row>
    <row r="234" spans="1:38" ht="15.6" hidden="1" thickBot="1">
      <c r="A234" s="91"/>
      <c r="B234" s="164"/>
      <c r="C234" s="92"/>
      <c r="D234" s="93" t="s">
        <v>92</v>
      </c>
      <c r="E234" s="94"/>
      <c r="F234" s="97"/>
      <c r="G234" s="97"/>
      <c r="H234" s="97"/>
      <c r="I234" s="97"/>
      <c r="J234" s="97"/>
      <c r="K234" s="97"/>
      <c r="L234" s="97"/>
      <c r="M234" s="98"/>
      <c r="N234" s="98"/>
      <c r="O234" s="98"/>
      <c r="P234" s="99"/>
      <c r="Q234" s="95">
        <f t="shared" si="395"/>
        <v>0</v>
      </c>
      <c r="R234" s="96">
        <f t="shared" si="342"/>
        <v>0</v>
      </c>
      <c r="T234" s="91"/>
      <c r="U234" s="164"/>
      <c r="V234" s="92">
        <f t="shared" si="397"/>
        <v>0</v>
      </c>
      <c r="W234" s="93" t="s">
        <v>92</v>
      </c>
      <c r="X234" s="94"/>
      <c r="Y234" s="97"/>
      <c r="Z234" s="97"/>
      <c r="AA234" s="97"/>
      <c r="AB234" s="97"/>
      <c r="AC234" s="97"/>
      <c r="AD234" s="97"/>
      <c r="AE234" s="97"/>
      <c r="AF234" s="98"/>
      <c r="AG234" s="98"/>
      <c r="AH234" s="98"/>
      <c r="AI234" s="99"/>
      <c r="AJ234" s="95">
        <f t="shared" si="398"/>
        <v>0</v>
      </c>
      <c r="AK234" s="96">
        <f t="shared" si="399"/>
        <v>0</v>
      </c>
    </row>
    <row r="235" spans="1:38" ht="15.6" hidden="1" thickBot="1">
      <c r="A235" s="91"/>
      <c r="B235" s="174"/>
      <c r="C235" s="92"/>
      <c r="D235" s="101">
        <v>2020</v>
      </c>
      <c r="E235" s="102"/>
      <c r="F235" s="124"/>
      <c r="G235" s="124"/>
      <c r="H235" s="124"/>
      <c r="I235" s="124"/>
      <c r="J235" s="124"/>
      <c r="K235" s="124"/>
      <c r="L235" s="124"/>
      <c r="M235" s="125"/>
      <c r="N235" s="125"/>
      <c r="O235" s="125"/>
      <c r="P235" s="126"/>
      <c r="Q235" s="103">
        <f t="shared" si="395"/>
        <v>0</v>
      </c>
      <c r="R235" s="104">
        <f t="shared" si="342"/>
        <v>0</v>
      </c>
      <c r="S235" s="105"/>
      <c r="T235" s="91"/>
      <c r="U235" s="174"/>
      <c r="V235" s="92"/>
      <c r="W235" s="101">
        <v>2020</v>
      </c>
      <c r="X235" s="102"/>
      <c r="Y235" s="124"/>
      <c r="Z235" s="124"/>
      <c r="AA235" s="124"/>
      <c r="AB235" s="124"/>
      <c r="AC235" s="124"/>
      <c r="AD235" s="124"/>
      <c r="AE235" s="124"/>
      <c r="AF235" s="125"/>
      <c r="AG235" s="125"/>
      <c r="AH235" s="125"/>
      <c r="AI235" s="126"/>
      <c r="AJ235" s="103">
        <f t="shared" si="398"/>
        <v>0</v>
      </c>
      <c r="AK235" s="104">
        <f t="shared" si="399"/>
        <v>0</v>
      </c>
      <c r="AL235" s="105"/>
    </row>
    <row r="236" spans="1:38" ht="15.6" hidden="1" thickBot="1">
      <c r="A236" s="91"/>
      <c r="B236" s="164"/>
      <c r="C236" s="92"/>
      <c r="D236" s="101" t="s">
        <v>102</v>
      </c>
      <c r="E236" s="106" t="e">
        <f t="shared" ref="E236:R236" si="400">E235/E234</f>
        <v>#DIV/0!</v>
      </c>
      <c r="F236" s="106" t="e">
        <f t="shared" si="400"/>
        <v>#DIV/0!</v>
      </c>
      <c r="G236" s="106" t="e">
        <f t="shared" si="400"/>
        <v>#DIV/0!</v>
      </c>
      <c r="H236" s="106" t="e">
        <f t="shared" si="400"/>
        <v>#DIV/0!</v>
      </c>
      <c r="I236" s="106" t="e">
        <f t="shared" si="400"/>
        <v>#DIV/0!</v>
      </c>
      <c r="J236" s="106" t="e">
        <f t="shared" si="400"/>
        <v>#DIV/0!</v>
      </c>
      <c r="K236" s="106" t="e">
        <f t="shared" si="400"/>
        <v>#DIV/0!</v>
      </c>
      <c r="L236" s="106" t="e">
        <f t="shared" si="400"/>
        <v>#DIV/0!</v>
      </c>
      <c r="M236" s="107" t="e">
        <f t="shared" si="400"/>
        <v>#DIV/0!</v>
      </c>
      <c r="N236" s="107" t="e">
        <f t="shared" si="400"/>
        <v>#DIV/0!</v>
      </c>
      <c r="O236" s="107" t="e">
        <f t="shared" si="400"/>
        <v>#DIV/0!</v>
      </c>
      <c r="P236" s="108" t="e">
        <f t="shared" si="400"/>
        <v>#DIV/0!</v>
      </c>
      <c r="Q236" s="109" t="e">
        <f t="shared" si="400"/>
        <v>#DIV/0!</v>
      </c>
      <c r="R236" s="110" t="e">
        <f t="shared" si="400"/>
        <v>#DIV/0!</v>
      </c>
      <c r="S236" s="105"/>
      <c r="T236" s="91"/>
      <c r="U236" s="164"/>
      <c r="V236" s="92"/>
      <c r="W236" s="101" t="s">
        <v>102</v>
      </c>
      <c r="X236" s="106" t="e">
        <f t="shared" ref="X236:AK236" si="401">X235/X234</f>
        <v>#DIV/0!</v>
      </c>
      <c r="Y236" s="106" t="e">
        <f t="shared" si="401"/>
        <v>#DIV/0!</v>
      </c>
      <c r="Z236" s="106" t="e">
        <f t="shared" si="401"/>
        <v>#DIV/0!</v>
      </c>
      <c r="AA236" s="106" t="e">
        <f t="shared" si="401"/>
        <v>#DIV/0!</v>
      </c>
      <c r="AB236" s="106" t="e">
        <f t="shared" si="401"/>
        <v>#DIV/0!</v>
      </c>
      <c r="AC236" s="106" t="e">
        <f t="shared" si="401"/>
        <v>#DIV/0!</v>
      </c>
      <c r="AD236" s="106" t="e">
        <f t="shared" si="401"/>
        <v>#DIV/0!</v>
      </c>
      <c r="AE236" s="106" t="e">
        <f t="shared" si="401"/>
        <v>#DIV/0!</v>
      </c>
      <c r="AF236" s="107" t="e">
        <f t="shared" si="401"/>
        <v>#DIV/0!</v>
      </c>
      <c r="AG236" s="107" t="e">
        <f t="shared" si="401"/>
        <v>#DIV/0!</v>
      </c>
      <c r="AH236" s="107" t="e">
        <f t="shared" si="401"/>
        <v>#DIV/0!</v>
      </c>
      <c r="AI236" s="108" t="e">
        <f t="shared" si="401"/>
        <v>#DIV/0!</v>
      </c>
      <c r="AJ236" s="109" t="e">
        <f t="shared" si="401"/>
        <v>#DIV/0!</v>
      </c>
      <c r="AK236" s="110" t="e">
        <f t="shared" si="401"/>
        <v>#DIV/0!</v>
      </c>
      <c r="AL236" s="105"/>
    </row>
    <row r="237" spans="1:38" ht="15.6" hidden="1" thickBot="1">
      <c r="A237" s="91"/>
      <c r="B237" s="100"/>
      <c r="C237" s="111"/>
      <c r="D237" s="112" t="s">
        <v>103</v>
      </c>
      <c r="E237" s="113" t="e">
        <f t="shared" ref="E237:R237" si="402">E235/E233</f>
        <v>#DIV/0!</v>
      </c>
      <c r="F237" s="113" t="e">
        <f t="shared" si="402"/>
        <v>#DIV/0!</v>
      </c>
      <c r="G237" s="113" t="e">
        <f t="shared" si="402"/>
        <v>#DIV/0!</v>
      </c>
      <c r="H237" s="113" t="e">
        <f t="shared" si="402"/>
        <v>#DIV/0!</v>
      </c>
      <c r="I237" s="113" t="e">
        <f t="shared" si="402"/>
        <v>#DIV/0!</v>
      </c>
      <c r="J237" s="113" t="e">
        <f t="shared" si="402"/>
        <v>#DIV/0!</v>
      </c>
      <c r="K237" s="113" t="e">
        <f t="shared" si="402"/>
        <v>#DIV/0!</v>
      </c>
      <c r="L237" s="113" t="e">
        <f t="shared" si="402"/>
        <v>#DIV/0!</v>
      </c>
      <c r="M237" s="113" t="e">
        <f t="shared" si="402"/>
        <v>#DIV/0!</v>
      </c>
      <c r="N237" s="113" t="e">
        <f t="shared" si="402"/>
        <v>#DIV/0!</v>
      </c>
      <c r="O237" s="113" t="e">
        <f t="shared" si="402"/>
        <v>#DIV/0!</v>
      </c>
      <c r="P237" s="114" t="e">
        <f t="shared" si="402"/>
        <v>#DIV/0!</v>
      </c>
      <c r="Q237" s="115" t="e">
        <f t="shared" si="402"/>
        <v>#DIV/0!</v>
      </c>
      <c r="R237" s="116" t="e">
        <f t="shared" si="402"/>
        <v>#DIV/0!</v>
      </c>
      <c r="T237" s="91"/>
      <c r="U237" s="100"/>
      <c r="V237" s="111"/>
      <c r="W237" s="112" t="s">
        <v>103</v>
      </c>
      <c r="X237" s="113" t="e">
        <f t="shared" ref="X237:AK237" si="403">X235/X233</f>
        <v>#DIV/0!</v>
      </c>
      <c r="Y237" s="113" t="e">
        <f t="shared" si="403"/>
        <v>#DIV/0!</v>
      </c>
      <c r="Z237" s="113" t="e">
        <f t="shared" si="403"/>
        <v>#DIV/0!</v>
      </c>
      <c r="AA237" s="113" t="e">
        <f t="shared" si="403"/>
        <v>#DIV/0!</v>
      </c>
      <c r="AB237" s="113" t="e">
        <f t="shared" si="403"/>
        <v>#DIV/0!</v>
      </c>
      <c r="AC237" s="113" t="e">
        <f t="shared" si="403"/>
        <v>#DIV/0!</v>
      </c>
      <c r="AD237" s="113" t="e">
        <f t="shared" si="403"/>
        <v>#DIV/0!</v>
      </c>
      <c r="AE237" s="113" t="e">
        <f t="shared" si="403"/>
        <v>#DIV/0!</v>
      </c>
      <c r="AF237" s="113" t="e">
        <f t="shared" si="403"/>
        <v>#DIV/0!</v>
      </c>
      <c r="AG237" s="113" t="e">
        <f t="shared" si="403"/>
        <v>#DIV/0!</v>
      </c>
      <c r="AH237" s="113" t="e">
        <f t="shared" si="403"/>
        <v>#DIV/0!</v>
      </c>
      <c r="AI237" s="114" t="e">
        <f t="shared" si="403"/>
        <v>#DIV/0!</v>
      </c>
      <c r="AJ237" s="115" t="e">
        <f t="shared" si="403"/>
        <v>#DIV/0!</v>
      </c>
      <c r="AK237" s="116" t="e">
        <f t="shared" si="403"/>
        <v>#DIV/0!</v>
      </c>
    </row>
    <row r="238" spans="1:38" ht="15.6" hidden="1" thickBot="1">
      <c r="A238" s="91"/>
      <c r="B238" s="100"/>
      <c r="C238" s="86"/>
      <c r="D238" s="87">
        <v>2019</v>
      </c>
      <c r="E238" s="88"/>
      <c r="F238" s="121"/>
      <c r="G238" s="121"/>
      <c r="H238" s="121"/>
      <c r="I238" s="121"/>
      <c r="J238" s="121"/>
      <c r="K238" s="121"/>
      <c r="L238" s="121"/>
      <c r="M238" s="122"/>
      <c r="N238" s="122"/>
      <c r="O238" s="122"/>
      <c r="P238" s="123"/>
      <c r="Q238" s="89">
        <f t="shared" ref="Q238:Q240" si="404">SUM(E238:P238)</f>
        <v>0</v>
      </c>
      <c r="R238" s="90">
        <f t="shared" ref="R238" si="405">SUM(E238:M238)</f>
        <v>0</v>
      </c>
      <c r="T238" s="91"/>
      <c r="U238" s="100"/>
      <c r="V238" s="86">
        <f t="shared" ref="V238:V239" si="406">C238</f>
        <v>0</v>
      </c>
      <c r="W238" s="87">
        <v>2019</v>
      </c>
      <c r="X238" s="88"/>
      <c r="Y238" s="121"/>
      <c r="Z238" s="121"/>
      <c r="AA238" s="121"/>
      <c r="AB238" s="121"/>
      <c r="AC238" s="121"/>
      <c r="AD238" s="121"/>
      <c r="AE238" s="121"/>
      <c r="AF238" s="122"/>
      <c r="AG238" s="122"/>
      <c r="AH238" s="122"/>
      <c r="AI238" s="123"/>
      <c r="AJ238" s="89">
        <f t="shared" ref="AJ238:AJ240" si="407">SUM(X238:AI238)</f>
        <v>0</v>
      </c>
      <c r="AK238" s="90">
        <f t="shared" ref="AK238:AK240" si="408">SUM(X238:AF238)</f>
        <v>0</v>
      </c>
    </row>
    <row r="239" spans="1:38" ht="15.6" hidden="1" thickBot="1">
      <c r="A239" s="91"/>
      <c r="B239" s="100"/>
      <c r="C239" s="92"/>
      <c r="D239" s="93" t="s">
        <v>92</v>
      </c>
      <c r="E239" s="94"/>
      <c r="F239" s="97"/>
      <c r="G239" s="97"/>
      <c r="H239" s="97"/>
      <c r="I239" s="97"/>
      <c r="J239" s="97"/>
      <c r="K239" s="97"/>
      <c r="L239" s="97"/>
      <c r="M239" s="98"/>
      <c r="N239" s="98"/>
      <c r="O239" s="98"/>
      <c r="P239" s="99"/>
      <c r="Q239" s="95">
        <f t="shared" si="404"/>
        <v>0</v>
      </c>
      <c r="R239" s="96">
        <f t="shared" si="342"/>
        <v>0</v>
      </c>
      <c r="T239" s="91"/>
      <c r="U239" s="100"/>
      <c r="V239" s="92">
        <f t="shared" si="406"/>
        <v>0</v>
      </c>
      <c r="W239" s="93" t="s">
        <v>92</v>
      </c>
      <c r="X239" s="94"/>
      <c r="Y239" s="97"/>
      <c r="Z239" s="97"/>
      <c r="AA239" s="97"/>
      <c r="AB239" s="97"/>
      <c r="AC239" s="97"/>
      <c r="AD239" s="97"/>
      <c r="AE239" s="97"/>
      <c r="AF239" s="98"/>
      <c r="AG239" s="98"/>
      <c r="AH239" s="98"/>
      <c r="AI239" s="99"/>
      <c r="AJ239" s="95">
        <f t="shared" si="407"/>
        <v>0</v>
      </c>
      <c r="AK239" s="96">
        <f t="shared" si="408"/>
        <v>0</v>
      </c>
    </row>
    <row r="240" spans="1:38" ht="15.6" hidden="1" thickBot="1">
      <c r="A240" s="91"/>
      <c r="B240" s="100"/>
      <c r="C240" s="92"/>
      <c r="D240" s="101">
        <v>2020</v>
      </c>
      <c r="E240" s="102"/>
      <c r="F240" s="124"/>
      <c r="G240" s="124"/>
      <c r="H240" s="124"/>
      <c r="I240" s="124"/>
      <c r="J240" s="124"/>
      <c r="K240" s="124"/>
      <c r="L240" s="124"/>
      <c r="M240" s="125"/>
      <c r="N240" s="125"/>
      <c r="O240" s="125"/>
      <c r="P240" s="126"/>
      <c r="Q240" s="103">
        <f t="shared" si="404"/>
        <v>0</v>
      </c>
      <c r="R240" s="104">
        <f t="shared" si="342"/>
        <v>0</v>
      </c>
      <c r="S240" s="105"/>
      <c r="T240" s="91"/>
      <c r="U240" s="100"/>
      <c r="V240" s="92"/>
      <c r="W240" s="101">
        <v>2020</v>
      </c>
      <c r="X240" s="102"/>
      <c r="Y240" s="124"/>
      <c r="Z240" s="124"/>
      <c r="AA240" s="124"/>
      <c r="AB240" s="124"/>
      <c r="AC240" s="124"/>
      <c r="AD240" s="124"/>
      <c r="AE240" s="124"/>
      <c r="AF240" s="125"/>
      <c r="AG240" s="125"/>
      <c r="AH240" s="125"/>
      <c r="AI240" s="126"/>
      <c r="AJ240" s="103">
        <f t="shared" si="407"/>
        <v>0</v>
      </c>
      <c r="AK240" s="104">
        <f t="shared" si="408"/>
        <v>0</v>
      </c>
      <c r="AL240" s="105"/>
    </row>
    <row r="241" spans="1:38" ht="15.6" hidden="1" thickBot="1">
      <c r="A241" s="91"/>
      <c r="B241" s="100"/>
      <c r="C241" s="92"/>
      <c r="D241" s="101" t="s">
        <v>102</v>
      </c>
      <c r="E241" s="106" t="e">
        <f t="shared" ref="E241:R241" si="409">E240/E239</f>
        <v>#DIV/0!</v>
      </c>
      <c r="F241" s="106" t="e">
        <f t="shared" si="409"/>
        <v>#DIV/0!</v>
      </c>
      <c r="G241" s="106" t="e">
        <f t="shared" si="409"/>
        <v>#DIV/0!</v>
      </c>
      <c r="H241" s="106" t="e">
        <f t="shared" si="409"/>
        <v>#DIV/0!</v>
      </c>
      <c r="I241" s="106" t="e">
        <f t="shared" si="409"/>
        <v>#DIV/0!</v>
      </c>
      <c r="J241" s="106" t="e">
        <f t="shared" si="409"/>
        <v>#DIV/0!</v>
      </c>
      <c r="K241" s="106" t="e">
        <f t="shared" si="409"/>
        <v>#DIV/0!</v>
      </c>
      <c r="L241" s="106" t="e">
        <f t="shared" si="409"/>
        <v>#DIV/0!</v>
      </c>
      <c r="M241" s="107" t="e">
        <f t="shared" si="409"/>
        <v>#DIV/0!</v>
      </c>
      <c r="N241" s="107" t="e">
        <f t="shared" si="409"/>
        <v>#DIV/0!</v>
      </c>
      <c r="O241" s="107" t="e">
        <f t="shared" si="409"/>
        <v>#DIV/0!</v>
      </c>
      <c r="P241" s="108" t="e">
        <f t="shared" si="409"/>
        <v>#DIV/0!</v>
      </c>
      <c r="Q241" s="109" t="e">
        <f t="shared" si="409"/>
        <v>#DIV/0!</v>
      </c>
      <c r="R241" s="110" t="e">
        <f t="shared" si="409"/>
        <v>#DIV/0!</v>
      </c>
      <c r="S241" s="105"/>
      <c r="T241" s="91"/>
      <c r="U241" s="100"/>
      <c r="V241" s="92"/>
      <c r="W241" s="101" t="s">
        <v>102</v>
      </c>
      <c r="X241" s="106" t="e">
        <f t="shared" ref="X241:AK241" si="410">X240/X239</f>
        <v>#DIV/0!</v>
      </c>
      <c r="Y241" s="106" t="e">
        <f t="shared" si="410"/>
        <v>#DIV/0!</v>
      </c>
      <c r="Z241" s="106" t="e">
        <f t="shared" si="410"/>
        <v>#DIV/0!</v>
      </c>
      <c r="AA241" s="106" t="e">
        <f t="shared" si="410"/>
        <v>#DIV/0!</v>
      </c>
      <c r="AB241" s="106" t="e">
        <f t="shared" si="410"/>
        <v>#DIV/0!</v>
      </c>
      <c r="AC241" s="106" t="e">
        <f t="shared" si="410"/>
        <v>#DIV/0!</v>
      </c>
      <c r="AD241" s="106" t="e">
        <f t="shared" si="410"/>
        <v>#DIV/0!</v>
      </c>
      <c r="AE241" s="106" t="e">
        <f t="shared" si="410"/>
        <v>#DIV/0!</v>
      </c>
      <c r="AF241" s="107" t="e">
        <f t="shared" si="410"/>
        <v>#DIV/0!</v>
      </c>
      <c r="AG241" s="107" t="e">
        <f t="shared" si="410"/>
        <v>#DIV/0!</v>
      </c>
      <c r="AH241" s="107" t="e">
        <f t="shared" si="410"/>
        <v>#DIV/0!</v>
      </c>
      <c r="AI241" s="108" t="e">
        <f t="shared" si="410"/>
        <v>#DIV/0!</v>
      </c>
      <c r="AJ241" s="109" t="e">
        <f t="shared" si="410"/>
        <v>#DIV/0!</v>
      </c>
      <c r="AK241" s="110" t="e">
        <f t="shared" si="410"/>
        <v>#DIV/0!</v>
      </c>
      <c r="AL241" s="105"/>
    </row>
    <row r="242" spans="1:38" ht="15.6" hidden="1" thickBot="1">
      <c r="A242" s="91"/>
      <c r="B242" s="100"/>
      <c r="C242" s="111"/>
      <c r="D242" s="112" t="s">
        <v>103</v>
      </c>
      <c r="E242" s="113" t="e">
        <f t="shared" ref="E242:R242" si="411">E240/E238</f>
        <v>#DIV/0!</v>
      </c>
      <c r="F242" s="113" t="e">
        <f t="shared" si="411"/>
        <v>#DIV/0!</v>
      </c>
      <c r="G242" s="113" t="e">
        <f t="shared" si="411"/>
        <v>#DIV/0!</v>
      </c>
      <c r="H242" s="113" t="e">
        <f t="shared" si="411"/>
        <v>#DIV/0!</v>
      </c>
      <c r="I242" s="113" t="e">
        <f t="shared" si="411"/>
        <v>#DIV/0!</v>
      </c>
      <c r="J242" s="113" t="e">
        <f t="shared" si="411"/>
        <v>#DIV/0!</v>
      </c>
      <c r="K242" s="113" t="e">
        <f t="shared" si="411"/>
        <v>#DIV/0!</v>
      </c>
      <c r="L242" s="113" t="e">
        <f t="shared" si="411"/>
        <v>#DIV/0!</v>
      </c>
      <c r="M242" s="113" t="e">
        <f t="shared" si="411"/>
        <v>#DIV/0!</v>
      </c>
      <c r="N242" s="113" t="e">
        <f t="shared" si="411"/>
        <v>#DIV/0!</v>
      </c>
      <c r="O242" s="113" t="e">
        <f t="shared" si="411"/>
        <v>#DIV/0!</v>
      </c>
      <c r="P242" s="114" t="e">
        <f t="shared" si="411"/>
        <v>#DIV/0!</v>
      </c>
      <c r="Q242" s="115" t="e">
        <f t="shared" si="411"/>
        <v>#DIV/0!</v>
      </c>
      <c r="R242" s="116" t="e">
        <f t="shared" si="411"/>
        <v>#DIV/0!</v>
      </c>
      <c r="T242" s="91"/>
      <c r="U242" s="100"/>
      <c r="V242" s="111"/>
      <c r="W242" s="112" t="s">
        <v>103</v>
      </c>
      <c r="X242" s="113" t="e">
        <f t="shared" ref="X242:AK242" si="412">X240/X238</f>
        <v>#DIV/0!</v>
      </c>
      <c r="Y242" s="113" t="e">
        <f t="shared" si="412"/>
        <v>#DIV/0!</v>
      </c>
      <c r="Z242" s="113" t="e">
        <f t="shared" si="412"/>
        <v>#DIV/0!</v>
      </c>
      <c r="AA242" s="113" t="e">
        <f t="shared" si="412"/>
        <v>#DIV/0!</v>
      </c>
      <c r="AB242" s="113" t="e">
        <f t="shared" si="412"/>
        <v>#DIV/0!</v>
      </c>
      <c r="AC242" s="113" t="e">
        <f t="shared" si="412"/>
        <v>#DIV/0!</v>
      </c>
      <c r="AD242" s="113" t="e">
        <f t="shared" si="412"/>
        <v>#DIV/0!</v>
      </c>
      <c r="AE242" s="113" t="e">
        <f t="shared" si="412"/>
        <v>#DIV/0!</v>
      </c>
      <c r="AF242" s="113" t="e">
        <f t="shared" si="412"/>
        <v>#DIV/0!</v>
      </c>
      <c r="AG242" s="113" t="e">
        <f t="shared" si="412"/>
        <v>#DIV/0!</v>
      </c>
      <c r="AH242" s="113" t="e">
        <f t="shared" si="412"/>
        <v>#DIV/0!</v>
      </c>
      <c r="AI242" s="114" t="e">
        <f t="shared" si="412"/>
        <v>#DIV/0!</v>
      </c>
      <c r="AJ242" s="115" t="e">
        <f t="shared" si="412"/>
        <v>#DIV/0!</v>
      </c>
      <c r="AK242" s="116" t="e">
        <f t="shared" si="412"/>
        <v>#DIV/0!</v>
      </c>
    </row>
    <row r="243" spans="1:38" ht="15.6" hidden="1" thickBot="1">
      <c r="A243" s="91"/>
      <c r="B243" s="100"/>
      <c r="C243" s="86"/>
      <c r="D243" s="87">
        <v>2019</v>
      </c>
      <c r="E243" s="88"/>
      <c r="F243" s="121"/>
      <c r="G243" s="121"/>
      <c r="H243" s="121"/>
      <c r="I243" s="121"/>
      <c r="J243" s="121"/>
      <c r="K243" s="121"/>
      <c r="L243" s="121"/>
      <c r="M243" s="122"/>
      <c r="N243" s="122"/>
      <c r="O243" s="122"/>
      <c r="P243" s="123"/>
      <c r="Q243" s="89">
        <f t="shared" ref="Q243:Q245" si="413">SUM(E243:P243)</f>
        <v>0</v>
      </c>
      <c r="R243" s="90">
        <f t="shared" ref="R243" si="414">SUM(E243:M243)</f>
        <v>0</v>
      </c>
      <c r="T243" s="91"/>
      <c r="U243" s="100"/>
      <c r="V243" s="86">
        <f t="shared" ref="V243:V244" si="415">C243</f>
        <v>0</v>
      </c>
      <c r="W243" s="87">
        <v>2019</v>
      </c>
      <c r="X243" s="88"/>
      <c r="Y243" s="121"/>
      <c r="Z243" s="121"/>
      <c r="AA243" s="121"/>
      <c r="AB243" s="121"/>
      <c r="AC243" s="121"/>
      <c r="AD243" s="121"/>
      <c r="AE243" s="121"/>
      <c r="AF243" s="122"/>
      <c r="AG243" s="122"/>
      <c r="AH243" s="122"/>
      <c r="AI243" s="123"/>
      <c r="AJ243" s="89">
        <f t="shared" ref="AJ243:AJ245" si="416">SUM(X243:AI243)</f>
        <v>0</v>
      </c>
      <c r="AK243" s="90">
        <f t="shared" ref="AK243:AK245" si="417">SUM(X243:AF243)</f>
        <v>0</v>
      </c>
    </row>
    <row r="244" spans="1:38" ht="15.6" hidden="1" thickBot="1">
      <c r="A244" s="91"/>
      <c r="B244" s="100"/>
      <c r="C244" s="92"/>
      <c r="D244" s="93" t="s">
        <v>92</v>
      </c>
      <c r="E244" s="94"/>
      <c r="F244" s="97"/>
      <c r="G244" s="97"/>
      <c r="H244" s="97"/>
      <c r="I244" s="97"/>
      <c r="J244" s="97"/>
      <c r="K244" s="97"/>
      <c r="L244" s="97"/>
      <c r="M244" s="98"/>
      <c r="N244" s="98"/>
      <c r="O244" s="98"/>
      <c r="P244" s="99"/>
      <c r="Q244" s="95">
        <f t="shared" si="413"/>
        <v>0</v>
      </c>
      <c r="R244" s="96">
        <f t="shared" si="342"/>
        <v>0</v>
      </c>
      <c r="T244" s="91"/>
      <c r="U244" s="100"/>
      <c r="V244" s="92">
        <f t="shared" si="415"/>
        <v>0</v>
      </c>
      <c r="W244" s="93" t="s">
        <v>92</v>
      </c>
      <c r="X244" s="94"/>
      <c r="Y244" s="97"/>
      <c r="Z244" s="97"/>
      <c r="AA244" s="97"/>
      <c r="AB244" s="97"/>
      <c r="AC244" s="97"/>
      <c r="AD244" s="97"/>
      <c r="AE244" s="97"/>
      <c r="AF244" s="98"/>
      <c r="AG244" s="98"/>
      <c r="AH244" s="98"/>
      <c r="AI244" s="99"/>
      <c r="AJ244" s="95">
        <f t="shared" si="416"/>
        <v>0</v>
      </c>
      <c r="AK244" s="96">
        <f t="shared" si="417"/>
        <v>0</v>
      </c>
    </row>
    <row r="245" spans="1:38" ht="15.6" hidden="1" thickBot="1">
      <c r="A245" s="91"/>
      <c r="B245" s="100"/>
      <c r="C245" s="92"/>
      <c r="D245" s="101">
        <v>2020</v>
      </c>
      <c r="E245" s="102"/>
      <c r="F245" s="124"/>
      <c r="G245" s="124"/>
      <c r="H245" s="124"/>
      <c r="I245" s="124"/>
      <c r="J245" s="124"/>
      <c r="K245" s="124"/>
      <c r="L245" s="124"/>
      <c r="M245" s="125"/>
      <c r="N245" s="125"/>
      <c r="O245" s="125"/>
      <c r="P245" s="126"/>
      <c r="Q245" s="103">
        <f t="shared" si="413"/>
        <v>0</v>
      </c>
      <c r="R245" s="104">
        <f t="shared" si="342"/>
        <v>0</v>
      </c>
      <c r="S245" s="105"/>
      <c r="T245" s="91"/>
      <c r="U245" s="100"/>
      <c r="V245" s="92"/>
      <c r="W245" s="101">
        <v>2020</v>
      </c>
      <c r="X245" s="102"/>
      <c r="Y245" s="124"/>
      <c r="Z245" s="124"/>
      <c r="AA245" s="124"/>
      <c r="AB245" s="124"/>
      <c r="AC245" s="124"/>
      <c r="AD245" s="124"/>
      <c r="AE245" s="124"/>
      <c r="AF245" s="125"/>
      <c r="AG245" s="125"/>
      <c r="AH245" s="125"/>
      <c r="AI245" s="126"/>
      <c r="AJ245" s="103">
        <f t="shared" si="416"/>
        <v>0</v>
      </c>
      <c r="AK245" s="104">
        <f t="shared" si="417"/>
        <v>0</v>
      </c>
      <c r="AL245" s="105"/>
    </row>
    <row r="246" spans="1:38" ht="15.6" hidden="1" thickBot="1">
      <c r="A246" s="91"/>
      <c r="B246" s="100"/>
      <c r="C246" s="92"/>
      <c r="D246" s="101" t="s">
        <v>102</v>
      </c>
      <c r="E246" s="106" t="e">
        <f t="shared" ref="E246:R246" si="418">E245/E244</f>
        <v>#DIV/0!</v>
      </c>
      <c r="F246" s="106" t="e">
        <f t="shared" si="418"/>
        <v>#DIV/0!</v>
      </c>
      <c r="G246" s="106" t="e">
        <f t="shared" si="418"/>
        <v>#DIV/0!</v>
      </c>
      <c r="H246" s="106" t="e">
        <f t="shared" si="418"/>
        <v>#DIV/0!</v>
      </c>
      <c r="I246" s="106" t="e">
        <f t="shared" si="418"/>
        <v>#DIV/0!</v>
      </c>
      <c r="J246" s="106" t="e">
        <f t="shared" si="418"/>
        <v>#DIV/0!</v>
      </c>
      <c r="K246" s="106" t="e">
        <f t="shared" si="418"/>
        <v>#DIV/0!</v>
      </c>
      <c r="L246" s="106" t="e">
        <f t="shared" si="418"/>
        <v>#DIV/0!</v>
      </c>
      <c r="M246" s="107" t="e">
        <f t="shared" si="418"/>
        <v>#DIV/0!</v>
      </c>
      <c r="N246" s="107" t="e">
        <f t="shared" si="418"/>
        <v>#DIV/0!</v>
      </c>
      <c r="O246" s="107" t="e">
        <f t="shared" si="418"/>
        <v>#DIV/0!</v>
      </c>
      <c r="P246" s="108" t="e">
        <f t="shared" si="418"/>
        <v>#DIV/0!</v>
      </c>
      <c r="Q246" s="109" t="e">
        <f t="shared" si="418"/>
        <v>#DIV/0!</v>
      </c>
      <c r="R246" s="110" t="e">
        <f t="shared" si="418"/>
        <v>#DIV/0!</v>
      </c>
      <c r="S246" s="105"/>
      <c r="T246" s="91"/>
      <c r="U246" s="100"/>
      <c r="V246" s="92"/>
      <c r="W246" s="101" t="s">
        <v>102</v>
      </c>
      <c r="X246" s="106" t="e">
        <f t="shared" ref="X246:AK246" si="419">X245/X244</f>
        <v>#DIV/0!</v>
      </c>
      <c r="Y246" s="106" t="e">
        <f t="shared" si="419"/>
        <v>#DIV/0!</v>
      </c>
      <c r="Z246" s="106" t="e">
        <f t="shared" si="419"/>
        <v>#DIV/0!</v>
      </c>
      <c r="AA246" s="106" t="e">
        <f t="shared" si="419"/>
        <v>#DIV/0!</v>
      </c>
      <c r="AB246" s="106" t="e">
        <f t="shared" si="419"/>
        <v>#DIV/0!</v>
      </c>
      <c r="AC246" s="106" t="e">
        <f t="shared" si="419"/>
        <v>#DIV/0!</v>
      </c>
      <c r="AD246" s="106" t="e">
        <f t="shared" si="419"/>
        <v>#DIV/0!</v>
      </c>
      <c r="AE246" s="106" t="e">
        <f t="shared" si="419"/>
        <v>#DIV/0!</v>
      </c>
      <c r="AF246" s="107" t="e">
        <f t="shared" si="419"/>
        <v>#DIV/0!</v>
      </c>
      <c r="AG246" s="107" t="e">
        <f t="shared" si="419"/>
        <v>#DIV/0!</v>
      </c>
      <c r="AH246" s="107" t="e">
        <f t="shared" si="419"/>
        <v>#DIV/0!</v>
      </c>
      <c r="AI246" s="108" t="e">
        <f t="shared" si="419"/>
        <v>#DIV/0!</v>
      </c>
      <c r="AJ246" s="109" t="e">
        <f t="shared" si="419"/>
        <v>#DIV/0!</v>
      </c>
      <c r="AK246" s="110" t="e">
        <f t="shared" si="419"/>
        <v>#DIV/0!</v>
      </c>
      <c r="AL246" s="105"/>
    </row>
    <row r="247" spans="1:38" ht="15.6" hidden="1" thickBot="1">
      <c r="A247" s="91"/>
      <c r="B247" s="100"/>
      <c r="C247" s="111"/>
      <c r="D247" s="112" t="s">
        <v>103</v>
      </c>
      <c r="E247" s="113" t="e">
        <f t="shared" ref="E247:R247" si="420">E245/E243</f>
        <v>#DIV/0!</v>
      </c>
      <c r="F247" s="113" t="e">
        <f t="shared" si="420"/>
        <v>#DIV/0!</v>
      </c>
      <c r="G247" s="113" t="e">
        <f t="shared" si="420"/>
        <v>#DIV/0!</v>
      </c>
      <c r="H247" s="113" t="e">
        <f t="shared" si="420"/>
        <v>#DIV/0!</v>
      </c>
      <c r="I247" s="113" t="e">
        <f t="shared" si="420"/>
        <v>#DIV/0!</v>
      </c>
      <c r="J247" s="113" t="e">
        <f t="shared" si="420"/>
        <v>#DIV/0!</v>
      </c>
      <c r="K247" s="113" t="e">
        <f t="shared" si="420"/>
        <v>#DIV/0!</v>
      </c>
      <c r="L247" s="113" t="e">
        <f t="shared" si="420"/>
        <v>#DIV/0!</v>
      </c>
      <c r="M247" s="113" t="e">
        <f t="shared" si="420"/>
        <v>#DIV/0!</v>
      </c>
      <c r="N247" s="113" t="e">
        <f t="shared" si="420"/>
        <v>#DIV/0!</v>
      </c>
      <c r="O247" s="113" t="e">
        <f t="shared" si="420"/>
        <v>#DIV/0!</v>
      </c>
      <c r="P247" s="114" t="e">
        <f t="shared" si="420"/>
        <v>#DIV/0!</v>
      </c>
      <c r="Q247" s="115" t="e">
        <f t="shared" si="420"/>
        <v>#DIV/0!</v>
      </c>
      <c r="R247" s="116" t="e">
        <f t="shared" si="420"/>
        <v>#DIV/0!</v>
      </c>
      <c r="T247" s="91"/>
      <c r="U247" s="100"/>
      <c r="V247" s="111"/>
      <c r="W247" s="112" t="s">
        <v>103</v>
      </c>
      <c r="X247" s="113" t="e">
        <f t="shared" ref="X247:AK247" si="421">X245/X243</f>
        <v>#DIV/0!</v>
      </c>
      <c r="Y247" s="113" t="e">
        <f t="shared" si="421"/>
        <v>#DIV/0!</v>
      </c>
      <c r="Z247" s="113" t="e">
        <f t="shared" si="421"/>
        <v>#DIV/0!</v>
      </c>
      <c r="AA247" s="113" t="e">
        <f t="shared" si="421"/>
        <v>#DIV/0!</v>
      </c>
      <c r="AB247" s="113" t="e">
        <f t="shared" si="421"/>
        <v>#DIV/0!</v>
      </c>
      <c r="AC247" s="113" t="e">
        <f t="shared" si="421"/>
        <v>#DIV/0!</v>
      </c>
      <c r="AD247" s="113" t="e">
        <f t="shared" si="421"/>
        <v>#DIV/0!</v>
      </c>
      <c r="AE247" s="113" t="e">
        <f t="shared" si="421"/>
        <v>#DIV/0!</v>
      </c>
      <c r="AF247" s="113" t="e">
        <f t="shared" si="421"/>
        <v>#DIV/0!</v>
      </c>
      <c r="AG247" s="113" t="e">
        <f t="shared" si="421"/>
        <v>#DIV/0!</v>
      </c>
      <c r="AH247" s="113" t="e">
        <f t="shared" si="421"/>
        <v>#DIV/0!</v>
      </c>
      <c r="AI247" s="114" t="e">
        <f t="shared" si="421"/>
        <v>#DIV/0!</v>
      </c>
      <c r="AJ247" s="115" t="e">
        <f t="shared" si="421"/>
        <v>#DIV/0!</v>
      </c>
      <c r="AK247" s="116" t="e">
        <f t="shared" si="421"/>
        <v>#DIV/0!</v>
      </c>
    </row>
    <row r="248" spans="1:38" ht="15.6" hidden="1" thickBot="1">
      <c r="A248" s="91"/>
      <c r="B248" s="100"/>
      <c r="C248" s="86"/>
      <c r="D248" s="87">
        <v>2019</v>
      </c>
      <c r="E248" s="88"/>
      <c r="F248" s="121"/>
      <c r="G248" s="121"/>
      <c r="H248" s="121"/>
      <c r="I248" s="121"/>
      <c r="J248" s="121"/>
      <c r="K248" s="121"/>
      <c r="L248" s="121"/>
      <c r="M248" s="122"/>
      <c r="N248" s="122"/>
      <c r="O248" s="122"/>
      <c r="P248" s="123"/>
      <c r="Q248" s="89">
        <f t="shared" ref="Q248:Q250" si="422">SUM(E248:P248)</f>
        <v>0</v>
      </c>
      <c r="R248" s="90">
        <f t="shared" ref="R248" si="423">SUM(E248:M248)</f>
        <v>0</v>
      </c>
      <c r="T248" s="91"/>
      <c r="U248" s="100"/>
      <c r="V248" s="86">
        <f t="shared" ref="V248:V249" si="424">C248</f>
        <v>0</v>
      </c>
      <c r="W248" s="87">
        <v>2019</v>
      </c>
      <c r="X248" s="88"/>
      <c r="Y248" s="121"/>
      <c r="Z248" s="121"/>
      <c r="AA248" s="121"/>
      <c r="AB248" s="121"/>
      <c r="AC248" s="121"/>
      <c r="AD248" s="121"/>
      <c r="AE248" s="121"/>
      <c r="AF248" s="122"/>
      <c r="AG248" s="122"/>
      <c r="AH248" s="122"/>
      <c r="AI248" s="123"/>
      <c r="AJ248" s="89">
        <f t="shared" ref="AJ248:AJ250" si="425">SUM(X248:AI248)</f>
        <v>0</v>
      </c>
      <c r="AK248" s="90">
        <f t="shared" ref="AK248:AK250" si="426">SUM(X248:AF248)</f>
        <v>0</v>
      </c>
    </row>
    <row r="249" spans="1:38" ht="15.6" hidden="1" thickBot="1">
      <c r="A249" s="91"/>
      <c r="B249" s="100"/>
      <c r="C249" s="92"/>
      <c r="D249" s="93" t="s">
        <v>92</v>
      </c>
      <c r="E249" s="94"/>
      <c r="F249" s="97"/>
      <c r="G249" s="97"/>
      <c r="H249" s="97"/>
      <c r="I249" s="97"/>
      <c r="J249" s="97"/>
      <c r="K249" s="97"/>
      <c r="L249" s="97"/>
      <c r="M249" s="98"/>
      <c r="N249" s="98"/>
      <c r="O249" s="98"/>
      <c r="P249" s="99"/>
      <c r="Q249" s="95">
        <f t="shared" si="422"/>
        <v>0</v>
      </c>
      <c r="R249" s="96">
        <f t="shared" si="342"/>
        <v>0</v>
      </c>
      <c r="T249" s="91"/>
      <c r="U249" s="100"/>
      <c r="V249" s="92">
        <f t="shared" si="424"/>
        <v>0</v>
      </c>
      <c r="W249" s="93" t="s">
        <v>92</v>
      </c>
      <c r="X249" s="94"/>
      <c r="Y249" s="97"/>
      <c r="Z249" s="97"/>
      <c r="AA249" s="97"/>
      <c r="AB249" s="97"/>
      <c r="AC249" s="97"/>
      <c r="AD249" s="97"/>
      <c r="AE249" s="97"/>
      <c r="AF249" s="98"/>
      <c r="AG249" s="98"/>
      <c r="AH249" s="98"/>
      <c r="AI249" s="99"/>
      <c r="AJ249" s="95">
        <f t="shared" si="425"/>
        <v>0</v>
      </c>
      <c r="AK249" s="96">
        <f t="shared" si="426"/>
        <v>0</v>
      </c>
    </row>
    <row r="250" spans="1:38" ht="15.6" hidden="1" thickBot="1">
      <c r="A250" s="91"/>
      <c r="B250" s="100"/>
      <c r="C250" s="92"/>
      <c r="D250" s="101">
        <v>2020</v>
      </c>
      <c r="E250" s="102"/>
      <c r="F250" s="124"/>
      <c r="G250" s="124"/>
      <c r="H250" s="124"/>
      <c r="I250" s="124"/>
      <c r="J250" s="124"/>
      <c r="K250" s="124"/>
      <c r="L250" s="124"/>
      <c r="M250" s="125"/>
      <c r="N250" s="125"/>
      <c r="O250" s="125"/>
      <c r="P250" s="126"/>
      <c r="Q250" s="103">
        <f t="shared" si="422"/>
        <v>0</v>
      </c>
      <c r="R250" s="104">
        <f t="shared" si="342"/>
        <v>0</v>
      </c>
      <c r="S250" s="105"/>
      <c r="T250" s="91"/>
      <c r="U250" s="100"/>
      <c r="V250" s="92"/>
      <c r="W250" s="101">
        <v>2020</v>
      </c>
      <c r="X250" s="102"/>
      <c r="Y250" s="124"/>
      <c r="Z250" s="124"/>
      <c r="AA250" s="124"/>
      <c r="AB250" s="124"/>
      <c r="AC250" s="124"/>
      <c r="AD250" s="124"/>
      <c r="AE250" s="124"/>
      <c r="AF250" s="125"/>
      <c r="AG250" s="125"/>
      <c r="AH250" s="125"/>
      <c r="AI250" s="126"/>
      <c r="AJ250" s="103">
        <f t="shared" si="425"/>
        <v>0</v>
      </c>
      <c r="AK250" s="104">
        <f t="shared" si="426"/>
        <v>0</v>
      </c>
      <c r="AL250" s="105"/>
    </row>
    <row r="251" spans="1:38" ht="15.6" hidden="1" thickBot="1">
      <c r="A251" s="91"/>
      <c r="B251" s="100"/>
      <c r="C251" s="92"/>
      <c r="D251" s="101" t="s">
        <v>102</v>
      </c>
      <c r="E251" s="106" t="e">
        <f t="shared" ref="E251:R251" si="427">E250/E249</f>
        <v>#DIV/0!</v>
      </c>
      <c r="F251" s="106" t="e">
        <f t="shared" si="427"/>
        <v>#DIV/0!</v>
      </c>
      <c r="G251" s="106" t="e">
        <f t="shared" si="427"/>
        <v>#DIV/0!</v>
      </c>
      <c r="H251" s="106" t="e">
        <f t="shared" si="427"/>
        <v>#DIV/0!</v>
      </c>
      <c r="I251" s="106" t="e">
        <f t="shared" si="427"/>
        <v>#DIV/0!</v>
      </c>
      <c r="J251" s="106" t="e">
        <f t="shared" si="427"/>
        <v>#DIV/0!</v>
      </c>
      <c r="K251" s="106" t="e">
        <f t="shared" si="427"/>
        <v>#DIV/0!</v>
      </c>
      <c r="L251" s="106" t="e">
        <f t="shared" si="427"/>
        <v>#DIV/0!</v>
      </c>
      <c r="M251" s="107" t="e">
        <f t="shared" si="427"/>
        <v>#DIV/0!</v>
      </c>
      <c r="N251" s="107" t="e">
        <f t="shared" si="427"/>
        <v>#DIV/0!</v>
      </c>
      <c r="O251" s="107" t="e">
        <f t="shared" si="427"/>
        <v>#DIV/0!</v>
      </c>
      <c r="P251" s="108" t="e">
        <f t="shared" si="427"/>
        <v>#DIV/0!</v>
      </c>
      <c r="Q251" s="109" t="e">
        <f t="shared" si="427"/>
        <v>#DIV/0!</v>
      </c>
      <c r="R251" s="110" t="e">
        <f t="shared" si="427"/>
        <v>#DIV/0!</v>
      </c>
      <c r="S251" s="105"/>
      <c r="T251" s="91"/>
      <c r="U251" s="100"/>
      <c r="V251" s="92"/>
      <c r="W251" s="101" t="s">
        <v>102</v>
      </c>
      <c r="X251" s="106" t="e">
        <f t="shared" ref="X251:AK251" si="428">X250/X249</f>
        <v>#DIV/0!</v>
      </c>
      <c r="Y251" s="106" t="e">
        <f t="shared" si="428"/>
        <v>#DIV/0!</v>
      </c>
      <c r="Z251" s="106" t="e">
        <f t="shared" si="428"/>
        <v>#DIV/0!</v>
      </c>
      <c r="AA251" s="106" t="e">
        <f t="shared" si="428"/>
        <v>#DIV/0!</v>
      </c>
      <c r="AB251" s="106" t="e">
        <f t="shared" si="428"/>
        <v>#DIV/0!</v>
      </c>
      <c r="AC251" s="106" t="e">
        <f t="shared" si="428"/>
        <v>#DIV/0!</v>
      </c>
      <c r="AD251" s="106" t="e">
        <f t="shared" si="428"/>
        <v>#DIV/0!</v>
      </c>
      <c r="AE251" s="106" t="e">
        <f t="shared" si="428"/>
        <v>#DIV/0!</v>
      </c>
      <c r="AF251" s="107" t="e">
        <f t="shared" si="428"/>
        <v>#DIV/0!</v>
      </c>
      <c r="AG251" s="107" t="e">
        <f t="shared" si="428"/>
        <v>#DIV/0!</v>
      </c>
      <c r="AH251" s="107" t="e">
        <f t="shared" si="428"/>
        <v>#DIV/0!</v>
      </c>
      <c r="AI251" s="108" t="e">
        <f t="shared" si="428"/>
        <v>#DIV/0!</v>
      </c>
      <c r="AJ251" s="109" t="e">
        <f t="shared" si="428"/>
        <v>#DIV/0!</v>
      </c>
      <c r="AK251" s="110" t="e">
        <f t="shared" si="428"/>
        <v>#DIV/0!</v>
      </c>
      <c r="AL251" s="105"/>
    </row>
    <row r="252" spans="1:38" ht="15.6" hidden="1" thickBot="1">
      <c r="A252" s="91"/>
      <c r="B252" s="100"/>
      <c r="C252" s="111"/>
      <c r="D252" s="112" t="s">
        <v>103</v>
      </c>
      <c r="E252" s="113" t="e">
        <f t="shared" ref="E252:R252" si="429">E250/E248</f>
        <v>#DIV/0!</v>
      </c>
      <c r="F252" s="113" t="e">
        <f t="shared" si="429"/>
        <v>#DIV/0!</v>
      </c>
      <c r="G252" s="113" t="e">
        <f t="shared" si="429"/>
        <v>#DIV/0!</v>
      </c>
      <c r="H252" s="113" t="e">
        <f t="shared" si="429"/>
        <v>#DIV/0!</v>
      </c>
      <c r="I252" s="113" t="e">
        <f t="shared" si="429"/>
        <v>#DIV/0!</v>
      </c>
      <c r="J252" s="113" t="e">
        <f t="shared" si="429"/>
        <v>#DIV/0!</v>
      </c>
      <c r="K252" s="113" t="e">
        <f t="shared" si="429"/>
        <v>#DIV/0!</v>
      </c>
      <c r="L252" s="113" t="e">
        <f t="shared" si="429"/>
        <v>#DIV/0!</v>
      </c>
      <c r="M252" s="113" t="e">
        <f t="shared" si="429"/>
        <v>#DIV/0!</v>
      </c>
      <c r="N252" s="113" t="e">
        <f t="shared" si="429"/>
        <v>#DIV/0!</v>
      </c>
      <c r="O252" s="113" t="e">
        <f t="shared" si="429"/>
        <v>#DIV/0!</v>
      </c>
      <c r="P252" s="114" t="e">
        <f t="shared" si="429"/>
        <v>#DIV/0!</v>
      </c>
      <c r="Q252" s="115" t="e">
        <f t="shared" si="429"/>
        <v>#DIV/0!</v>
      </c>
      <c r="R252" s="116" t="e">
        <f t="shared" si="429"/>
        <v>#DIV/0!</v>
      </c>
      <c r="T252" s="91"/>
      <c r="U252" s="100"/>
      <c r="V252" s="111"/>
      <c r="W252" s="112" t="s">
        <v>103</v>
      </c>
      <c r="X252" s="113" t="e">
        <f t="shared" ref="X252:AK252" si="430">X250/X248</f>
        <v>#DIV/0!</v>
      </c>
      <c r="Y252" s="113" t="e">
        <f t="shared" si="430"/>
        <v>#DIV/0!</v>
      </c>
      <c r="Z252" s="113" t="e">
        <f t="shared" si="430"/>
        <v>#DIV/0!</v>
      </c>
      <c r="AA252" s="113" t="e">
        <f t="shared" si="430"/>
        <v>#DIV/0!</v>
      </c>
      <c r="AB252" s="113" t="e">
        <f t="shared" si="430"/>
        <v>#DIV/0!</v>
      </c>
      <c r="AC252" s="113" t="e">
        <f t="shared" si="430"/>
        <v>#DIV/0!</v>
      </c>
      <c r="AD252" s="113" t="e">
        <f t="shared" si="430"/>
        <v>#DIV/0!</v>
      </c>
      <c r="AE252" s="113" t="e">
        <f t="shared" si="430"/>
        <v>#DIV/0!</v>
      </c>
      <c r="AF252" s="113" t="e">
        <f t="shared" si="430"/>
        <v>#DIV/0!</v>
      </c>
      <c r="AG252" s="113" t="e">
        <f t="shared" si="430"/>
        <v>#DIV/0!</v>
      </c>
      <c r="AH252" s="113" t="e">
        <f t="shared" si="430"/>
        <v>#DIV/0!</v>
      </c>
      <c r="AI252" s="114" t="e">
        <f t="shared" si="430"/>
        <v>#DIV/0!</v>
      </c>
      <c r="AJ252" s="115" t="e">
        <f t="shared" si="430"/>
        <v>#DIV/0!</v>
      </c>
      <c r="AK252" s="116" t="e">
        <f t="shared" si="430"/>
        <v>#DIV/0!</v>
      </c>
    </row>
    <row r="253" spans="1:38" ht="15.6" hidden="1" thickBot="1">
      <c r="A253" s="91"/>
      <c r="B253" s="100"/>
      <c r="C253" s="86"/>
      <c r="D253" s="87">
        <v>2019</v>
      </c>
      <c r="E253" s="88"/>
      <c r="F253" s="121"/>
      <c r="G253" s="121"/>
      <c r="H253" s="121"/>
      <c r="I253" s="121"/>
      <c r="J253" s="121"/>
      <c r="K253" s="121"/>
      <c r="L253" s="121"/>
      <c r="M253" s="122"/>
      <c r="N253" s="122"/>
      <c r="O253" s="122"/>
      <c r="P253" s="123"/>
      <c r="Q253" s="89">
        <f t="shared" ref="Q253:Q255" si="431">SUM(E253:P253)</f>
        <v>0</v>
      </c>
      <c r="R253" s="90">
        <f t="shared" ref="R253" si="432">SUM(E253:M253)</f>
        <v>0</v>
      </c>
      <c r="T253" s="91"/>
      <c r="U253" s="100"/>
      <c r="V253" s="86">
        <f t="shared" ref="V253:V254" si="433">C253</f>
        <v>0</v>
      </c>
      <c r="W253" s="87">
        <v>2019</v>
      </c>
      <c r="X253" s="88"/>
      <c r="Y253" s="121"/>
      <c r="Z253" s="121"/>
      <c r="AA253" s="121"/>
      <c r="AB253" s="121"/>
      <c r="AC253" s="121"/>
      <c r="AD253" s="121"/>
      <c r="AE253" s="121"/>
      <c r="AF253" s="122"/>
      <c r="AG253" s="122"/>
      <c r="AH253" s="122"/>
      <c r="AI253" s="123"/>
      <c r="AJ253" s="89">
        <f t="shared" ref="AJ253:AJ255" si="434">SUM(X253:AI253)</f>
        <v>0</v>
      </c>
      <c r="AK253" s="90">
        <f t="shared" ref="AK253:AK255" si="435">SUM(X253:AF253)</f>
        <v>0</v>
      </c>
    </row>
    <row r="254" spans="1:38" ht="15.6" hidden="1" thickBot="1">
      <c r="A254" s="91"/>
      <c r="B254" s="100"/>
      <c r="C254" s="92"/>
      <c r="D254" s="93" t="s">
        <v>92</v>
      </c>
      <c r="E254" s="94"/>
      <c r="F254" s="97"/>
      <c r="G254" s="97"/>
      <c r="H254" s="97"/>
      <c r="I254" s="97"/>
      <c r="J254" s="97"/>
      <c r="K254" s="97"/>
      <c r="L254" s="97"/>
      <c r="M254" s="98"/>
      <c r="N254" s="98"/>
      <c r="O254" s="98"/>
      <c r="P254" s="99"/>
      <c r="Q254" s="95">
        <f t="shared" si="431"/>
        <v>0</v>
      </c>
      <c r="R254" s="96">
        <f t="shared" si="342"/>
        <v>0</v>
      </c>
      <c r="T254" s="91"/>
      <c r="U254" s="100"/>
      <c r="V254" s="92">
        <f t="shared" si="433"/>
        <v>0</v>
      </c>
      <c r="W254" s="93" t="s">
        <v>92</v>
      </c>
      <c r="X254" s="94"/>
      <c r="Y254" s="97"/>
      <c r="Z254" s="97"/>
      <c r="AA254" s="97"/>
      <c r="AB254" s="97"/>
      <c r="AC254" s="97"/>
      <c r="AD254" s="97"/>
      <c r="AE254" s="97"/>
      <c r="AF254" s="98"/>
      <c r="AG254" s="98"/>
      <c r="AH254" s="98"/>
      <c r="AI254" s="99"/>
      <c r="AJ254" s="95">
        <f t="shared" si="434"/>
        <v>0</v>
      </c>
      <c r="AK254" s="96">
        <f t="shared" si="435"/>
        <v>0</v>
      </c>
    </row>
    <row r="255" spans="1:38" ht="15.6" hidden="1" thickBot="1">
      <c r="A255" s="91"/>
      <c r="B255" s="100"/>
      <c r="C255" s="92"/>
      <c r="D255" s="101">
        <v>2020</v>
      </c>
      <c r="E255" s="102"/>
      <c r="F255" s="124"/>
      <c r="G255" s="124"/>
      <c r="H255" s="124"/>
      <c r="I255" s="124"/>
      <c r="J255" s="124"/>
      <c r="K255" s="124"/>
      <c r="L255" s="124"/>
      <c r="M255" s="125"/>
      <c r="N255" s="125"/>
      <c r="O255" s="125"/>
      <c r="P255" s="126"/>
      <c r="Q255" s="103">
        <f t="shared" si="431"/>
        <v>0</v>
      </c>
      <c r="R255" s="104">
        <f t="shared" si="342"/>
        <v>0</v>
      </c>
      <c r="S255" s="105"/>
      <c r="T255" s="91"/>
      <c r="U255" s="100"/>
      <c r="V255" s="92"/>
      <c r="W255" s="101">
        <v>2020</v>
      </c>
      <c r="X255" s="102"/>
      <c r="Y255" s="124"/>
      <c r="Z255" s="124"/>
      <c r="AA255" s="124"/>
      <c r="AB255" s="124"/>
      <c r="AC255" s="124"/>
      <c r="AD255" s="124"/>
      <c r="AE255" s="124"/>
      <c r="AF255" s="125"/>
      <c r="AG255" s="125"/>
      <c r="AH255" s="125"/>
      <c r="AI255" s="126"/>
      <c r="AJ255" s="103">
        <f t="shared" si="434"/>
        <v>0</v>
      </c>
      <c r="AK255" s="104">
        <f t="shared" si="435"/>
        <v>0</v>
      </c>
      <c r="AL255" s="105"/>
    </row>
    <row r="256" spans="1:38" ht="15.6" hidden="1" thickBot="1">
      <c r="A256" s="91"/>
      <c r="B256" s="100"/>
      <c r="C256" s="92"/>
      <c r="D256" s="101" t="s">
        <v>102</v>
      </c>
      <c r="E256" s="106" t="e">
        <f t="shared" ref="E256:R256" si="436">E255/E254</f>
        <v>#DIV/0!</v>
      </c>
      <c r="F256" s="106" t="e">
        <f t="shared" si="436"/>
        <v>#DIV/0!</v>
      </c>
      <c r="G256" s="106" t="e">
        <f t="shared" si="436"/>
        <v>#DIV/0!</v>
      </c>
      <c r="H256" s="106" t="e">
        <f t="shared" si="436"/>
        <v>#DIV/0!</v>
      </c>
      <c r="I256" s="106" t="e">
        <f t="shared" si="436"/>
        <v>#DIV/0!</v>
      </c>
      <c r="J256" s="106" t="e">
        <f t="shared" si="436"/>
        <v>#DIV/0!</v>
      </c>
      <c r="K256" s="106" t="e">
        <f t="shared" si="436"/>
        <v>#DIV/0!</v>
      </c>
      <c r="L256" s="106" t="e">
        <f t="shared" si="436"/>
        <v>#DIV/0!</v>
      </c>
      <c r="M256" s="107" t="e">
        <f t="shared" si="436"/>
        <v>#DIV/0!</v>
      </c>
      <c r="N256" s="107" t="e">
        <f t="shared" si="436"/>
        <v>#DIV/0!</v>
      </c>
      <c r="O256" s="107" t="e">
        <f t="shared" si="436"/>
        <v>#DIV/0!</v>
      </c>
      <c r="P256" s="108" t="e">
        <f t="shared" si="436"/>
        <v>#DIV/0!</v>
      </c>
      <c r="Q256" s="109" t="e">
        <f t="shared" si="436"/>
        <v>#DIV/0!</v>
      </c>
      <c r="R256" s="110" t="e">
        <f t="shared" si="436"/>
        <v>#DIV/0!</v>
      </c>
      <c r="S256" s="105"/>
      <c r="T256" s="91"/>
      <c r="U256" s="100"/>
      <c r="V256" s="92"/>
      <c r="W256" s="101" t="s">
        <v>102</v>
      </c>
      <c r="X256" s="106" t="e">
        <f t="shared" ref="X256:AK256" si="437">X255/X254</f>
        <v>#DIV/0!</v>
      </c>
      <c r="Y256" s="106" t="e">
        <f t="shared" si="437"/>
        <v>#DIV/0!</v>
      </c>
      <c r="Z256" s="106" t="e">
        <f t="shared" si="437"/>
        <v>#DIV/0!</v>
      </c>
      <c r="AA256" s="106" t="e">
        <f t="shared" si="437"/>
        <v>#DIV/0!</v>
      </c>
      <c r="AB256" s="106" t="e">
        <f t="shared" si="437"/>
        <v>#DIV/0!</v>
      </c>
      <c r="AC256" s="106" t="e">
        <f t="shared" si="437"/>
        <v>#DIV/0!</v>
      </c>
      <c r="AD256" s="106" t="e">
        <f t="shared" si="437"/>
        <v>#DIV/0!</v>
      </c>
      <c r="AE256" s="106" t="e">
        <f t="shared" si="437"/>
        <v>#DIV/0!</v>
      </c>
      <c r="AF256" s="107" t="e">
        <f t="shared" si="437"/>
        <v>#DIV/0!</v>
      </c>
      <c r="AG256" s="107" t="e">
        <f t="shared" si="437"/>
        <v>#DIV/0!</v>
      </c>
      <c r="AH256" s="107" t="e">
        <f t="shared" si="437"/>
        <v>#DIV/0!</v>
      </c>
      <c r="AI256" s="108" t="e">
        <f t="shared" si="437"/>
        <v>#DIV/0!</v>
      </c>
      <c r="AJ256" s="109" t="e">
        <f t="shared" si="437"/>
        <v>#DIV/0!</v>
      </c>
      <c r="AK256" s="110" t="e">
        <f t="shared" si="437"/>
        <v>#DIV/0!</v>
      </c>
      <c r="AL256" s="105"/>
    </row>
    <row r="257" spans="1:38" ht="15.6" hidden="1" thickBot="1">
      <c r="A257" s="91"/>
      <c r="B257" s="100"/>
      <c r="C257" s="111"/>
      <c r="D257" s="112" t="s">
        <v>103</v>
      </c>
      <c r="E257" s="113" t="e">
        <f t="shared" ref="E257:R257" si="438">E255/E253</f>
        <v>#DIV/0!</v>
      </c>
      <c r="F257" s="113" t="e">
        <f t="shared" si="438"/>
        <v>#DIV/0!</v>
      </c>
      <c r="G257" s="113" t="e">
        <f t="shared" si="438"/>
        <v>#DIV/0!</v>
      </c>
      <c r="H257" s="113" t="e">
        <f t="shared" si="438"/>
        <v>#DIV/0!</v>
      </c>
      <c r="I257" s="113" t="e">
        <f t="shared" si="438"/>
        <v>#DIV/0!</v>
      </c>
      <c r="J257" s="113" t="e">
        <f t="shared" si="438"/>
        <v>#DIV/0!</v>
      </c>
      <c r="K257" s="113" t="e">
        <f t="shared" si="438"/>
        <v>#DIV/0!</v>
      </c>
      <c r="L257" s="113" t="e">
        <f t="shared" si="438"/>
        <v>#DIV/0!</v>
      </c>
      <c r="M257" s="113" t="e">
        <f t="shared" si="438"/>
        <v>#DIV/0!</v>
      </c>
      <c r="N257" s="113" t="e">
        <f t="shared" si="438"/>
        <v>#DIV/0!</v>
      </c>
      <c r="O257" s="113" t="e">
        <f t="shared" si="438"/>
        <v>#DIV/0!</v>
      </c>
      <c r="P257" s="114" t="e">
        <f t="shared" si="438"/>
        <v>#DIV/0!</v>
      </c>
      <c r="Q257" s="115" t="e">
        <f t="shared" si="438"/>
        <v>#DIV/0!</v>
      </c>
      <c r="R257" s="116" t="e">
        <f t="shared" si="438"/>
        <v>#DIV/0!</v>
      </c>
      <c r="T257" s="91"/>
      <c r="U257" s="100"/>
      <c r="V257" s="111"/>
      <c r="W257" s="112" t="s">
        <v>103</v>
      </c>
      <c r="X257" s="113" t="e">
        <f t="shared" ref="X257:AK257" si="439">X255/X253</f>
        <v>#DIV/0!</v>
      </c>
      <c r="Y257" s="113" t="e">
        <f t="shared" si="439"/>
        <v>#DIV/0!</v>
      </c>
      <c r="Z257" s="113" t="e">
        <f t="shared" si="439"/>
        <v>#DIV/0!</v>
      </c>
      <c r="AA257" s="113" t="e">
        <f t="shared" si="439"/>
        <v>#DIV/0!</v>
      </c>
      <c r="AB257" s="113" t="e">
        <f t="shared" si="439"/>
        <v>#DIV/0!</v>
      </c>
      <c r="AC257" s="113" t="e">
        <f t="shared" si="439"/>
        <v>#DIV/0!</v>
      </c>
      <c r="AD257" s="113" t="e">
        <f t="shared" si="439"/>
        <v>#DIV/0!</v>
      </c>
      <c r="AE257" s="113" t="e">
        <f t="shared" si="439"/>
        <v>#DIV/0!</v>
      </c>
      <c r="AF257" s="113" t="e">
        <f t="shared" si="439"/>
        <v>#DIV/0!</v>
      </c>
      <c r="AG257" s="113" t="e">
        <f t="shared" si="439"/>
        <v>#DIV/0!</v>
      </c>
      <c r="AH257" s="113" t="e">
        <f t="shared" si="439"/>
        <v>#DIV/0!</v>
      </c>
      <c r="AI257" s="114" t="e">
        <f t="shared" si="439"/>
        <v>#DIV/0!</v>
      </c>
      <c r="AJ257" s="115" t="e">
        <f t="shared" si="439"/>
        <v>#DIV/0!</v>
      </c>
      <c r="AK257" s="116" t="e">
        <f t="shared" si="439"/>
        <v>#DIV/0!</v>
      </c>
    </row>
    <row r="258" spans="1:38" ht="15.6" hidden="1" thickBot="1">
      <c r="A258" s="91"/>
      <c r="B258" s="100"/>
      <c r="C258" s="86"/>
      <c r="D258" s="87">
        <v>2019</v>
      </c>
      <c r="E258" s="88"/>
      <c r="F258" s="121"/>
      <c r="G258" s="121"/>
      <c r="H258" s="121"/>
      <c r="I258" s="121"/>
      <c r="J258" s="121"/>
      <c r="K258" s="121"/>
      <c r="L258" s="121"/>
      <c r="M258" s="122"/>
      <c r="N258" s="122"/>
      <c r="O258" s="122"/>
      <c r="P258" s="123"/>
      <c r="Q258" s="89">
        <f t="shared" ref="Q258:Q260" si="440">SUM(E258:P258)</f>
        <v>0</v>
      </c>
      <c r="R258" s="90">
        <f t="shared" ref="R258" si="441">SUM(E258:M258)</f>
        <v>0</v>
      </c>
      <c r="T258" s="91"/>
      <c r="U258" s="100"/>
      <c r="V258" s="86">
        <f t="shared" ref="V258:V259" si="442">C258</f>
        <v>0</v>
      </c>
      <c r="W258" s="87">
        <v>2019</v>
      </c>
      <c r="X258" s="88"/>
      <c r="Y258" s="121"/>
      <c r="Z258" s="121"/>
      <c r="AA258" s="121"/>
      <c r="AB258" s="121"/>
      <c r="AC258" s="121"/>
      <c r="AD258" s="121"/>
      <c r="AE258" s="121"/>
      <c r="AF258" s="122"/>
      <c r="AG258" s="122"/>
      <c r="AH258" s="122"/>
      <c r="AI258" s="123"/>
      <c r="AJ258" s="89">
        <f t="shared" ref="AJ258:AJ260" si="443">SUM(X258:AI258)</f>
        <v>0</v>
      </c>
      <c r="AK258" s="90">
        <f t="shared" ref="AK258:AK260" si="444">SUM(X258:AF258)</f>
        <v>0</v>
      </c>
    </row>
    <row r="259" spans="1:38" ht="15.6" hidden="1" thickBot="1">
      <c r="A259" s="91"/>
      <c r="B259" s="100"/>
      <c r="C259" s="92"/>
      <c r="D259" s="93" t="s">
        <v>92</v>
      </c>
      <c r="E259" s="94"/>
      <c r="F259" s="97"/>
      <c r="G259" s="97"/>
      <c r="H259" s="97"/>
      <c r="I259" s="97"/>
      <c r="J259" s="97"/>
      <c r="K259" s="97"/>
      <c r="L259" s="97"/>
      <c r="M259" s="98"/>
      <c r="N259" s="98"/>
      <c r="O259" s="98"/>
      <c r="P259" s="99"/>
      <c r="Q259" s="95">
        <f t="shared" si="440"/>
        <v>0</v>
      </c>
      <c r="R259" s="96">
        <f t="shared" si="342"/>
        <v>0</v>
      </c>
      <c r="T259" s="91"/>
      <c r="U259" s="100"/>
      <c r="V259" s="92">
        <f t="shared" si="442"/>
        <v>0</v>
      </c>
      <c r="W259" s="93" t="s">
        <v>92</v>
      </c>
      <c r="X259" s="94"/>
      <c r="Y259" s="97"/>
      <c r="Z259" s="97"/>
      <c r="AA259" s="97"/>
      <c r="AB259" s="97"/>
      <c r="AC259" s="97"/>
      <c r="AD259" s="97"/>
      <c r="AE259" s="97"/>
      <c r="AF259" s="98"/>
      <c r="AG259" s="98"/>
      <c r="AH259" s="98"/>
      <c r="AI259" s="99"/>
      <c r="AJ259" s="95">
        <f t="shared" si="443"/>
        <v>0</v>
      </c>
      <c r="AK259" s="96">
        <f t="shared" si="444"/>
        <v>0</v>
      </c>
    </row>
    <row r="260" spans="1:38" ht="15.6" hidden="1" thickBot="1">
      <c r="A260" s="91"/>
      <c r="B260" s="100"/>
      <c r="C260" s="92"/>
      <c r="D260" s="101">
        <v>2020</v>
      </c>
      <c r="E260" s="102"/>
      <c r="F260" s="124"/>
      <c r="G260" s="124"/>
      <c r="H260" s="124"/>
      <c r="I260" s="124"/>
      <c r="J260" s="124"/>
      <c r="K260" s="124"/>
      <c r="L260" s="124"/>
      <c r="M260" s="125"/>
      <c r="N260" s="125"/>
      <c r="O260" s="125"/>
      <c r="P260" s="126"/>
      <c r="Q260" s="103">
        <f t="shared" si="440"/>
        <v>0</v>
      </c>
      <c r="R260" s="104">
        <f t="shared" si="342"/>
        <v>0</v>
      </c>
      <c r="S260" s="105"/>
      <c r="T260" s="91"/>
      <c r="U260" s="100"/>
      <c r="V260" s="92"/>
      <c r="W260" s="101">
        <v>2020</v>
      </c>
      <c r="X260" s="102"/>
      <c r="Y260" s="124"/>
      <c r="Z260" s="124"/>
      <c r="AA260" s="124"/>
      <c r="AB260" s="124"/>
      <c r="AC260" s="124"/>
      <c r="AD260" s="124"/>
      <c r="AE260" s="124"/>
      <c r="AF260" s="125"/>
      <c r="AG260" s="125"/>
      <c r="AH260" s="125"/>
      <c r="AI260" s="126"/>
      <c r="AJ260" s="103">
        <f t="shared" si="443"/>
        <v>0</v>
      </c>
      <c r="AK260" s="104">
        <f t="shared" si="444"/>
        <v>0</v>
      </c>
      <c r="AL260" s="105"/>
    </row>
    <row r="261" spans="1:38" ht="15.6" hidden="1" thickBot="1">
      <c r="A261" s="91"/>
      <c r="B261" s="100"/>
      <c r="C261" s="92"/>
      <c r="D261" s="101" t="s">
        <v>102</v>
      </c>
      <c r="E261" s="106" t="e">
        <f t="shared" ref="E261:R261" si="445">E260/E259</f>
        <v>#DIV/0!</v>
      </c>
      <c r="F261" s="106" t="e">
        <f t="shared" si="445"/>
        <v>#DIV/0!</v>
      </c>
      <c r="G261" s="106" t="e">
        <f t="shared" si="445"/>
        <v>#DIV/0!</v>
      </c>
      <c r="H261" s="106" t="e">
        <f t="shared" si="445"/>
        <v>#DIV/0!</v>
      </c>
      <c r="I261" s="106" t="e">
        <f t="shared" si="445"/>
        <v>#DIV/0!</v>
      </c>
      <c r="J261" s="106" t="e">
        <f t="shared" si="445"/>
        <v>#DIV/0!</v>
      </c>
      <c r="K261" s="106" t="e">
        <f t="shared" si="445"/>
        <v>#DIV/0!</v>
      </c>
      <c r="L261" s="106" t="e">
        <f t="shared" si="445"/>
        <v>#DIV/0!</v>
      </c>
      <c r="M261" s="107" t="e">
        <f t="shared" si="445"/>
        <v>#DIV/0!</v>
      </c>
      <c r="N261" s="107" t="e">
        <f t="shared" si="445"/>
        <v>#DIV/0!</v>
      </c>
      <c r="O261" s="107" t="e">
        <f t="shared" si="445"/>
        <v>#DIV/0!</v>
      </c>
      <c r="P261" s="108" t="e">
        <f t="shared" si="445"/>
        <v>#DIV/0!</v>
      </c>
      <c r="Q261" s="109" t="e">
        <f t="shared" si="445"/>
        <v>#DIV/0!</v>
      </c>
      <c r="R261" s="110" t="e">
        <f t="shared" si="445"/>
        <v>#DIV/0!</v>
      </c>
      <c r="S261" s="105"/>
      <c r="T261" s="91"/>
      <c r="U261" s="100"/>
      <c r="V261" s="92"/>
      <c r="W261" s="101" t="s">
        <v>102</v>
      </c>
      <c r="X261" s="106" t="e">
        <f t="shared" ref="X261:AK261" si="446">X260/X259</f>
        <v>#DIV/0!</v>
      </c>
      <c r="Y261" s="106" t="e">
        <f t="shared" si="446"/>
        <v>#DIV/0!</v>
      </c>
      <c r="Z261" s="106" t="e">
        <f t="shared" si="446"/>
        <v>#DIV/0!</v>
      </c>
      <c r="AA261" s="106" t="e">
        <f t="shared" si="446"/>
        <v>#DIV/0!</v>
      </c>
      <c r="AB261" s="106" t="e">
        <f t="shared" si="446"/>
        <v>#DIV/0!</v>
      </c>
      <c r="AC261" s="106" t="e">
        <f t="shared" si="446"/>
        <v>#DIV/0!</v>
      </c>
      <c r="AD261" s="106" t="e">
        <f t="shared" si="446"/>
        <v>#DIV/0!</v>
      </c>
      <c r="AE261" s="106" t="e">
        <f t="shared" si="446"/>
        <v>#DIV/0!</v>
      </c>
      <c r="AF261" s="107" t="e">
        <f t="shared" si="446"/>
        <v>#DIV/0!</v>
      </c>
      <c r="AG261" s="107" t="e">
        <f t="shared" si="446"/>
        <v>#DIV/0!</v>
      </c>
      <c r="AH261" s="107" t="e">
        <f t="shared" si="446"/>
        <v>#DIV/0!</v>
      </c>
      <c r="AI261" s="108" t="e">
        <f t="shared" si="446"/>
        <v>#DIV/0!</v>
      </c>
      <c r="AJ261" s="109" t="e">
        <f t="shared" si="446"/>
        <v>#DIV/0!</v>
      </c>
      <c r="AK261" s="110" t="e">
        <f t="shared" si="446"/>
        <v>#DIV/0!</v>
      </c>
      <c r="AL261" s="105"/>
    </row>
    <row r="262" spans="1:38" ht="15.6" hidden="1" thickBot="1">
      <c r="A262" s="91"/>
      <c r="B262" s="100"/>
      <c r="C262" s="111"/>
      <c r="D262" s="112" t="s">
        <v>103</v>
      </c>
      <c r="E262" s="113" t="e">
        <f t="shared" ref="E262:R262" si="447">E260/E258</f>
        <v>#DIV/0!</v>
      </c>
      <c r="F262" s="113" t="e">
        <f t="shared" si="447"/>
        <v>#DIV/0!</v>
      </c>
      <c r="G262" s="113" t="e">
        <f t="shared" si="447"/>
        <v>#DIV/0!</v>
      </c>
      <c r="H262" s="113" t="e">
        <f t="shared" si="447"/>
        <v>#DIV/0!</v>
      </c>
      <c r="I262" s="113" t="e">
        <f t="shared" si="447"/>
        <v>#DIV/0!</v>
      </c>
      <c r="J262" s="113" t="e">
        <f t="shared" si="447"/>
        <v>#DIV/0!</v>
      </c>
      <c r="K262" s="113" t="e">
        <f t="shared" si="447"/>
        <v>#DIV/0!</v>
      </c>
      <c r="L262" s="113" t="e">
        <f t="shared" si="447"/>
        <v>#DIV/0!</v>
      </c>
      <c r="M262" s="113" t="e">
        <f t="shared" si="447"/>
        <v>#DIV/0!</v>
      </c>
      <c r="N262" s="113" t="e">
        <f t="shared" si="447"/>
        <v>#DIV/0!</v>
      </c>
      <c r="O262" s="113" t="e">
        <f t="shared" si="447"/>
        <v>#DIV/0!</v>
      </c>
      <c r="P262" s="114" t="e">
        <f t="shared" si="447"/>
        <v>#DIV/0!</v>
      </c>
      <c r="Q262" s="115" t="e">
        <f t="shared" si="447"/>
        <v>#DIV/0!</v>
      </c>
      <c r="R262" s="116" t="e">
        <f t="shared" si="447"/>
        <v>#DIV/0!</v>
      </c>
      <c r="T262" s="91"/>
      <c r="U262" s="100"/>
      <c r="V262" s="111"/>
      <c r="W262" s="112" t="s">
        <v>103</v>
      </c>
      <c r="X262" s="113" t="e">
        <f t="shared" ref="X262:AK262" si="448">X260/X258</f>
        <v>#DIV/0!</v>
      </c>
      <c r="Y262" s="113" t="e">
        <f t="shared" si="448"/>
        <v>#DIV/0!</v>
      </c>
      <c r="Z262" s="113" t="e">
        <f t="shared" si="448"/>
        <v>#DIV/0!</v>
      </c>
      <c r="AA262" s="113" t="e">
        <f t="shared" si="448"/>
        <v>#DIV/0!</v>
      </c>
      <c r="AB262" s="113" t="e">
        <f t="shared" si="448"/>
        <v>#DIV/0!</v>
      </c>
      <c r="AC262" s="113" t="e">
        <f t="shared" si="448"/>
        <v>#DIV/0!</v>
      </c>
      <c r="AD262" s="113" t="e">
        <f t="shared" si="448"/>
        <v>#DIV/0!</v>
      </c>
      <c r="AE262" s="113" t="e">
        <f t="shared" si="448"/>
        <v>#DIV/0!</v>
      </c>
      <c r="AF262" s="113" t="e">
        <f t="shared" si="448"/>
        <v>#DIV/0!</v>
      </c>
      <c r="AG262" s="113" t="e">
        <f t="shared" si="448"/>
        <v>#DIV/0!</v>
      </c>
      <c r="AH262" s="113" t="e">
        <f t="shared" si="448"/>
        <v>#DIV/0!</v>
      </c>
      <c r="AI262" s="114" t="e">
        <f t="shared" si="448"/>
        <v>#DIV/0!</v>
      </c>
      <c r="AJ262" s="115" t="e">
        <f t="shared" si="448"/>
        <v>#DIV/0!</v>
      </c>
      <c r="AK262" s="116" t="e">
        <f t="shared" si="448"/>
        <v>#DIV/0!</v>
      </c>
    </row>
    <row r="263" spans="1:38" ht="15.6" hidden="1" thickBot="1">
      <c r="A263" s="91"/>
      <c r="B263" s="100"/>
      <c r="C263" s="86"/>
      <c r="D263" s="87">
        <v>2019</v>
      </c>
      <c r="E263" s="88"/>
      <c r="F263" s="121"/>
      <c r="G263" s="121"/>
      <c r="H263" s="121"/>
      <c r="I263" s="121"/>
      <c r="J263" s="121"/>
      <c r="K263" s="121"/>
      <c r="L263" s="121"/>
      <c r="M263" s="122"/>
      <c r="N263" s="122"/>
      <c r="O263" s="122"/>
      <c r="P263" s="123"/>
      <c r="Q263" s="89">
        <f t="shared" ref="Q263:Q265" si="449">SUM(E263:P263)</f>
        <v>0</v>
      </c>
      <c r="R263" s="90">
        <f t="shared" ref="R263" si="450">SUM(E263:M263)</f>
        <v>0</v>
      </c>
      <c r="T263" s="91"/>
      <c r="U263" s="100"/>
      <c r="V263" s="86">
        <f t="shared" ref="V263:V264" si="451">C263</f>
        <v>0</v>
      </c>
      <c r="W263" s="87">
        <v>2019</v>
      </c>
      <c r="X263" s="88"/>
      <c r="Y263" s="121"/>
      <c r="Z263" s="121"/>
      <c r="AA263" s="121"/>
      <c r="AB263" s="121"/>
      <c r="AC263" s="121"/>
      <c r="AD263" s="121"/>
      <c r="AE263" s="121"/>
      <c r="AF263" s="122"/>
      <c r="AG263" s="122"/>
      <c r="AH263" s="122"/>
      <c r="AI263" s="123"/>
      <c r="AJ263" s="89">
        <f t="shared" ref="AJ263:AJ265" si="452">SUM(X263:AI263)</f>
        <v>0</v>
      </c>
      <c r="AK263" s="90">
        <f t="shared" ref="AK263:AK265" si="453">SUM(X263:AF263)</f>
        <v>0</v>
      </c>
    </row>
    <row r="264" spans="1:38" ht="15.6" hidden="1" thickBot="1">
      <c r="A264" s="91"/>
      <c r="B264" s="100"/>
      <c r="C264" s="92"/>
      <c r="D264" s="93" t="s">
        <v>92</v>
      </c>
      <c r="E264" s="94"/>
      <c r="F264" s="97"/>
      <c r="G264" s="97"/>
      <c r="H264" s="97"/>
      <c r="I264" s="97"/>
      <c r="J264" s="97"/>
      <c r="K264" s="97"/>
      <c r="L264" s="97"/>
      <c r="M264" s="98"/>
      <c r="N264" s="98"/>
      <c r="O264" s="98"/>
      <c r="P264" s="99"/>
      <c r="Q264" s="95">
        <f t="shared" si="449"/>
        <v>0</v>
      </c>
      <c r="R264" s="96">
        <f t="shared" si="342"/>
        <v>0</v>
      </c>
      <c r="T264" s="91"/>
      <c r="U264" s="100"/>
      <c r="V264" s="92">
        <f t="shared" si="451"/>
        <v>0</v>
      </c>
      <c r="W264" s="93" t="s">
        <v>92</v>
      </c>
      <c r="X264" s="94"/>
      <c r="Y264" s="97"/>
      <c r="Z264" s="97"/>
      <c r="AA264" s="97"/>
      <c r="AB264" s="97"/>
      <c r="AC264" s="97"/>
      <c r="AD264" s="97"/>
      <c r="AE264" s="97"/>
      <c r="AF264" s="98"/>
      <c r="AG264" s="98"/>
      <c r="AH264" s="98"/>
      <c r="AI264" s="99"/>
      <c r="AJ264" s="95">
        <f t="shared" si="452"/>
        <v>0</v>
      </c>
      <c r="AK264" s="96">
        <f t="shared" si="453"/>
        <v>0</v>
      </c>
    </row>
    <row r="265" spans="1:38" ht="15.6" hidden="1" thickBot="1">
      <c r="A265" s="91"/>
      <c r="B265" s="100"/>
      <c r="C265" s="92"/>
      <c r="D265" s="101">
        <v>2020</v>
      </c>
      <c r="E265" s="102"/>
      <c r="F265" s="124"/>
      <c r="G265" s="124"/>
      <c r="H265" s="124"/>
      <c r="I265" s="124"/>
      <c r="J265" s="124"/>
      <c r="K265" s="124"/>
      <c r="L265" s="124"/>
      <c r="M265" s="125"/>
      <c r="N265" s="125"/>
      <c r="O265" s="125"/>
      <c r="P265" s="126"/>
      <c r="Q265" s="103">
        <f t="shared" si="449"/>
        <v>0</v>
      </c>
      <c r="R265" s="104">
        <f t="shared" si="342"/>
        <v>0</v>
      </c>
      <c r="S265" s="105"/>
      <c r="T265" s="91"/>
      <c r="U265" s="100"/>
      <c r="V265" s="92"/>
      <c r="W265" s="101">
        <v>2020</v>
      </c>
      <c r="X265" s="102"/>
      <c r="Y265" s="124"/>
      <c r="Z265" s="124"/>
      <c r="AA265" s="124"/>
      <c r="AB265" s="124"/>
      <c r="AC265" s="124"/>
      <c r="AD265" s="124"/>
      <c r="AE265" s="124"/>
      <c r="AF265" s="125"/>
      <c r="AG265" s="125"/>
      <c r="AH265" s="125"/>
      <c r="AI265" s="126"/>
      <c r="AJ265" s="103">
        <f t="shared" si="452"/>
        <v>0</v>
      </c>
      <c r="AK265" s="104">
        <f t="shared" si="453"/>
        <v>0</v>
      </c>
      <c r="AL265" s="105"/>
    </row>
    <row r="266" spans="1:38" ht="15.6" hidden="1" thickBot="1">
      <c r="A266" s="91"/>
      <c r="B266" s="100"/>
      <c r="C266" s="92"/>
      <c r="D266" s="101" t="s">
        <v>102</v>
      </c>
      <c r="E266" s="106" t="e">
        <f t="shared" ref="E266:R266" si="454">E265/E264</f>
        <v>#DIV/0!</v>
      </c>
      <c r="F266" s="106" t="e">
        <f t="shared" si="454"/>
        <v>#DIV/0!</v>
      </c>
      <c r="G266" s="106" t="e">
        <f t="shared" si="454"/>
        <v>#DIV/0!</v>
      </c>
      <c r="H266" s="106" t="e">
        <f t="shared" si="454"/>
        <v>#DIV/0!</v>
      </c>
      <c r="I266" s="106" t="e">
        <f t="shared" si="454"/>
        <v>#DIV/0!</v>
      </c>
      <c r="J266" s="106" t="e">
        <f t="shared" si="454"/>
        <v>#DIV/0!</v>
      </c>
      <c r="K266" s="106" t="e">
        <f t="shared" si="454"/>
        <v>#DIV/0!</v>
      </c>
      <c r="L266" s="106" t="e">
        <f t="shared" si="454"/>
        <v>#DIV/0!</v>
      </c>
      <c r="M266" s="107" t="e">
        <f t="shared" si="454"/>
        <v>#DIV/0!</v>
      </c>
      <c r="N266" s="107" t="e">
        <f t="shared" si="454"/>
        <v>#DIV/0!</v>
      </c>
      <c r="O266" s="107" t="e">
        <f t="shared" si="454"/>
        <v>#DIV/0!</v>
      </c>
      <c r="P266" s="108" t="e">
        <f t="shared" si="454"/>
        <v>#DIV/0!</v>
      </c>
      <c r="Q266" s="109" t="e">
        <f t="shared" si="454"/>
        <v>#DIV/0!</v>
      </c>
      <c r="R266" s="110" t="e">
        <f t="shared" si="454"/>
        <v>#DIV/0!</v>
      </c>
      <c r="S266" s="105"/>
      <c r="T266" s="91"/>
      <c r="U266" s="100"/>
      <c r="V266" s="92"/>
      <c r="W266" s="101" t="s">
        <v>102</v>
      </c>
      <c r="X266" s="106" t="e">
        <f t="shared" ref="X266:AK266" si="455">X265/X264</f>
        <v>#DIV/0!</v>
      </c>
      <c r="Y266" s="106" t="e">
        <f t="shared" si="455"/>
        <v>#DIV/0!</v>
      </c>
      <c r="Z266" s="106" t="e">
        <f t="shared" si="455"/>
        <v>#DIV/0!</v>
      </c>
      <c r="AA266" s="106" t="e">
        <f t="shared" si="455"/>
        <v>#DIV/0!</v>
      </c>
      <c r="AB266" s="106" t="e">
        <f t="shared" si="455"/>
        <v>#DIV/0!</v>
      </c>
      <c r="AC266" s="106" t="e">
        <f t="shared" si="455"/>
        <v>#DIV/0!</v>
      </c>
      <c r="AD266" s="106" t="e">
        <f t="shared" si="455"/>
        <v>#DIV/0!</v>
      </c>
      <c r="AE266" s="106" t="e">
        <f t="shared" si="455"/>
        <v>#DIV/0!</v>
      </c>
      <c r="AF266" s="107" t="e">
        <f t="shared" si="455"/>
        <v>#DIV/0!</v>
      </c>
      <c r="AG266" s="107" t="e">
        <f t="shared" si="455"/>
        <v>#DIV/0!</v>
      </c>
      <c r="AH266" s="107" t="e">
        <f t="shared" si="455"/>
        <v>#DIV/0!</v>
      </c>
      <c r="AI266" s="108" t="e">
        <f t="shared" si="455"/>
        <v>#DIV/0!</v>
      </c>
      <c r="AJ266" s="109" t="e">
        <f t="shared" si="455"/>
        <v>#DIV/0!</v>
      </c>
      <c r="AK266" s="110" t="e">
        <f t="shared" si="455"/>
        <v>#DIV/0!</v>
      </c>
      <c r="AL266" s="105"/>
    </row>
    <row r="267" spans="1:38" ht="15.6" hidden="1" thickBot="1">
      <c r="A267" s="91"/>
      <c r="B267" s="100"/>
      <c r="C267" s="111"/>
      <c r="D267" s="112" t="s">
        <v>103</v>
      </c>
      <c r="E267" s="113" t="e">
        <f t="shared" ref="E267:R267" si="456">E265/E263</f>
        <v>#DIV/0!</v>
      </c>
      <c r="F267" s="113" t="e">
        <f t="shared" si="456"/>
        <v>#DIV/0!</v>
      </c>
      <c r="G267" s="113" t="e">
        <f t="shared" si="456"/>
        <v>#DIV/0!</v>
      </c>
      <c r="H267" s="113" t="e">
        <f t="shared" si="456"/>
        <v>#DIV/0!</v>
      </c>
      <c r="I267" s="113" t="e">
        <f t="shared" si="456"/>
        <v>#DIV/0!</v>
      </c>
      <c r="J267" s="113" t="e">
        <f t="shared" si="456"/>
        <v>#DIV/0!</v>
      </c>
      <c r="K267" s="113" t="e">
        <f t="shared" si="456"/>
        <v>#DIV/0!</v>
      </c>
      <c r="L267" s="113" t="e">
        <f t="shared" si="456"/>
        <v>#DIV/0!</v>
      </c>
      <c r="M267" s="113" t="e">
        <f t="shared" si="456"/>
        <v>#DIV/0!</v>
      </c>
      <c r="N267" s="113" t="e">
        <f t="shared" si="456"/>
        <v>#DIV/0!</v>
      </c>
      <c r="O267" s="113" t="e">
        <f t="shared" si="456"/>
        <v>#DIV/0!</v>
      </c>
      <c r="P267" s="114" t="e">
        <f t="shared" si="456"/>
        <v>#DIV/0!</v>
      </c>
      <c r="Q267" s="115" t="e">
        <f t="shared" si="456"/>
        <v>#DIV/0!</v>
      </c>
      <c r="R267" s="116" t="e">
        <f t="shared" si="456"/>
        <v>#DIV/0!</v>
      </c>
      <c r="T267" s="91"/>
      <c r="U267" s="100"/>
      <c r="V267" s="111"/>
      <c r="W267" s="112" t="s">
        <v>103</v>
      </c>
      <c r="X267" s="113" t="e">
        <f t="shared" ref="X267:AK267" si="457">X265/X263</f>
        <v>#DIV/0!</v>
      </c>
      <c r="Y267" s="113" t="e">
        <f t="shared" si="457"/>
        <v>#DIV/0!</v>
      </c>
      <c r="Z267" s="113" t="e">
        <f t="shared" si="457"/>
        <v>#DIV/0!</v>
      </c>
      <c r="AA267" s="113" t="e">
        <f t="shared" si="457"/>
        <v>#DIV/0!</v>
      </c>
      <c r="AB267" s="113" t="e">
        <f t="shared" si="457"/>
        <v>#DIV/0!</v>
      </c>
      <c r="AC267" s="113" t="e">
        <f t="shared" si="457"/>
        <v>#DIV/0!</v>
      </c>
      <c r="AD267" s="113" t="e">
        <f t="shared" si="457"/>
        <v>#DIV/0!</v>
      </c>
      <c r="AE267" s="113" t="e">
        <f t="shared" si="457"/>
        <v>#DIV/0!</v>
      </c>
      <c r="AF267" s="113" t="e">
        <f t="shared" si="457"/>
        <v>#DIV/0!</v>
      </c>
      <c r="AG267" s="113" t="e">
        <f t="shared" si="457"/>
        <v>#DIV/0!</v>
      </c>
      <c r="AH267" s="113" t="e">
        <f t="shared" si="457"/>
        <v>#DIV/0!</v>
      </c>
      <c r="AI267" s="114" t="e">
        <f t="shared" si="457"/>
        <v>#DIV/0!</v>
      </c>
      <c r="AJ267" s="115" t="e">
        <f t="shared" si="457"/>
        <v>#DIV/0!</v>
      </c>
      <c r="AK267" s="116" t="e">
        <f t="shared" si="457"/>
        <v>#DIV/0!</v>
      </c>
    </row>
    <row r="268" spans="1:38" ht="15.6" hidden="1" thickBot="1">
      <c r="A268" s="91"/>
      <c r="B268" s="100"/>
      <c r="C268" s="86"/>
      <c r="D268" s="87">
        <v>2019</v>
      </c>
      <c r="E268" s="88"/>
      <c r="F268" s="121"/>
      <c r="G268" s="121"/>
      <c r="H268" s="121"/>
      <c r="I268" s="121"/>
      <c r="J268" s="121"/>
      <c r="K268" s="121"/>
      <c r="L268" s="121"/>
      <c r="M268" s="122"/>
      <c r="N268" s="122"/>
      <c r="O268" s="122"/>
      <c r="P268" s="123"/>
      <c r="Q268" s="89">
        <f t="shared" ref="Q268:Q270" si="458">SUM(E268:P268)</f>
        <v>0</v>
      </c>
      <c r="R268" s="90">
        <f t="shared" ref="R268:R330" si="459">SUM(E268:M268)</f>
        <v>0</v>
      </c>
      <c r="T268" s="91"/>
      <c r="U268" s="100"/>
      <c r="V268" s="86">
        <f t="shared" ref="V268:V269" si="460">C268</f>
        <v>0</v>
      </c>
      <c r="W268" s="87">
        <v>2019</v>
      </c>
      <c r="X268" s="88"/>
      <c r="Y268" s="121"/>
      <c r="Z268" s="121"/>
      <c r="AA268" s="121"/>
      <c r="AB268" s="121"/>
      <c r="AC268" s="121"/>
      <c r="AD268" s="121"/>
      <c r="AE268" s="121"/>
      <c r="AF268" s="122"/>
      <c r="AG268" s="122"/>
      <c r="AH268" s="122"/>
      <c r="AI268" s="123"/>
      <c r="AJ268" s="89">
        <f t="shared" ref="AJ268:AJ270" si="461">SUM(X268:AI268)</f>
        <v>0</v>
      </c>
      <c r="AK268" s="90">
        <f t="shared" ref="AK268:AK270" si="462">SUM(X268:AF268)</f>
        <v>0</v>
      </c>
    </row>
    <row r="269" spans="1:38" ht="15.6" hidden="1" thickBot="1">
      <c r="A269" s="91"/>
      <c r="B269" s="100"/>
      <c r="C269" s="92"/>
      <c r="D269" s="93" t="s">
        <v>92</v>
      </c>
      <c r="E269" s="94"/>
      <c r="F269" s="97"/>
      <c r="G269" s="97"/>
      <c r="H269" s="97"/>
      <c r="I269" s="97"/>
      <c r="J269" s="97"/>
      <c r="K269" s="97"/>
      <c r="L269" s="97"/>
      <c r="M269" s="98"/>
      <c r="N269" s="98"/>
      <c r="O269" s="98"/>
      <c r="P269" s="99"/>
      <c r="Q269" s="95">
        <f t="shared" si="458"/>
        <v>0</v>
      </c>
      <c r="R269" s="96">
        <f t="shared" si="459"/>
        <v>0</v>
      </c>
      <c r="T269" s="91"/>
      <c r="U269" s="100"/>
      <c r="V269" s="92">
        <f t="shared" si="460"/>
        <v>0</v>
      </c>
      <c r="W269" s="93" t="s">
        <v>92</v>
      </c>
      <c r="X269" s="94"/>
      <c r="Y269" s="97"/>
      <c r="Z269" s="97"/>
      <c r="AA269" s="97"/>
      <c r="AB269" s="97"/>
      <c r="AC269" s="97"/>
      <c r="AD269" s="97"/>
      <c r="AE269" s="97"/>
      <c r="AF269" s="98"/>
      <c r="AG269" s="98"/>
      <c r="AH269" s="98"/>
      <c r="AI269" s="99"/>
      <c r="AJ269" s="95">
        <f t="shared" si="461"/>
        <v>0</v>
      </c>
      <c r="AK269" s="96">
        <f t="shared" si="462"/>
        <v>0</v>
      </c>
    </row>
    <row r="270" spans="1:38" ht="15.6" hidden="1" thickBot="1">
      <c r="A270" s="91"/>
      <c r="B270" s="100"/>
      <c r="C270" s="92"/>
      <c r="D270" s="101">
        <v>2020</v>
      </c>
      <c r="E270" s="102"/>
      <c r="F270" s="124"/>
      <c r="G270" s="124"/>
      <c r="H270" s="124"/>
      <c r="I270" s="124"/>
      <c r="J270" s="124"/>
      <c r="K270" s="124"/>
      <c r="L270" s="124"/>
      <c r="M270" s="125"/>
      <c r="N270" s="125"/>
      <c r="O270" s="125"/>
      <c r="P270" s="126"/>
      <c r="Q270" s="103">
        <f t="shared" si="458"/>
        <v>0</v>
      </c>
      <c r="R270" s="104">
        <f t="shared" si="459"/>
        <v>0</v>
      </c>
      <c r="S270" s="105"/>
      <c r="T270" s="91"/>
      <c r="U270" s="100"/>
      <c r="V270" s="92"/>
      <c r="W270" s="101">
        <v>2020</v>
      </c>
      <c r="X270" s="102"/>
      <c r="Y270" s="124"/>
      <c r="Z270" s="124"/>
      <c r="AA270" s="124"/>
      <c r="AB270" s="124"/>
      <c r="AC270" s="124"/>
      <c r="AD270" s="124"/>
      <c r="AE270" s="124"/>
      <c r="AF270" s="125"/>
      <c r="AG270" s="125"/>
      <c r="AH270" s="125"/>
      <c r="AI270" s="126"/>
      <c r="AJ270" s="103">
        <f t="shared" si="461"/>
        <v>0</v>
      </c>
      <c r="AK270" s="104">
        <f t="shared" si="462"/>
        <v>0</v>
      </c>
      <c r="AL270" s="105"/>
    </row>
    <row r="271" spans="1:38" ht="15.6" hidden="1" thickBot="1">
      <c r="A271" s="91"/>
      <c r="B271" s="100"/>
      <c r="C271" s="92"/>
      <c r="D271" s="101" t="s">
        <v>102</v>
      </c>
      <c r="E271" s="106" t="e">
        <f t="shared" ref="E271:R271" si="463">E270/E269</f>
        <v>#DIV/0!</v>
      </c>
      <c r="F271" s="106" t="e">
        <f t="shared" si="463"/>
        <v>#DIV/0!</v>
      </c>
      <c r="G271" s="106" t="e">
        <f t="shared" si="463"/>
        <v>#DIV/0!</v>
      </c>
      <c r="H271" s="106" t="e">
        <f t="shared" si="463"/>
        <v>#DIV/0!</v>
      </c>
      <c r="I271" s="106" t="e">
        <f t="shared" si="463"/>
        <v>#DIV/0!</v>
      </c>
      <c r="J271" s="106" t="e">
        <f t="shared" si="463"/>
        <v>#DIV/0!</v>
      </c>
      <c r="K271" s="106" t="e">
        <f t="shared" si="463"/>
        <v>#DIV/0!</v>
      </c>
      <c r="L271" s="106" t="e">
        <f t="shared" si="463"/>
        <v>#DIV/0!</v>
      </c>
      <c r="M271" s="107" t="e">
        <f t="shared" si="463"/>
        <v>#DIV/0!</v>
      </c>
      <c r="N271" s="107" t="e">
        <f t="shared" si="463"/>
        <v>#DIV/0!</v>
      </c>
      <c r="O271" s="107" t="e">
        <f t="shared" si="463"/>
        <v>#DIV/0!</v>
      </c>
      <c r="P271" s="108" t="e">
        <f t="shared" si="463"/>
        <v>#DIV/0!</v>
      </c>
      <c r="Q271" s="109" t="e">
        <f t="shared" si="463"/>
        <v>#DIV/0!</v>
      </c>
      <c r="R271" s="110" t="e">
        <f t="shared" si="463"/>
        <v>#DIV/0!</v>
      </c>
      <c r="S271" s="105"/>
      <c r="T271" s="91"/>
      <c r="U271" s="100"/>
      <c r="V271" s="92"/>
      <c r="W271" s="101" t="s">
        <v>102</v>
      </c>
      <c r="X271" s="106" t="e">
        <f t="shared" ref="X271:AK271" si="464">X270/X269</f>
        <v>#DIV/0!</v>
      </c>
      <c r="Y271" s="106" t="e">
        <f t="shared" si="464"/>
        <v>#DIV/0!</v>
      </c>
      <c r="Z271" s="106" t="e">
        <f t="shared" si="464"/>
        <v>#DIV/0!</v>
      </c>
      <c r="AA271" s="106" t="e">
        <f t="shared" si="464"/>
        <v>#DIV/0!</v>
      </c>
      <c r="AB271" s="106" t="e">
        <f t="shared" si="464"/>
        <v>#DIV/0!</v>
      </c>
      <c r="AC271" s="106" t="e">
        <f t="shared" si="464"/>
        <v>#DIV/0!</v>
      </c>
      <c r="AD271" s="106" t="e">
        <f t="shared" si="464"/>
        <v>#DIV/0!</v>
      </c>
      <c r="AE271" s="106" t="e">
        <f t="shared" si="464"/>
        <v>#DIV/0!</v>
      </c>
      <c r="AF271" s="107" t="e">
        <f t="shared" si="464"/>
        <v>#DIV/0!</v>
      </c>
      <c r="AG271" s="107" t="e">
        <f t="shared" si="464"/>
        <v>#DIV/0!</v>
      </c>
      <c r="AH271" s="107" t="e">
        <f t="shared" si="464"/>
        <v>#DIV/0!</v>
      </c>
      <c r="AI271" s="108" t="e">
        <f t="shared" si="464"/>
        <v>#DIV/0!</v>
      </c>
      <c r="AJ271" s="109" t="e">
        <f t="shared" si="464"/>
        <v>#DIV/0!</v>
      </c>
      <c r="AK271" s="110" t="e">
        <f t="shared" si="464"/>
        <v>#DIV/0!</v>
      </c>
      <c r="AL271" s="105"/>
    </row>
    <row r="272" spans="1:38" ht="15.6" hidden="1" thickBot="1">
      <c r="A272" s="91"/>
      <c r="B272" s="100"/>
      <c r="C272" s="111"/>
      <c r="D272" s="112" t="s">
        <v>103</v>
      </c>
      <c r="E272" s="113" t="e">
        <f t="shared" ref="E272:R272" si="465">E270/E268</f>
        <v>#DIV/0!</v>
      </c>
      <c r="F272" s="113" t="e">
        <f t="shared" si="465"/>
        <v>#DIV/0!</v>
      </c>
      <c r="G272" s="113" t="e">
        <f t="shared" si="465"/>
        <v>#DIV/0!</v>
      </c>
      <c r="H272" s="113" t="e">
        <f t="shared" si="465"/>
        <v>#DIV/0!</v>
      </c>
      <c r="I272" s="113" t="e">
        <f t="shared" si="465"/>
        <v>#DIV/0!</v>
      </c>
      <c r="J272" s="113" t="e">
        <f t="shared" si="465"/>
        <v>#DIV/0!</v>
      </c>
      <c r="K272" s="113" t="e">
        <f t="shared" si="465"/>
        <v>#DIV/0!</v>
      </c>
      <c r="L272" s="113" t="e">
        <f t="shared" si="465"/>
        <v>#DIV/0!</v>
      </c>
      <c r="M272" s="113" t="e">
        <f t="shared" si="465"/>
        <v>#DIV/0!</v>
      </c>
      <c r="N272" s="113" t="e">
        <f t="shared" si="465"/>
        <v>#DIV/0!</v>
      </c>
      <c r="O272" s="113" t="e">
        <f t="shared" si="465"/>
        <v>#DIV/0!</v>
      </c>
      <c r="P272" s="114" t="e">
        <f t="shared" si="465"/>
        <v>#DIV/0!</v>
      </c>
      <c r="Q272" s="115" t="e">
        <f t="shared" si="465"/>
        <v>#DIV/0!</v>
      </c>
      <c r="R272" s="116" t="e">
        <f t="shared" si="465"/>
        <v>#DIV/0!</v>
      </c>
      <c r="T272" s="91"/>
      <c r="U272" s="100"/>
      <c r="V272" s="111"/>
      <c r="W272" s="112" t="s">
        <v>103</v>
      </c>
      <c r="X272" s="113" t="e">
        <f t="shared" ref="X272:AK272" si="466">X270/X268</f>
        <v>#DIV/0!</v>
      </c>
      <c r="Y272" s="113" t="e">
        <f t="shared" si="466"/>
        <v>#DIV/0!</v>
      </c>
      <c r="Z272" s="113" t="e">
        <f t="shared" si="466"/>
        <v>#DIV/0!</v>
      </c>
      <c r="AA272" s="113" t="e">
        <f t="shared" si="466"/>
        <v>#DIV/0!</v>
      </c>
      <c r="AB272" s="113" t="e">
        <f t="shared" si="466"/>
        <v>#DIV/0!</v>
      </c>
      <c r="AC272" s="113" t="e">
        <f t="shared" si="466"/>
        <v>#DIV/0!</v>
      </c>
      <c r="AD272" s="113" t="e">
        <f t="shared" si="466"/>
        <v>#DIV/0!</v>
      </c>
      <c r="AE272" s="113" t="e">
        <f t="shared" si="466"/>
        <v>#DIV/0!</v>
      </c>
      <c r="AF272" s="113" t="e">
        <f t="shared" si="466"/>
        <v>#DIV/0!</v>
      </c>
      <c r="AG272" s="113" t="e">
        <f t="shared" si="466"/>
        <v>#DIV/0!</v>
      </c>
      <c r="AH272" s="113" t="e">
        <f t="shared" si="466"/>
        <v>#DIV/0!</v>
      </c>
      <c r="AI272" s="114" t="e">
        <f t="shared" si="466"/>
        <v>#DIV/0!</v>
      </c>
      <c r="AJ272" s="115" t="e">
        <f t="shared" si="466"/>
        <v>#DIV/0!</v>
      </c>
      <c r="AK272" s="116" t="e">
        <f t="shared" si="466"/>
        <v>#DIV/0!</v>
      </c>
    </row>
    <row r="273" spans="1:38" ht="15.6" hidden="1" thickBot="1">
      <c r="A273" s="91"/>
      <c r="B273" s="100"/>
      <c r="C273" s="86"/>
      <c r="D273" s="87">
        <v>2019</v>
      </c>
      <c r="E273" s="88"/>
      <c r="F273" s="121"/>
      <c r="G273" s="121"/>
      <c r="H273" s="121"/>
      <c r="I273" s="121"/>
      <c r="J273" s="121"/>
      <c r="K273" s="121"/>
      <c r="L273" s="121"/>
      <c r="M273" s="122"/>
      <c r="N273" s="122"/>
      <c r="O273" s="122"/>
      <c r="P273" s="123"/>
      <c r="Q273" s="89">
        <f t="shared" ref="Q273:Q275" si="467">SUM(E273:P273)</f>
        <v>0</v>
      </c>
      <c r="R273" s="90">
        <f t="shared" ref="R273" si="468">SUM(E273:M273)</f>
        <v>0</v>
      </c>
      <c r="T273" s="91"/>
      <c r="U273" s="100"/>
      <c r="V273" s="86">
        <f t="shared" ref="V273:V274" si="469">C273</f>
        <v>0</v>
      </c>
      <c r="W273" s="87">
        <v>2019</v>
      </c>
      <c r="X273" s="88"/>
      <c r="Y273" s="121"/>
      <c r="Z273" s="121"/>
      <c r="AA273" s="121"/>
      <c r="AB273" s="121"/>
      <c r="AC273" s="121"/>
      <c r="AD273" s="121"/>
      <c r="AE273" s="121"/>
      <c r="AF273" s="122"/>
      <c r="AG273" s="122"/>
      <c r="AH273" s="122"/>
      <c r="AI273" s="123"/>
      <c r="AJ273" s="89">
        <f t="shared" ref="AJ273:AJ275" si="470">SUM(X273:AI273)</f>
        <v>0</v>
      </c>
      <c r="AK273" s="90">
        <f t="shared" ref="AK273:AK275" si="471">SUM(X273:AF273)</f>
        <v>0</v>
      </c>
    </row>
    <row r="274" spans="1:38" ht="15.6" hidden="1" thickBot="1">
      <c r="A274" s="91"/>
      <c r="B274" s="100"/>
      <c r="C274" s="92"/>
      <c r="D274" s="93" t="s">
        <v>92</v>
      </c>
      <c r="E274" s="94"/>
      <c r="F274" s="97"/>
      <c r="G274" s="97"/>
      <c r="H274" s="97"/>
      <c r="I274" s="97"/>
      <c r="J274" s="97"/>
      <c r="K274" s="97"/>
      <c r="L274" s="97"/>
      <c r="M274" s="98"/>
      <c r="N274" s="98"/>
      <c r="O274" s="98"/>
      <c r="P274" s="99"/>
      <c r="Q274" s="95">
        <f t="shared" si="467"/>
        <v>0</v>
      </c>
      <c r="R274" s="96">
        <f t="shared" si="459"/>
        <v>0</v>
      </c>
      <c r="T274" s="91"/>
      <c r="U274" s="100"/>
      <c r="V274" s="92">
        <f t="shared" si="469"/>
        <v>0</v>
      </c>
      <c r="W274" s="93" t="s">
        <v>92</v>
      </c>
      <c r="X274" s="94"/>
      <c r="Y274" s="97"/>
      <c r="Z274" s="97"/>
      <c r="AA274" s="97"/>
      <c r="AB274" s="97"/>
      <c r="AC274" s="97"/>
      <c r="AD274" s="97"/>
      <c r="AE274" s="97"/>
      <c r="AF274" s="98"/>
      <c r="AG274" s="98"/>
      <c r="AH274" s="98"/>
      <c r="AI274" s="99"/>
      <c r="AJ274" s="95">
        <f t="shared" si="470"/>
        <v>0</v>
      </c>
      <c r="AK274" s="96">
        <f t="shared" si="471"/>
        <v>0</v>
      </c>
    </row>
    <row r="275" spans="1:38" ht="15.6" hidden="1" thickBot="1">
      <c r="A275" s="91"/>
      <c r="B275" s="100"/>
      <c r="C275" s="92"/>
      <c r="D275" s="101">
        <v>2020</v>
      </c>
      <c r="E275" s="102"/>
      <c r="F275" s="124"/>
      <c r="G275" s="124"/>
      <c r="H275" s="124"/>
      <c r="I275" s="124"/>
      <c r="J275" s="124"/>
      <c r="K275" s="124"/>
      <c r="L275" s="124"/>
      <c r="M275" s="125"/>
      <c r="N275" s="125"/>
      <c r="O275" s="125"/>
      <c r="P275" s="126"/>
      <c r="Q275" s="103">
        <f t="shared" si="467"/>
        <v>0</v>
      </c>
      <c r="R275" s="104">
        <f t="shared" si="459"/>
        <v>0</v>
      </c>
      <c r="S275" s="105"/>
      <c r="T275" s="91"/>
      <c r="U275" s="100"/>
      <c r="V275" s="92"/>
      <c r="W275" s="101">
        <v>2020</v>
      </c>
      <c r="X275" s="102"/>
      <c r="Y275" s="124"/>
      <c r="Z275" s="124"/>
      <c r="AA275" s="124"/>
      <c r="AB275" s="124"/>
      <c r="AC275" s="124"/>
      <c r="AD275" s="124"/>
      <c r="AE275" s="124"/>
      <c r="AF275" s="125"/>
      <c r="AG275" s="125"/>
      <c r="AH275" s="125"/>
      <c r="AI275" s="126"/>
      <c r="AJ275" s="103">
        <f t="shared" si="470"/>
        <v>0</v>
      </c>
      <c r="AK275" s="104">
        <f t="shared" si="471"/>
        <v>0</v>
      </c>
      <c r="AL275" s="105"/>
    </row>
    <row r="276" spans="1:38" ht="15.6" hidden="1" thickBot="1">
      <c r="A276" s="91"/>
      <c r="B276" s="100"/>
      <c r="C276" s="92"/>
      <c r="D276" s="101" t="s">
        <v>102</v>
      </c>
      <c r="E276" s="106" t="e">
        <f t="shared" ref="E276:R276" si="472">E275/E274</f>
        <v>#DIV/0!</v>
      </c>
      <c r="F276" s="106" t="e">
        <f t="shared" si="472"/>
        <v>#DIV/0!</v>
      </c>
      <c r="G276" s="106" t="e">
        <f t="shared" si="472"/>
        <v>#DIV/0!</v>
      </c>
      <c r="H276" s="106" t="e">
        <f t="shared" si="472"/>
        <v>#DIV/0!</v>
      </c>
      <c r="I276" s="106" t="e">
        <f t="shared" si="472"/>
        <v>#DIV/0!</v>
      </c>
      <c r="J276" s="106" t="e">
        <f t="shared" si="472"/>
        <v>#DIV/0!</v>
      </c>
      <c r="K276" s="106" t="e">
        <f t="shared" si="472"/>
        <v>#DIV/0!</v>
      </c>
      <c r="L276" s="106" t="e">
        <f t="shared" si="472"/>
        <v>#DIV/0!</v>
      </c>
      <c r="M276" s="107" t="e">
        <f t="shared" si="472"/>
        <v>#DIV/0!</v>
      </c>
      <c r="N276" s="107" t="e">
        <f t="shared" si="472"/>
        <v>#DIV/0!</v>
      </c>
      <c r="O276" s="107" t="e">
        <f t="shared" si="472"/>
        <v>#DIV/0!</v>
      </c>
      <c r="P276" s="108" t="e">
        <f t="shared" si="472"/>
        <v>#DIV/0!</v>
      </c>
      <c r="Q276" s="109" t="e">
        <f t="shared" si="472"/>
        <v>#DIV/0!</v>
      </c>
      <c r="R276" s="110" t="e">
        <f t="shared" si="472"/>
        <v>#DIV/0!</v>
      </c>
      <c r="S276" s="105"/>
      <c r="T276" s="91"/>
      <c r="U276" s="100"/>
      <c r="V276" s="92"/>
      <c r="W276" s="101" t="s">
        <v>102</v>
      </c>
      <c r="X276" s="106" t="e">
        <f t="shared" ref="X276:AK276" si="473">X275/X274</f>
        <v>#DIV/0!</v>
      </c>
      <c r="Y276" s="106" t="e">
        <f t="shared" si="473"/>
        <v>#DIV/0!</v>
      </c>
      <c r="Z276" s="106" t="e">
        <f t="shared" si="473"/>
        <v>#DIV/0!</v>
      </c>
      <c r="AA276" s="106" t="e">
        <f t="shared" si="473"/>
        <v>#DIV/0!</v>
      </c>
      <c r="AB276" s="106" t="e">
        <f t="shared" si="473"/>
        <v>#DIV/0!</v>
      </c>
      <c r="AC276" s="106" t="e">
        <f t="shared" si="473"/>
        <v>#DIV/0!</v>
      </c>
      <c r="AD276" s="106" t="e">
        <f t="shared" si="473"/>
        <v>#DIV/0!</v>
      </c>
      <c r="AE276" s="106" t="e">
        <f t="shared" si="473"/>
        <v>#DIV/0!</v>
      </c>
      <c r="AF276" s="107" t="e">
        <f t="shared" si="473"/>
        <v>#DIV/0!</v>
      </c>
      <c r="AG276" s="107" t="e">
        <f t="shared" si="473"/>
        <v>#DIV/0!</v>
      </c>
      <c r="AH276" s="107" t="e">
        <f t="shared" si="473"/>
        <v>#DIV/0!</v>
      </c>
      <c r="AI276" s="108" t="e">
        <f t="shared" si="473"/>
        <v>#DIV/0!</v>
      </c>
      <c r="AJ276" s="109" t="e">
        <f t="shared" si="473"/>
        <v>#DIV/0!</v>
      </c>
      <c r="AK276" s="110" t="e">
        <f t="shared" si="473"/>
        <v>#DIV/0!</v>
      </c>
      <c r="AL276" s="105"/>
    </row>
    <row r="277" spans="1:38" ht="15.6" hidden="1" thickBot="1">
      <c r="A277" s="91"/>
      <c r="B277" s="100"/>
      <c r="C277" s="111"/>
      <c r="D277" s="112" t="s">
        <v>103</v>
      </c>
      <c r="E277" s="113" t="e">
        <f t="shared" ref="E277:R277" si="474">E275/E273</f>
        <v>#DIV/0!</v>
      </c>
      <c r="F277" s="113" t="e">
        <f t="shared" si="474"/>
        <v>#DIV/0!</v>
      </c>
      <c r="G277" s="113" t="e">
        <f t="shared" si="474"/>
        <v>#DIV/0!</v>
      </c>
      <c r="H277" s="113" t="e">
        <f t="shared" si="474"/>
        <v>#DIV/0!</v>
      </c>
      <c r="I277" s="113" t="e">
        <f t="shared" si="474"/>
        <v>#DIV/0!</v>
      </c>
      <c r="J277" s="113" t="e">
        <f t="shared" si="474"/>
        <v>#DIV/0!</v>
      </c>
      <c r="K277" s="113" t="e">
        <f t="shared" si="474"/>
        <v>#DIV/0!</v>
      </c>
      <c r="L277" s="113" t="e">
        <f t="shared" si="474"/>
        <v>#DIV/0!</v>
      </c>
      <c r="M277" s="113" t="e">
        <f t="shared" si="474"/>
        <v>#DIV/0!</v>
      </c>
      <c r="N277" s="113" t="e">
        <f t="shared" si="474"/>
        <v>#DIV/0!</v>
      </c>
      <c r="O277" s="113" t="e">
        <f t="shared" si="474"/>
        <v>#DIV/0!</v>
      </c>
      <c r="P277" s="114" t="e">
        <f t="shared" si="474"/>
        <v>#DIV/0!</v>
      </c>
      <c r="Q277" s="115" t="e">
        <f t="shared" si="474"/>
        <v>#DIV/0!</v>
      </c>
      <c r="R277" s="116" t="e">
        <f t="shared" si="474"/>
        <v>#DIV/0!</v>
      </c>
      <c r="T277" s="91"/>
      <c r="U277" s="100"/>
      <c r="V277" s="111"/>
      <c r="W277" s="112" t="s">
        <v>103</v>
      </c>
      <c r="X277" s="113" t="e">
        <f t="shared" ref="X277:AK277" si="475">X275/X273</f>
        <v>#DIV/0!</v>
      </c>
      <c r="Y277" s="113" t="e">
        <f t="shared" si="475"/>
        <v>#DIV/0!</v>
      </c>
      <c r="Z277" s="113" t="e">
        <f t="shared" si="475"/>
        <v>#DIV/0!</v>
      </c>
      <c r="AA277" s="113" t="e">
        <f t="shared" si="475"/>
        <v>#DIV/0!</v>
      </c>
      <c r="AB277" s="113" t="e">
        <f t="shared" si="475"/>
        <v>#DIV/0!</v>
      </c>
      <c r="AC277" s="113" t="e">
        <f t="shared" si="475"/>
        <v>#DIV/0!</v>
      </c>
      <c r="AD277" s="113" t="e">
        <f t="shared" si="475"/>
        <v>#DIV/0!</v>
      </c>
      <c r="AE277" s="113" t="e">
        <f t="shared" si="475"/>
        <v>#DIV/0!</v>
      </c>
      <c r="AF277" s="113" t="e">
        <f t="shared" si="475"/>
        <v>#DIV/0!</v>
      </c>
      <c r="AG277" s="113" t="e">
        <f t="shared" si="475"/>
        <v>#DIV/0!</v>
      </c>
      <c r="AH277" s="113" t="e">
        <f t="shared" si="475"/>
        <v>#DIV/0!</v>
      </c>
      <c r="AI277" s="114" t="e">
        <f t="shared" si="475"/>
        <v>#DIV/0!</v>
      </c>
      <c r="AJ277" s="115" t="e">
        <f t="shared" si="475"/>
        <v>#DIV/0!</v>
      </c>
      <c r="AK277" s="116" t="e">
        <f t="shared" si="475"/>
        <v>#DIV/0!</v>
      </c>
    </row>
    <row r="278" spans="1:38" ht="15.6" hidden="1" thickBot="1">
      <c r="A278" s="91"/>
      <c r="B278" s="100"/>
      <c r="C278" s="86"/>
      <c r="D278" s="87">
        <v>2019</v>
      </c>
      <c r="E278" s="88"/>
      <c r="F278" s="121"/>
      <c r="G278" s="121"/>
      <c r="H278" s="121"/>
      <c r="I278" s="121"/>
      <c r="J278" s="121"/>
      <c r="K278" s="121"/>
      <c r="L278" s="121"/>
      <c r="M278" s="122"/>
      <c r="N278" s="122"/>
      <c r="O278" s="122"/>
      <c r="P278" s="123"/>
      <c r="Q278" s="89">
        <f t="shared" ref="Q278:Q280" si="476">SUM(E278:P278)</f>
        <v>0</v>
      </c>
      <c r="R278" s="90">
        <f t="shared" ref="R278" si="477">SUM(E278:M278)</f>
        <v>0</v>
      </c>
      <c r="T278" s="91"/>
      <c r="U278" s="100"/>
      <c r="V278" s="86">
        <f t="shared" ref="V278:V279" si="478">C278</f>
        <v>0</v>
      </c>
      <c r="W278" s="87">
        <v>2019</v>
      </c>
      <c r="X278" s="88"/>
      <c r="Y278" s="121"/>
      <c r="Z278" s="121"/>
      <c r="AA278" s="121"/>
      <c r="AB278" s="121"/>
      <c r="AC278" s="121"/>
      <c r="AD278" s="121"/>
      <c r="AE278" s="121"/>
      <c r="AF278" s="122"/>
      <c r="AG278" s="122"/>
      <c r="AH278" s="122"/>
      <c r="AI278" s="123"/>
      <c r="AJ278" s="89">
        <f t="shared" ref="AJ278:AJ280" si="479">SUM(X278:AI278)</f>
        <v>0</v>
      </c>
      <c r="AK278" s="90">
        <f t="shared" ref="AK278:AK280" si="480">SUM(X278:AF278)</f>
        <v>0</v>
      </c>
    </row>
    <row r="279" spans="1:38" ht="15.6" hidden="1" thickBot="1">
      <c r="A279" s="91"/>
      <c r="B279" s="100"/>
      <c r="C279" s="92"/>
      <c r="D279" s="93" t="s">
        <v>92</v>
      </c>
      <c r="E279" s="94"/>
      <c r="F279" s="97"/>
      <c r="G279" s="97"/>
      <c r="H279" s="97"/>
      <c r="I279" s="97"/>
      <c r="J279" s="97"/>
      <c r="K279" s="97"/>
      <c r="L279" s="97"/>
      <c r="M279" s="98"/>
      <c r="N279" s="98"/>
      <c r="O279" s="98"/>
      <c r="P279" s="99"/>
      <c r="Q279" s="95">
        <f t="shared" si="476"/>
        <v>0</v>
      </c>
      <c r="R279" s="96">
        <f t="shared" si="459"/>
        <v>0</v>
      </c>
      <c r="T279" s="91"/>
      <c r="U279" s="100"/>
      <c r="V279" s="92">
        <f t="shared" si="478"/>
        <v>0</v>
      </c>
      <c r="W279" s="93" t="s">
        <v>92</v>
      </c>
      <c r="X279" s="94"/>
      <c r="Y279" s="97"/>
      <c r="Z279" s="97"/>
      <c r="AA279" s="97"/>
      <c r="AB279" s="97"/>
      <c r="AC279" s="97"/>
      <c r="AD279" s="97"/>
      <c r="AE279" s="97"/>
      <c r="AF279" s="98"/>
      <c r="AG279" s="98"/>
      <c r="AH279" s="98"/>
      <c r="AI279" s="99"/>
      <c r="AJ279" s="95">
        <f t="shared" si="479"/>
        <v>0</v>
      </c>
      <c r="AK279" s="96">
        <f t="shared" si="480"/>
        <v>0</v>
      </c>
    </row>
    <row r="280" spans="1:38" ht="15.6" hidden="1" thickBot="1">
      <c r="A280" s="91"/>
      <c r="B280" s="100"/>
      <c r="C280" s="92"/>
      <c r="D280" s="101">
        <v>2020</v>
      </c>
      <c r="E280" s="102"/>
      <c r="F280" s="124"/>
      <c r="G280" s="124"/>
      <c r="H280" s="124"/>
      <c r="I280" s="124"/>
      <c r="J280" s="124"/>
      <c r="K280" s="124"/>
      <c r="L280" s="124"/>
      <c r="M280" s="125"/>
      <c r="N280" s="125"/>
      <c r="O280" s="125"/>
      <c r="P280" s="126"/>
      <c r="Q280" s="103">
        <f t="shared" si="476"/>
        <v>0</v>
      </c>
      <c r="R280" s="104">
        <f t="shared" si="459"/>
        <v>0</v>
      </c>
      <c r="S280" s="105"/>
      <c r="T280" s="91"/>
      <c r="U280" s="100"/>
      <c r="V280" s="92"/>
      <c r="W280" s="101">
        <v>2020</v>
      </c>
      <c r="X280" s="102"/>
      <c r="Y280" s="124"/>
      <c r="Z280" s="124"/>
      <c r="AA280" s="124"/>
      <c r="AB280" s="124"/>
      <c r="AC280" s="124"/>
      <c r="AD280" s="124"/>
      <c r="AE280" s="124"/>
      <c r="AF280" s="125"/>
      <c r="AG280" s="125"/>
      <c r="AH280" s="125"/>
      <c r="AI280" s="126"/>
      <c r="AJ280" s="103">
        <f t="shared" si="479"/>
        <v>0</v>
      </c>
      <c r="AK280" s="104">
        <f t="shared" si="480"/>
        <v>0</v>
      </c>
      <c r="AL280" s="105"/>
    </row>
    <row r="281" spans="1:38" ht="15.6" hidden="1" thickBot="1">
      <c r="A281" s="91"/>
      <c r="B281" s="100"/>
      <c r="C281" s="92"/>
      <c r="D281" s="101" t="s">
        <v>102</v>
      </c>
      <c r="E281" s="106" t="e">
        <f t="shared" ref="E281:R281" si="481">E280/E279</f>
        <v>#DIV/0!</v>
      </c>
      <c r="F281" s="106" t="e">
        <f t="shared" si="481"/>
        <v>#DIV/0!</v>
      </c>
      <c r="G281" s="106" t="e">
        <f t="shared" si="481"/>
        <v>#DIV/0!</v>
      </c>
      <c r="H281" s="106" t="e">
        <f t="shared" si="481"/>
        <v>#DIV/0!</v>
      </c>
      <c r="I281" s="106" t="e">
        <f t="shared" si="481"/>
        <v>#DIV/0!</v>
      </c>
      <c r="J281" s="106" t="e">
        <f t="shared" si="481"/>
        <v>#DIV/0!</v>
      </c>
      <c r="K281" s="106" t="e">
        <f t="shared" si="481"/>
        <v>#DIV/0!</v>
      </c>
      <c r="L281" s="106" t="e">
        <f t="shared" si="481"/>
        <v>#DIV/0!</v>
      </c>
      <c r="M281" s="107" t="e">
        <f t="shared" si="481"/>
        <v>#DIV/0!</v>
      </c>
      <c r="N281" s="107" t="e">
        <f t="shared" si="481"/>
        <v>#DIV/0!</v>
      </c>
      <c r="O281" s="107" t="e">
        <f t="shared" si="481"/>
        <v>#DIV/0!</v>
      </c>
      <c r="P281" s="108" t="e">
        <f t="shared" si="481"/>
        <v>#DIV/0!</v>
      </c>
      <c r="Q281" s="109" t="e">
        <f t="shared" si="481"/>
        <v>#DIV/0!</v>
      </c>
      <c r="R281" s="110" t="e">
        <f t="shared" si="481"/>
        <v>#DIV/0!</v>
      </c>
      <c r="S281" s="105"/>
      <c r="T281" s="91"/>
      <c r="U281" s="100"/>
      <c r="V281" s="92"/>
      <c r="W281" s="101" t="s">
        <v>102</v>
      </c>
      <c r="X281" s="106" t="e">
        <f t="shared" ref="X281:AK281" si="482">X280/X279</f>
        <v>#DIV/0!</v>
      </c>
      <c r="Y281" s="106" t="e">
        <f t="shared" si="482"/>
        <v>#DIV/0!</v>
      </c>
      <c r="Z281" s="106" t="e">
        <f t="shared" si="482"/>
        <v>#DIV/0!</v>
      </c>
      <c r="AA281" s="106" t="e">
        <f t="shared" si="482"/>
        <v>#DIV/0!</v>
      </c>
      <c r="AB281" s="106" t="e">
        <f t="shared" si="482"/>
        <v>#DIV/0!</v>
      </c>
      <c r="AC281" s="106" t="e">
        <f t="shared" si="482"/>
        <v>#DIV/0!</v>
      </c>
      <c r="AD281" s="106" t="e">
        <f t="shared" si="482"/>
        <v>#DIV/0!</v>
      </c>
      <c r="AE281" s="106" t="e">
        <f t="shared" si="482"/>
        <v>#DIV/0!</v>
      </c>
      <c r="AF281" s="107" t="e">
        <f t="shared" si="482"/>
        <v>#DIV/0!</v>
      </c>
      <c r="AG281" s="107" t="e">
        <f t="shared" si="482"/>
        <v>#DIV/0!</v>
      </c>
      <c r="AH281" s="107" t="e">
        <f t="shared" si="482"/>
        <v>#DIV/0!</v>
      </c>
      <c r="AI281" s="108" t="e">
        <f t="shared" si="482"/>
        <v>#DIV/0!</v>
      </c>
      <c r="AJ281" s="109" t="e">
        <f t="shared" si="482"/>
        <v>#DIV/0!</v>
      </c>
      <c r="AK281" s="110" t="e">
        <f t="shared" si="482"/>
        <v>#DIV/0!</v>
      </c>
      <c r="AL281" s="105"/>
    </row>
    <row r="282" spans="1:38" ht="15.6" hidden="1" thickBot="1">
      <c r="A282" s="91"/>
      <c r="B282" s="100"/>
      <c r="C282" s="111"/>
      <c r="D282" s="112" t="s">
        <v>103</v>
      </c>
      <c r="E282" s="113" t="e">
        <f t="shared" ref="E282:R282" si="483">E280/E278</f>
        <v>#DIV/0!</v>
      </c>
      <c r="F282" s="113" t="e">
        <f t="shared" si="483"/>
        <v>#DIV/0!</v>
      </c>
      <c r="G282" s="113" t="e">
        <f t="shared" si="483"/>
        <v>#DIV/0!</v>
      </c>
      <c r="H282" s="113" t="e">
        <f t="shared" si="483"/>
        <v>#DIV/0!</v>
      </c>
      <c r="I282" s="113" t="e">
        <f t="shared" si="483"/>
        <v>#DIV/0!</v>
      </c>
      <c r="J282" s="113" t="e">
        <f t="shared" si="483"/>
        <v>#DIV/0!</v>
      </c>
      <c r="K282" s="113" t="e">
        <f t="shared" si="483"/>
        <v>#DIV/0!</v>
      </c>
      <c r="L282" s="113" t="e">
        <f t="shared" si="483"/>
        <v>#DIV/0!</v>
      </c>
      <c r="M282" s="113" t="e">
        <f t="shared" si="483"/>
        <v>#DIV/0!</v>
      </c>
      <c r="N282" s="113" t="e">
        <f t="shared" si="483"/>
        <v>#DIV/0!</v>
      </c>
      <c r="O282" s="113" t="e">
        <f t="shared" si="483"/>
        <v>#DIV/0!</v>
      </c>
      <c r="P282" s="114" t="e">
        <f t="shared" si="483"/>
        <v>#DIV/0!</v>
      </c>
      <c r="Q282" s="115" t="e">
        <f t="shared" si="483"/>
        <v>#DIV/0!</v>
      </c>
      <c r="R282" s="116" t="e">
        <f t="shared" si="483"/>
        <v>#DIV/0!</v>
      </c>
      <c r="T282" s="91"/>
      <c r="U282" s="100"/>
      <c r="V282" s="111"/>
      <c r="W282" s="112" t="s">
        <v>103</v>
      </c>
      <c r="X282" s="113" t="e">
        <f t="shared" ref="X282:AK282" si="484">X280/X278</f>
        <v>#DIV/0!</v>
      </c>
      <c r="Y282" s="113" t="e">
        <f t="shared" si="484"/>
        <v>#DIV/0!</v>
      </c>
      <c r="Z282" s="113" t="e">
        <f t="shared" si="484"/>
        <v>#DIV/0!</v>
      </c>
      <c r="AA282" s="113" t="e">
        <f t="shared" si="484"/>
        <v>#DIV/0!</v>
      </c>
      <c r="AB282" s="113" t="e">
        <f t="shared" si="484"/>
        <v>#DIV/0!</v>
      </c>
      <c r="AC282" s="113" t="e">
        <f t="shared" si="484"/>
        <v>#DIV/0!</v>
      </c>
      <c r="AD282" s="113" t="e">
        <f t="shared" si="484"/>
        <v>#DIV/0!</v>
      </c>
      <c r="AE282" s="113" t="e">
        <f t="shared" si="484"/>
        <v>#DIV/0!</v>
      </c>
      <c r="AF282" s="113" t="e">
        <f t="shared" si="484"/>
        <v>#DIV/0!</v>
      </c>
      <c r="AG282" s="113" t="e">
        <f t="shared" si="484"/>
        <v>#DIV/0!</v>
      </c>
      <c r="AH282" s="113" t="e">
        <f t="shared" si="484"/>
        <v>#DIV/0!</v>
      </c>
      <c r="AI282" s="114" t="e">
        <f t="shared" si="484"/>
        <v>#DIV/0!</v>
      </c>
      <c r="AJ282" s="115" t="e">
        <f t="shared" si="484"/>
        <v>#DIV/0!</v>
      </c>
      <c r="AK282" s="116" t="e">
        <f t="shared" si="484"/>
        <v>#DIV/0!</v>
      </c>
    </row>
    <row r="283" spans="1:38" ht="15.6" hidden="1" thickBot="1">
      <c r="A283" s="91"/>
      <c r="B283" s="100"/>
      <c r="C283" s="86"/>
      <c r="D283" s="87">
        <v>2019</v>
      </c>
      <c r="E283" s="88"/>
      <c r="F283" s="121"/>
      <c r="G283" s="121"/>
      <c r="H283" s="121"/>
      <c r="I283" s="121"/>
      <c r="J283" s="121"/>
      <c r="K283" s="121"/>
      <c r="L283" s="121"/>
      <c r="M283" s="122"/>
      <c r="N283" s="122"/>
      <c r="O283" s="122"/>
      <c r="P283" s="123"/>
      <c r="Q283" s="89">
        <f t="shared" ref="Q283:Q285" si="485">SUM(E283:P283)</f>
        <v>0</v>
      </c>
      <c r="R283" s="90">
        <f t="shared" ref="R283" si="486">SUM(E283:M283)</f>
        <v>0</v>
      </c>
      <c r="T283" s="91"/>
      <c r="U283" s="100"/>
      <c r="V283" s="86">
        <f t="shared" ref="V283:V284" si="487">C283</f>
        <v>0</v>
      </c>
      <c r="W283" s="87">
        <v>2019</v>
      </c>
      <c r="X283" s="88"/>
      <c r="Y283" s="121"/>
      <c r="Z283" s="121"/>
      <c r="AA283" s="121"/>
      <c r="AB283" s="121"/>
      <c r="AC283" s="121"/>
      <c r="AD283" s="121"/>
      <c r="AE283" s="121"/>
      <c r="AF283" s="122"/>
      <c r="AG283" s="122"/>
      <c r="AH283" s="122"/>
      <c r="AI283" s="123"/>
      <c r="AJ283" s="89">
        <f t="shared" ref="AJ283:AJ285" si="488">SUM(X283:AI283)</f>
        <v>0</v>
      </c>
      <c r="AK283" s="90">
        <f t="shared" ref="AK283:AK285" si="489">SUM(X283:AF283)</f>
        <v>0</v>
      </c>
    </row>
    <row r="284" spans="1:38" ht="15.6" hidden="1" thickBot="1">
      <c r="A284" s="91"/>
      <c r="B284" s="100"/>
      <c r="C284" s="92"/>
      <c r="D284" s="93" t="s">
        <v>92</v>
      </c>
      <c r="E284" s="94"/>
      <c r="F284" s="97"/>
      <c r="G284" s="97"/>
      <c r="H284" s="97"/>
      <c r="I284" s="97"/>
      <c r="J284" s="97"/>
      <c r="K284" s="97"/>
      <c r="L284" s="97"/>
      <c r="M284" s="98"/>
      <c r="N284" s="98"/>
      <c r="O284" s="98"/>
      <c r="P284" s="99"/>
      <c r="Q284" s="95">
        <f t="shared" si="485"/>
        <v>0</v>
      </c>
      <c r="R284" s="96">
        <f t="shared" si="459"/>
        <v>0</v>
      </c>
      <c r="T284" s="91"/>
      <c r="U284" s="100"/>
      <c r="V284" s="92">
        <f t="shared" si="487"/>
        <v>0</v>
      </c>
      <c r="W284" s="93" t="s">
        <v>92</v>
      </c>
      <c r="X284" s="94"/>
      <c r="Y284" s="97"/>
      <c r="Z284" s="97"/>
      <c r="AA284" s="97"/>
      <c r="AB284" s="97"/>
      <c r="AC284" s="97"/>
      <c r="AD284" s="97"/>
      <c r="AE284" s="97"/>
      <c r="AF284" s="98"/>
      <c r="AG284" s="98"/>
      <c r="AH284" s="98"/>
      <c r="AI284" s="99"/>
      <c r="AJ284" s="95">
        <f t="shared" si="488"/>
        <v>0</v>
      </c>
      <c r="AK284" s="96">
        <f t="shared" si="489"/>
        <v>0</v>
      </c>
    </row>
    <row r="285" spans="1:38" ht="15.6" hidden="1" thickBot="1">
      <c r="A285" s="91"/>
      <c r="B285" s="100"/>
      <c r="C285" s="92"/>
      <c r="D285" s="101">
        <v>2020</v>
      </c>
      <c r="E285" s="102"/>
      <c r="F285" s="124"/>
      <c r="G285" s="124"/>
      <c r="H285" s="124"/>
      <c r="I285" s="124"/>
      <c r="J285" s="124"/>
      <c r="K285" s="124"/>
      <c r="L285" s="124"/>
      <c r="M285" s="125"/>
      <c r="N285" s="125"/>
      <c r="O285" s="125"/>
      <c r="P285" s="126"/>
      <c r="Q285" s="103">
        <f t="shared" si="485"/>
        <v>0</v>
      </c>
      <c r="R285" s="104">
        <f t="shared" si="459"/>
        <v>0</v>
      </c>
      <c r="S285" s="105"/>
      <c r="T285" s="91"/>
      <c r="U285" s="100"/>
      <c r="V285" s="92"/>
      <c r="W285" s="101">
        <v>2020</v>
      </c>
      <c r="X285" s="102"/>
      <c r="Y285" s="124"/>
      <c r="Z285" s="124"/>
      <c r="AA285" s="124"/>
      <c r="AB285" s="124"/>
      <c r="AC285" s="124"/>
      <c r="AD285" s="124"/>
      <c r="AE285" s="124"/>
      <c r="AF285" s="125"/>
      <c r="AG285" s="125"/>
      <c r="AH285" s="125"/>
      <c r="AI285" s="126"/>
      <c r="AJ285" s="103">
        <f t="shared" si="488"/>
        <v>0</v>
      </c>
      <c r="AK285" s="104">
        <f t="shared" si="489"/>
        <v>0</v>
      </c>
      <c r="AL285" s="105"/>
    </row>
    <row r="286" spans="1:38" ht="15.6" hidden="1" thickBot="1">
      <c r="A286" s="91"/>
      <c r="B286" s="100"/>
      <c r="C286" s="92"/>
      <c r="D286" s="101" t="s">
        <v>102</v>
      </c>
      <c r="E286" s="106" t="e">
        <f t="shared" ref="E286:R286" si="490">E285/E284</f>
        <v>#DIV/0!</v>
      </c>
      <c r="F286" s="106" t="e">
        <f t="shared" si="490"/>
        <v>#DIV/0!</v>
      </c>
      <c r="G286" s="106" t="e">
        <f t="shared" si="490"/>
        <v>#DIV/0!</v>
      </c>
      <c r="H286" s="106" t="e">
        <f t="shared" si="490"/>
        <v>#DIV/0!</v>
      </c>
      <c r="I286" s="106" t="e">
        <f t="shared" si="490"/>
        <v>#DIV/0!</v>
      </c>
      <c r="J286" s="106" t="e">
        <f t="shared" si="490"/>
        <v>#DIV/0!</v>
      </c>
      <c r="K286" s="106" t="e">
        <f t="shared" si="490"/>
        <v>#DIV/0!</v>
      </c>
      <c r="L286" s="106" t="e">
        <f t="shared" si="490"/>
        <v>#DIV/0!</v>
      </c>
      <c r="M286" s="107" t="e">
        <f t="shared" si="490"/>
        <v>#DIV/0!</v>
      </c>
      <c r="N286" s="107" t="e">
        <f t="shared" si="490"/>
        <v>#DIV/0!</v>
      </c>
      <c r="O286" s="107" t="e">
        <f t="shared" si="490"/>
        <v>#DIV/0!</v>
      </c>
      <c r="P286" s="108" t="e">
        <f t="shared" si="490"/>
        <v>#DIV/0!</v>
      </c>
      <c r="Q286" s="109" t="e">
        <f t="shared" si="490"/>
        <v>#DIV/0!</v>
      </c>
      <c r="R286" s="110" t="e">
        <f t="shared" si="490"/>
        <v>#DIV/0!</v>
      </c>
      <c r="S286" s="105"/>
      <c r="T286" s="91"/>
      <c r="U286" s="100"/>
      <c r="V286" s="92"/>
      <c r="W286" s="101" t="s">
        <v>102</v>
      </c>
      <c r="X286" s="106" t="e">
        <f t="shared" ref="X286:AK286" si="491">X285/X284</f>
        <v>#DIV/0!</v>
      </c>
      <c r="Y286" s="106" t="e">
        <f t="shared" si="491"/>
        <v>#DIV/0!</v>
      </c>
      <c r="Z286" s="106" t="e">
        <f t="shared" si="491"/>
        <v>#DIV/0!</v>
      </c>
      <c r="AA286" s="106" t="e">
        <f t="shared" si="491"/>
        <v>#DIV/0!</v>
      </c>
      <c r="AB286" s="106" t="e">
        <f t="shared" si="491"/>
        <v>#DIV/0!</v>
      </c>
      <c r="AC286" s="106" t="e">
        <f t="shared" si="491"/>
        <v>#DIV/0!</v>
      </c>
      <c r="AD286" s="106" t="e">
        <f t="shared" si="491"/>
        <v>#DIV/0!</v>
      </c>
      <c r="AE286" s="106" t="e">
        <f t="shared" si="491"/>
        <v>#DIV/0!</v>
      </c>
      <c r="AF286" s="107" t="e">
        <f t="shared" si="491"/>
        <v>#DIV/0!</v>
      </c>
      <c r="AG286" s="107" t="e">
        <f t="shared" si="491"/>
        <v>#DIV/0!</v>
      </c>
      <c r="AH286" s="107" t="e">
        <f t="shared" si="491"/>
        <v>#DIV/0!</v>
      </c>
      <c r="AI286" s="108" t="e">
        <f t="shared" si="491"/>
        <v>#DIV/0!</v>
      </c>
      <c r="AJ286" s="109" t="e">
        <f t="shared" si="491"/>
        <v>#DIV/0!</v>
      </c>
      <c r="AK286" s="110" t="e">
        <f t="shared" si="491"/>
        <v>#DIV/0!</v>
      </c>
      <c r="AL286" s="105"/>
    </row>
    <row r="287" spans="1:38" ht="15.6" hidden="1" thickBot="1">
      <c r="A287" s="91"/>
      <c r="B287" s="100"/>
      <c r="C287" s="111"/>
      <c r="D287" s="112" t="s">
        <v>103</v>
      </c>
      <c r="E287" s="113" t="e">
        <f t="shared" ref="E287:R287" si="492">E285/E283</f>
        <v>#DIV/0!</v>
      </c>
      <c r="F287" s="113" t="e">
        <f t="shared" si="492"/>
        <v>#DIV/0!</v>
      </c>
      <c r="G287" s="113" t="e">
        <f t="shared" si="492"/>
        <v>#DIV/0!</v>
      </c>
      <c r="H287" s="113" t="e">
        <f t="shared" si="492"/>
        <v>#DIV/0!</v>
      </c>
      <c r="I287" s="113" t="e">
        <f t="shared" si="492"/>
        <v>#DIV/0!</v>
      </c>
      <c r="J287" s="113" t="e">
        <f t="shared" si="492"/>
        <v>#DIV/0!</v>
      </c>
      <c r="K287" s="113" t="e">
        <f t="shared" si="492"/>
        <v>#DIV/0!</v>
      </c>
      <c r="L287" s="113" t="e">
        <f t="shared" si="492"/>
        <v>#DIV/0!</v>
      </c>
      <c r="M287" s="113" t="e">
        <f t="shared" si="492"/>
        <v>#DIV/0!</v>
      </c>
      <c r="N287" s="113" t="e">
        <f t="shared" si="492"/>
        <v>#DIV/0!</v>
      </c>
      <c r="O287" s="113" t="e">
        <f t="shared" si="492"/>
        <v>#DIV/0!</v>
      </c>
      <c r="P287" s="114" t="e">
        <f t="shared" si="492"/>
        <v>#DIV/0!</v>
      </c>
      <c r="Q287" s="115" t="e">
        <f t="shared" si="492"/>
        <v>#DIV/0!</v>
      </c>
      <c r="R287" s="116" t="e">
        <f t="shared" si="492"/>
        <v>#DIV/0!</v>
      </c>
      <c r="T287" s="91"/>
      <c r="U287" s="100"/>
      <c r="V287" s="111"/>
      <c r="W287" s="112" t="s">
        <v>103</v>
      </c>
      <c r="X287" s="113" t="e">
        <f t="shared" ref="X287:AK287" si="493">X285/X283</f>
        <v>#DIV/0!</v>
      </c>
      <c r="Y287" s="113" t="e">
        <f t="shared" si="493"/>
        <v>#DIV/0!</v>
      </c>
      <c r="Z287" s="113" t="e">
        <f t="shared" si="493"/>
        <v>#DIV/0!</v>
      </c>
      <c r="AA287" s="113" t="e">
        <f t="shared" si="493"/>
        <v>#DIV/0!</v>
      </c>
      <c r="AB287" s="113" t="e">
        <f t="shared" si="493"/>
        <v>#DIV/0!</v>
      </c>
      <c r="AC287" s="113" t="e">
        <f t="shared" si="493"/>
        <v>#DIV/0!</v>
      </c>
      <c r="AD287" s="113" t="e">
        <f t="shared" si="493"/>
        <v>#DIV/0!</v>
      </c>
      <c r="AE287" s="113" t="e">
        <f t="shared" si="493"/>
        <v>#DIV/0!</v>
      </c>
      <c r="AF287" s="113" t="e">
        <f t="shared" si="493"/>
        <v>#DIV/0!</v>
      </c>
      <c r="AG287" s="113" t="e">
        <f t="shared" si="493"/>
        <v>#DIV/0!</v>
      </c>
      <c r="AH287" s="113" t="e">
        <f t="shared" si="493"/>
        <v>#DIV/0!</v>
      </c>
      <c r="AI287" s="114" t="e">
        <f t="shared" si="493"/>
        <v>#DIV/0!</v>
      </c>
      <c r="AJ287" s="115" t="e">
        <f t="shared" si="493"/>
        <v>#DIV/0!</v>
      </c>
      <c r="AK287" s="116" t="e">
        <f t="shared" si="493"/>
        <v>#DIV/0!</v>
      </c>
    </row>
    <row r="288" spans="1:38" ht="15.6" hidden="1" thickBot="1">
      <c r="A288" s="91"/>
      <c r="B288" s="100"/>
      <c r="C288" s="86"/>
      <c r="D288" s="87">
        <v>2019</v>
      </c>
      <c r="E288" s="88"/>
      <c r="F288" s="121"/>
      <c r="G288" s="121"/>
      <c r="H288" s="121"/>
      <c r="I288" s="121"/>
      <c r="J288" s="121"/>
      <c r="K288" s="121"/>
      <c r="L288" s="121"/>
      <c r="M288" s="122"/>
      <c r="N288" s="122"/>
      <c r="O288" s="122"/>
      <c r="P288" s="123"/>
      <c r="Q288" s="89">
        <f t="shared" ref="Q288:Q290" si="494">SUM(E288:P288)</f>
        <v>0</v>
      </c>
      <c r="R288" s="90">
        <f t="shared" ref="R288" si="495">SUM(E288:M288)</f>
        <v>0</v>
      </c>
      <c r="T288" s="91"/>
      <c r="U288" s="100"/>
      <c r="V288" s="86">
        <f t="shared" ref="V288:V289" si="496">C288</f>
        <v>0</v>
      </c>
      <c r="W288" s="87">
        <v>2019</v>
      </c>
      <c r="X288" s="88"/>
      <c r="Y288" s="121"/>
      <c r="Z288" s="121"/>
      <c r="AA288" s="121"/>
      <c r="AB288" s="121"/>
      <c r="AC288" s="121"/>
      <c r="AD288" s="121"/>
      <c r="AE288" s="121"/>
      <c r="AF288" s="122"/>
      <c r="AG288" s="122"/>
      <c r="AH288" s="122"/>
      <c r="AI288" s="123"/>
      <c r="AJ288" s="89">
        <f t="shared" ref="AJ288:AJ290" si="497">SUM(X288:AI288)</f>
        <v>0</v>
      </c>
      <c r="AK288" s="90">
        <f t="shared" ref="AK288:AK290" si="498">SUM(X288:AF288)</f>
        <v>0</v>
      </c>
    </row>
    <row r="289" spans="1:38" ht="15.6" hidden="1" thickBot="1">
      <c r="A289" s="91"/>
      <c r="B289" s="100"/>
      <c r="C289" s="92"/>
      <c r="D289" s="93" t="s">
        <v>92</v>
      </c>
      <c r="E289" s="94"/>
      <c r="F289" s="97"/>
      <c r="G289" s="97"/>
      <c r="H289" s="97"/>
      <c r="I289" s="97"/>
      <c r="J289" s="97"/>
      <c r="K289" s="97"/>
      <c r="L289" s="97"/>
      <c r="M289" s="98"/>
      <c r="N289" s="98"/>
      <c r="O289" s="98"/>
      <c r="P289" s="99"/>
      <c r="Q289" s="95">
        <f t="shared" si="494"/>
        <v>0</v>
      </c>
      <c r="R289" s="96">
        <f t="shared" si="459"/>
        <v>0</v>
      </c>
      <c r="T289" s="91"/>
      <c r="U289" s="100"/>
      <c r="V289" s="92">
        <f t="shared" si="496"/>
        <v>0</v>
      </c>
      <c r="W289" s="93" t="s">
        <v>92</v>
      </c>
      <c r="X289" s="94"/>
      <c r="Y289" s="97"/>
      <c r="Z289" s="97"/>
      <c r="AA289" s="97"/>
      <c r="AB289" s="97"/>
      <c r="AC289" s="97"/>
      <c r="AD289" s="97"/>
      <c r="AE289" s="97"/>
      <c r="AF289" s="98"/>
      <c r="AG289" s="98"/>
      <c r="AH289" s="98"/>
      <c r="AI289" s="99"/>
      <c r="AJ289" s="95">
        <f t="shared" si="497"/>
        <v>0</v>
      </c>
      <c r="AK289" s="96">
        <f t="shared" si="498"/>
        <v>0</v>
      </c>
    </row>
    <row r="290" spans="1:38" ht="15.6" hidden="1" thickBot="1">
      <c r="A290" s="91"/>
      <c r="B290" s="100"/>
      <c r="C290" s="92"/>
      <c r="D290" s="101">
        <v>2020</v>
      </c>
      <c r="E290" s="102"/>
      <c r="F290" s="124"/>
      <c r="G290" s="124"/>
      <c r="H290" s="124"/>
      <c r="I290" s="124"/>
      <c r="J290" s="124"/>
      <c r="K290" s="124"/>
      <c r="L290" s="124"/>
      <c r="M290" s="125"/>
      <c r="N290" s="125"/>
      <c r="O290" s="125"/>
      <c r="P290" s="126"/>
      <c r="Q290" s="103">
        <f t="shared" si="494"/>
        <v>0</v>
      </c>
      <c r="R290" s="104">
        <f t="shared" si="459"/>
        <v>0</v>
      </c>
      <c r="S290" s="105"/>
      <c r="T290" s="91"/>
      <c r="U290" s="100"/>
      <c r="V290" s="92"/>
      <c r="W290" s="101">
        <v>2020</v>
      </c>
      <c r="X290" s="102"/>
      <c r="Y290" s="124"/>
      <c r="Z290" s="124"/>
      <c r="AA290" s="124"/>
      <c r="AB290" s="124"/>
      <c r="AC290" s="124"/>
      <c r="AD290" s="124"/>
      <c r="AE290" s="124"/>
      <c r="AF290" s="125"/>
      <c r="AG290" s="125"/>
      <c r="AH290" s="125"/>
      <c r="AI290" s="126"/>
      <c r="AJ290" s="103">
        <f t="shared" si="497"/>
        <v>0</v>
      </c>
      <c r="AK290" s="104">
        <f t="shared" si="498"/>
        <v>0</v>
      </c>
      <c r="AL290" s="105"/>
    </row>
    <row r="291" spans="1:38" ht="15.6" hidden="1" thickBot="1">
      <c r="A291" s="91"/>
      <c r="B291" s="100"/>
      <c r="C291" s="92"/>
      <c r="D291" s="101" t="s">
        <v>102</v>
      </c>
      <c r="E291" s="106" t="e">
        <f t="shared" ref="E291:R291" si="499">E290/E289</f>
        <v>#DIV/0!</v>
      </c>
      <c r="F291" s="106" t="e">
        <f t="shared" si="499"/>
        <v>#DIV/0!</v>
      </c>
      <c r="G291" s="106" t="e">
        <f t="shared" si="499"/>
        <v>#DIV/0!</v>
      </c>
      <c r="H291" s="106" t="e">
        <f t="shared" si="499"/>
        <v>#DIV/0!</v>
      </c>
      <c r="I291" s="106" t="e">
        <f t="shared" si="499"/>
        <v>#DIV/0!</v>
      </c>
      <c r="J291" s="106" t="e">
        <f t="shared" si="499"/>
        <v>#DIV/0!</v>
      </c>
      <c r="K291" s="106" t="e">
        <f t="shared" si="499"/>
        <v>#DIV/0!</v>
      </c>
      <c r="L291" s="106" t="e">
        <f t="shared" si="499"/>
        <v>#DIV/0!</v>
      </c>
      <c r="M291" s="107" t="e">
        <f t="shared" si="499"/>
        <v>#DIV/0!</v>
      </c>
      <c r="N291" s="107" t="e">
        <f t="shared" si="499"/>
        <v>#DIV/0!</v>
      </c>
      <c r="O291" s="107" t="e">
        <f t="shared" si="499"/>
        <v>#DIV/0!</v>
      </c>
      <c r="P291" s="108" t="e">
        <f t="shared" si="499"/>
        <v>#DIV/0!</v>
      </c>
      <c r="Q291" s="109" t="e">
        <f t="shared" si="499"/>
        <v>#DIV/0!</v>
      </c>
      <c r="R291" s="110" t="e">
        <f t="shared" si="499"/>
        <v>#DIV/0!</v>
      </c>
      <c r="S291" s="105"/>
      <c r="T291" s="91"/>
      <c r="U291" s="100"/>
      <c r="V291" s="92"/>
      <c r="W291" s="101" t="s">
        <v>102</v>
      </c>
      <c r="X291" s="106" t="e">
        <f t="shared" ref="X291:AK291" si="500">X290/X289</f>
        <v>#DIV/0!</v>
      </c>
      <c r="Y291" s="106" t="e">
        <f t="shared" si="500"/>
        <v>#DIV/0!</v>
      </c>
      <c r="Z291" s="106" t="e">
        <f t="shared" si="500"/>
        <v>#DIV/0!</v>
      </c>
      <c r="AA291" s="106" t="e">
        <f t="shared" si="500"/>
        <v>#DIV/0!</v>
      </c>
      <c r="AB291" s="106" t="e">
        <f t="shared" si="500"/>
        <v>#DIV/0!</v>
      </c>
      <c r="AC291" s="106" t="e">
        <f t="shared" si="500"/>
        <v>#DIV/0!</v>
      </c>
      <c r="AD291" s="106" t="e">
        <f t="shared" si="500"/>
        <v>#DIV/0!</v>
      </c>
      <c r="AE291" s="106" t="e">
        <f t="shared" si="500"/>
        <v>#DIV/0!</v>
      </c>
      <c r="AF291" s="107" t="e">
        <f t="shared" si="500"/>
        <v>#DIV/0!</v>
      </c>
      <c r="AG291" s="107" t="e">
        <f t="shared" si="500"/>
        <v>#DIV/0!</v>
      </c>
      <c r="AH291" s="107" t="e">
        <f t="shared" si="500"/>
        <v>#DIV/0!</v>
      </c>
      <c r="AI291" s="108" t="e">
        <f t="shared" si="500"/>
        <v>#DIV/0!</v>
      </c>
      <c r="AJ291" s="109" t="e">
        <f t="shared" si="500"/>
        <v>#DIV/0!</v>
      </c>
      <c r="AK291" s="110" t="e">
        <f t="shared" si="500"/>
        <v>#DIV/0!</v>
      </c>
      <c r="AL291" s="105"/>
    </row>
    <row r="292" spans="1:38" ht="15.6" hidden="1" thickBot="1">
      <c r="A292" s="91"/>
      <c r="B292" s="100"/>
      <c r="C292" s="111"/>
      <c r="D292" s="112" t="s">
        <v>103</v>
      </c>
      <c r="E292" s="113" t="e">
        <f t="shared" ref="E292:R292" si="501">E290/E288</f>
        <v>#DIV/0!</v>
      </c>
      <c r="F292" s="113" t="e">
        <f t="shared" si="501"/>
        <v>#DIV/0!</v>
      </c>
      <c r="G292" s="113" t="e">
        <f t="shared" si="501"/>
        <v>#DIV/0!</v>
      </c>
      <c r="H292" s="113" t="e">
        <f t="shared" si="501"/>
        <v>#DIV/0!</v>
      </c>
      <c r="I292" s="113" t="e">
        <f t="shared" si="501"/>
        <v>#DIV/0!</v>
      </c>
      <c r="J292" s="113" t="e">
        <f t="shared" si="501"/>
        <v>#DIV/0!</v>
      </c>
      <c r="K292" s="113" t="e">
        <f t="shared" si="501"/>
        <v>#DIV/0!</v>
      </c>
      <c r="L292" s="113" t="e">
        <f t="shared" si="501"/>
        <v>#DIV/0!</v>
      </c>
      <c r="M292" s="113" t="e">
        <f t="shared" si="501"/>
        <v>#DIV/0!</v>
      </c>
      <c r="N292" s="113" t="e">
        <f t="shared" si="501"/>
        <v>#DIV/0!</v>
      </c>
      <c r="O292" s="113" t="e">
        <f t="shared" si="501"/>
        <v>#DIV/0!</v>
      </c>
      <c r="P292" s="114" t="e">
        <f t="shared" si="501"/>
        <v>#DIV/0!</v>
      </c>
      <c r="Q292" s="115" t="e">
        <f t="shared" si="501"/>
        <v>#DIV/0!</v>
      </c>
      <c r="R292" s="116" t="e">
        <f t="shared" si="501"/>
        <v>#DIV/0!</v>
      </c>
      <c r="T292" s="91"/>
      <c r="U292" s="100"/>
      <c r="V292" s="111"/>
      <c r="W292" s="112" t="s">
        <v>103</v>
      </c>
      <c r="X292" s="113" t="e">
        <f t="shared" ref="X292:AK292" si="502">X290/X288</f>
        <v>#DIV/0!</v>
      </c>
      <c r="Y292" s="113" t="e">
        <f t="shared" si="502"/>
        <v>#DIV/0!</v>
      </c>
      <c r="Z292" s="113" t="e">
        <f t="shared" si="502"/>
        <v>#DIV/0!</v>
      </c>
      <c r="AA292" s="113" t="e">
        <f t="shared" si="502"/>
        <v>#DIV/0!</v>
      </c>
      <c r="AB292" s="113" t="e">
        <f t="shared" si="502"/>
        <v>#DIV/0!</v>
      </c>
      <c r="AC292" s="113" t="e">
        <f t="shared" si="502"/>
        <v>#DIV/0!</v>
      </c>
      <c r="AD292" s="113" t="e">
        <f t="shared" si="502"/>
        <v>#DIV/0!</v>
      </c>
      <c r="AE292" s="113" t="e">
        <f t="shared" si="502"/>
        <v>#DIV/0!</v>
      </c>
      <c r="AF292" s="113" t="e">
        <f t="shared" si="502"/>
        <v>#DIV/0!</v>
      </c>
      <c r="AG292" s="113" t="e">
        <f t="shared" si="502"/>
        <v>#DIV/0!</v>
      </c>
      <c r="AH292" s="113" t="e">
        <f t="shared" si="502"/>
        <v>#DIV/0!</v>
      </c>
      <c r="AI292" s="114" t="e">
        <f t="shared" si="502"/>
        <v>#DIV/0!</v>
      </c>
      <c r="AJ292" s="115" t="e">
        <f t="shared" si="502"/>
        <v>#DIV/0!</v>
      </c>
      <c r="AK292" s="116" t="e">
        <f t="shared" si="502"/>
        <v>#DIV/0!</v>
      </c>
    </row>
    <row r="293" spans="1:38" ht="15.6" hidden="1" thickBot="1">
      <c r="A293" s="91"/>
      <c r="B293" s="100"/>
      <c r="C293" s="86" t="s">
        <v>116</v>
      </c>
      <c r="D293" s="87">
        <v>2019</v>
      </c>
      <c r="E293" s="88"/>
      <c r="F293" s="121"/>
      <c r="G293" s="121"/>
      <c r="H293" s="121"/>
      <c r="I293" s="121"/>
      <c r="J293" s="121"/>
      <c r="K293" s="121"/>
      <c r="L293" s="121"/>
      <c r="M293" s="122"/>
      <c r="N293" s="122"/>
      <c r="O293" s="122"/>
      <c r="P293" s="123"/>
      <c r="Q293" s="89">
        <f t="shared" ref="Q293:Q295" si="503">SUM(E293:P293)</f>
        <v>0</v>
      </c>
      <c r="R293" s="90">
        <f t="shared" ref="R293" si="504">SUM(E293:M293)</f>
        <v>0</v>
      </c>
      <c r="T293" s="91"/>
      <c r="U293" s="100"/>
      <c r="V293" s="86" t="str">
        <f t="shared" ref="V293:V294" si="505">C293</f>
        <v>その他</v>
      </c>
      <c r="W293" s="87">
        <v>2019</v>
      </c>
      <c r="X293" s="88"/>
      <c r="Y293" s="121"/>
      <c r="Z293" s="121"/>
      <c r="AA293" s="121"/>
      <c r="AB293" s="121"/>
      <c r="AC293" s="121"/>
      <c r="AD293" s="121"/>
      <c r="AE293" s="121"/>
      <c r="AF293" s="122"/>
      <c r="AG293" s="122"/>
      <c r="AH293" s="122"/>
      <c r="AI293" s="123"/>
      <c r="AJ293" s="89">
        <f t="shared" ref="AJ293:AJ295" si="506">SUM(X293:AI293)</f>
        <v>0</v>
      </c>
      <c r="AK293" s="90">
        <f t="shared" ref="AK293:AK295" si="507">SUM(X293:AF293)</f>
        <v>0</v>
      </c>
    </row>
    <row r="294" spans="1:38" ht="15.6" hidden="1" thickBot="1">
      <c r="A294" s="91"/>
      <c r="B294" s="100"/>
      <c r="C294" s="92" t="s">
        <v>129</v>
      </c>
      <c r="D294" s="93" t="s">
        <v>92</v>
      </c>
      <c r="E294" s="94"/>
      <c r="F294" s="97"/>
      <c r="G294" s="97"/>
      <c r="H294" s="97"/>
      <c r="I294" s="97"/>
      <c r="J294" s="97"/>
      <c r="K294" s="97"/>
      <c r="L294" s="97"/>
      <c r="M294" s="98"/>
      <c r="N294" s="98"/>
      <c r="O294" s="98"/>
      <c r="P294" s="99"/>
      <c r="Q294" s="95">
        <f t="shared" si="503"/>
        <v>0</v>
      </c>
      <c r="R294" s="96">
        <f t="shared" si="459"/>
        <v>0</v>
      </c>
      <c r="T294" s="91"/>
      <c r="U294" s="100"/>
      <c r="V294" s="92" t="str">
        <f t="shared" si="505"/>
        <v>Others</v>
      </c>
      <c r="W294" s="93" t="s">
        <v>92</v>
      </c>
      <c r="X294" s="94"/>
      <c r="Y294" s="97"/>
      <c r="Z294" s="97"/>
      <c r="AA294" s="97"/>
      <c r="AB294" s="97"/>
      <c r="AC294" s="97"/>
      <c r="AD294" s="97"/>
      <c r="AE294" s="97"/>
      <c r="AF294" s="98"/>
      <c r="AG294" s="98"/>
      <c r="AH294" s="98"/>
      <c r="AI294" s="99"/>
      <c r="AJ294" s="95">
        <f t="shared" si="506"/>
        <v>0</v>
      </c>
      <c r="AK294" s="96">
        <f t="shared" si="507"/>
        <v>0</v>
      </c>
    </row>
    <row r="295" spans="1:38" ht="15.6" hidden="1" thickBot="1">
      <c r="A295" s="91"/>
      <c r="B295" s="100"/>
      <c r="C295" s="92"/>
      <c r="D295" s="101">
        <v>2020</v>
      </c>
      <c r="E295" s="102"/>
      <c r="F295" s="124"/>
      <c r="G295" s="124"/>
      <c r="H295" s="124"/>
      <c r="I295" s="124"/>
      <c r="J295" s="124"/>
      <c r="K295" s="124"/>
      <c r="L295" s="124"/>
      <c r="M295" s="125"/>
      <c r="N295" s="125"/>
      <c r="O295" s="125"/>
      <c r="P295" s="126"/>
      <c r="Q295" s="103">
        <f t="shared" si="503"/>
        <v>0</v>
      </c>
      <c r="R295" s="104">
        <f t="shared" si="459"/>
        <v>0</v>
      </c>
      <c r="S295" s="105"/>
      <c r="T295" s="91"/>
      <c r="U295" s="100"/>
      <c r="V295" s="92"/>
      <c r="W295" s="101">
        <v>2020</v>
      </c>
      <c r="X295" s="102"/>
      <c r="Y295" s="124"/>
      <c r="Z295" s="124"/>
      <c r="AA295" s="124"/>
      <c r="AB295" s="124"/>
      <c r="AC295" s="124"/>
      <c r="AD295" s="124"/>
      <c r="AE295" s="124"/>
      <c r="AF295" s="125"/>
      <c r="AG295" s="125"/>
      <c r="AH295" s="125"/>
      <c r="AI295" s="126"/>
      <c r="AJ295" s="103">
        <f t="shared" si="506"/>
        <v>0</v>
      </c>
      <c r="AK295" s="104">
        <f t="shared" si="507"/>
        <v>0</v>
      </c>
      <c r="AL295" s="105"/>
    </row>
    <row r="296" spans="1:38" ht="15.6" hidden="1" thickBot="1">
      <c r="A296" s="91"/>
      <c r="B296" s="100"/>
      <c r="C296" s="92"/>
      <c r="D296" s="101" t="s">
        <v>102</v>
      </c>
      <c r="E296" s="106" t="e">
        <f t="shared" ref="E296:R296" si="508">E295/E294</f>
        <v>#DIV/0!</v>
      </c>
      <c r="F296" s="106" t="e">
        <f t="shared" si="508"/>
        <v>#DIV/0!</v>
      </c>
      <c r="G296" s="106" t="e">
        <f t="shared" si="508"/>
        <v>#DIV/0!</v>
      </c>
      <c r="H296" s="106" t="e">
        <f t="shared" si="508"/>
        <v>#DIV/0!</v>
      </c>
      <c r="I296" s="106" t="e">
        <f t="shared" si="508"/>
        <v>#DIV/0!</v>
      </c>
      <c r="J296" s="106" t="e">
        <f t="shared" si="508"/>
        <v>#DIV/0!</v>
      </c>
      <c r="K296" s="106" t="e">
        <f t="shared" si="508"/>
        <v>#DIV/0!</v>
      </c>
      <c r="L296" s="106" t="e">
        <f t="shared" si="508"/>
        <v>#DIV/0!</v>
      </c>
      <c r="M296" s="107" t="e">
        <f t="shared" si="508"/>
        <v>#DIV/0!</v>
      </c>
      <c r="N296" s="107" t="e">
        <f t="shared" si="508"/>
        <v>#DIV/0!</v>
      </c>
      <c r="O296" s="107" t="e">
        <f t="shared" si="508"/>
        <v>#DIV/0!</v>
      </c>
      <c r="P296" s="108" t="e">
        <f t="shared" si="508"/>
        <v>#DIV/0!</v>
      </c>
      <c r="Q296" s="109" t="e">
        <f t="shared" si="508"/>
        <v>#DIV/0!</v>
      </c>
      <c r="R296" s="110" t="e">
        <f t="shared" si="508"/>
        <v>#DIV/0!</v>
      </c>
      <c r="S296" s="105"/>
      <c r="T296" s="91"/>
      <c r="U296" s="100"/>
      <c r="V296" s="92"/>
      <c r="W296" s="101" t="s">
        <v>102</v>
      </c>
      <c r="X296" s="106" t="e">
        <f t="shared" ref="X296:AK296" si="509">X295/X294</f>
        <v>#DIV/0!</v>
      </c>
      <c r="Y296" s="106" t="e">
        <f t="shared" si="509"/>
        <v>#DIV/0!</v>
      </c>
      <c r="Z296" s="106" t="e">
        <f t="shared" si="509"/>
        <v>#DIV/0!</v>
      </c>
      <c r="AA296" s="106" t="e">
        <f t="shared" si="509"/>
        <v>#DIV/0!</v>
      </c>
      <c r="AB296" s="106" t="e">
        <f t="shared" si="509"/>
        <v>#DIV/0!</v>
      </c>
      <c r="AC296" s="106" t="e">
        <f t="shared" si="509"/>
        <v>#DIV/0!</v>
      </c>
      <c r="AD296" s="106" t="e">
        <f t="shared" si="509"/>
        <v>#DIV/0!</v>
      </c>
      <c r="AE296" s="106" t="e">
        <f t="shared" si="509"/>
        <v>#DIV/0!</v>
      </c>
      <c r="AF296" s="107" t="e">
        <f t="shared" si="509"/>
        <v>#DIV/0!</v>
      </c>
      <c r="AG296" s="107" t="e">
        <f t="shared" si="509"/>
        <v>#DIV/0!</v>
      </c>
      <c r="AH296" s="107" t="e">
        <f t="shared" si="509"/>
        <v>#DIV/0!</v>
      </c>
      <c r="AI296" s="108" t="e">
        <f t="shared" si="509"/>
        <v>#DIV/0!</v>
      </c>
      <c r="AJ296" s="109" t="e">
        <f t="shared" si="509"/>
        <v>#DIV/0!</v>
      </c>
      <c r="AK296" s="110" t="e">
        <f t="shared" si="509"/>
        <v>#DIV/0!</v>
      </c>
      <c r="AL296" s="105"/>
    </row>
    <row r="297" spans="1:38" ht="15.6" hidden="1" thickBot="1">
      <c r="A297" s="91"/>
      <c r="B297" s="100"/>
      <c r="C297" s="111"/>
      <c r="D297" s="112" t="s">
        <v>103</v>
      </c>
      <c r="E297" s="113" t="e">
        <f t="shared" ref="E297:R297" si="510">E295/E293</f>
        <v>#DIV/0!</v>
      </c>
      <c r="F297" s="113" t="e">
        <f t="shared" si="510"/>
        <v>#DIV/0!</v>
      </c>
      <c r="G297" s="113" t="e">
        <f t="shared" si="510"/>
        <v>#DIV/0!</v>
      </c>
      <c r="H297" s="113" t="e">
        <f t="shared" si="510"/>
        <v>#DIV/0!</v>
      </c>
      <c r="I297" s="113" t="e">
        <f t="shared" si="510"/>
        <v>#DIV/0!</v>
      </c>
      <c r="J297" s="113" t="e">
        <f t="shared" si="510"/>
        <v>#DIV/0!</v>
      </c>
      <c r="K297" s="113" t="e">
        <f t="shared" si="510"/>
        <v>#DIV/0!</v>
      </c>
      <c r="L297" s="113" t="e">
        <f t="shared" si="510"/>
        <v>#DIV/0!</v>
      </c>
      <c r="M297" s="113" t="e">
        <f t="shared" si="510"/>
        <v>#DIV/0!</v>
      </c>
      <c r="N297" s="113" t="e">
        <f t="shared" si="510"/>
        <v>#DIV/0!</v>
      </c>
      <c r="O297" s="113" t="e">
        <f t="shared" si="510"/>
        <v>#DIV/0!</v>
      </c>
      <c r="P297" s="114" t="e">
        <f t="shared" si="510"/>
        <v>#DIV/0!</v>
      </c>
      <c r="Q297" s="115" t="e">
        <f t="shared" si="510"/>
        <v>#DIV/0!</v>
      </c>
      <c r="R297" s="116" t="e">
        <f t="shared" si="510"/>
        <v>#DIV/0!</v>
      </c>
      <c r="T297" s="91"/>
      <c r="U297" s="100"/>
      <c r="V297" s="111"/>
      <c r="W297" s="112" t="s">
        <v>103</v>
      </c>
      <c r="X297" s="113" t="e">
        <f t="shared" ref="X297:AK297" si="511">X295/X293</f>
        <v>#DIV/0!</v>
      </c>
      <c r="Y297" s="113" t="e">
        <f t="shared" si="511"/>
        <v>#DIV/0!</v>
      </c>
      <c r="Z297" s="113" t="e">
        <f t="shared" si="511"/>
        <v>#DIV/0!</v>
      </c>
      <c r="AA297" s="113" t="e">
        <f t="shared" si="511"/>
        <v>#DIV/0!</v>
      </c>
      <c r="AB297" s="113" t="e">
        <f t="shared" si="511"/>
        <v>#DIV/0!</v>
      </c>
      <c r="AC297" s="113" t="e">
        <f t="shared" si="511"/>
        <v>#DIV/0!</v>
      </c>
      <c r="AD297" s="113" t="e">
        <f t="shared" si="511"/>
        <v>#DIV/0!</v>
      </c>
      <c r="AE297" s="113" t="e">
        <f t="shared" si="511"/>
        <v>#DIV/0!</v>
      </c>
      <c r="AF297" s="113" t="e">
        <f t="shared" si="511"/>
        <v>#DIV/0!</v>
      </c>
      <c r="AG297" s="113" t="e">
        <f t="shared" si="511"/>
        <v>#DIV/0!</v>
      </c>
      <c r="AH297" s="113" t="e">
        <f t="shared" si="511"/>
        <v>#DIV/0!</v>
      </c>
      <c r="AI297" s="114" t="e">
        <f t="shared" si="511"/>
        <v>#DIV/0!</v>
      </c>
      <c r="AJ297" s="115" t="e">
        <f t="shared" si="511"/>
        <v>#DIV/0!</v>
      </c>
      <c r="AK297" s="116" t="e">
        <f t="shared" si="511"/>
        <v>#DIV/0!</v>
      </c>
    </row>
    <row r="298" spans="1:38" ht="15.6" hidden="1" thickBot="1">
      <c r="A298" s="91"/>
      <c r="B298" s="303" t="s">
        <v>142</v>
      </c>
      <c r="C298" s="304"/>
      <c r="D298" s="127">
        <v>2019</v>
      </c>
      <c r="E298" s="128">
        <f>SUM(E293,E288,E283,E278,E273,E268,E263,E258,E253,E248,E243,E238,E233,E228)</f>
        <v>0</v>
      </c>
      <c r="F298" s="129">
        <f t="shared" ref="F298:P298" si="512">SUM(F293,F288,F283,F278,F273,F268,F263,F258,F253,F248,F243,F238,F233,F228)</f>
        <v>0</v>
      </c>
      <c r="G298" s="129">
        <f t="shared" si="512"/>
        <v>0</v>
      </c>
      <c r="H298" s="129">
        <f t="shared" si="512"/>
        <v>0</v>
      </c>
      <c r="I298" s="129">
        <f t="shared" si="512"/>
        <v>0</v>
      </c>
      <c r="J298" s="129">
        <f t="shared" si="512"/>
        <v>0</v>
      </c>
      <c r="K298" s="129">
        <f t="shared" si="512"/>
        <v>0</v>
      </c>
      <c r="L298" s="129">
        <f t="shared" si="512"/>
        <v>0</v>
      </c>
      <c r="M298" s="129">
        <f t="shared" si="512"/>
        <v>0</v>
      </c>
      <c r="N298" s="129">
        <f t="shared" si="512"/>
        <v>0</v>
      </c>
      <c r="O298" s="129">
        <f t="shared" si="512"/>
        <v>0</v>
      </c>
      <c r="P298" s="130">
        <f t="shared" si="512"/>
        <v>0</v>
      </c>
      <c r="Q298" s="131">
        <f>SUM(E298:P298)</f>
        <v>0</v>
      </c>
      <c r="R298" s="90">
        <f t="shared" ref="R298" si="513">SUM(E298:M298)</f>
        <v>0</v>
      </c>
      <c r="T298" s="91"/>
      <c r="U298" s="309" t="s">
        <v>142</v>
      </c>
      <c r="V298" s="310"/>
      <c r="W298" s="132">
        <v>2019</v>
      </c>
      <c r="X298" s="133">
        <f>SUM(X293,X288,X283,X278,X273,X268,X263,X258,X253,X248,X243,X238,X233,X228)</f>
        <v>0</v>
      </c>
      <c r="Y298" s="134">
        <f t="shared" ref="Y298:AI298" si="514">SUM(Y293,Y288,Y283,Y278,Y273,Y268,Y263,Y258,Y253,Y248,Y243,Y238,Y233,Y228)</f>
        <v>0</v>
      </c>
      <c r="Z298" s="134">
        <f t="shared" si="514"/>
        <v>0</v>
      </c>
      <c r="AA298" s="134">
        <f t="shared" si="514"/>
        <v>0</v>
      </c>
      <c r="AB298" s="134">
        <f t="shared" si="514"/>
        <v>0</v>
      </c>
      <c r="AC298" s="134">
        <f t="shared" si="514"/>
        <v>0</v>
      </c>
      <c r="AD298" s="134">
        <f t="shared" si="514"/>
        <v>0</v>
      </c>
      <c r="AE298" s="134">
        <f t="shared" si="514"/>
        <v>0</v>
      </c>
      <c r="AF298" s="134">
        <f t="shared" si="514"/>
        <v>0</v>
      </c>
      <c r="AG298" s="134">
        <f t="shared" si="514"/>
        <v>0</v>
      </c>
      <c r="AH298" s="134">
        <f t="shared" si="514"/>
        <v>0</v>
      </c>
      <c r="AI298" s="135">
        <f t="shared" si="514"/>
        <v>0</v>
      </c>
      <c r="AJ298" s="136">
        <f>SUM(X298:AI298)</f>
        <v>0</v>
      </c>
      <c r="AK298" s="90">
        <f t="shared" ref="AK298:AK300" si="515">SUM(X298:AF298)</f>
        <v>0</v>
      </c>
    </row>
    <row r="299" spans="1:38" ht="15.6" hidden="1" thickBot="1">
      <c r="A299" s="91"/>
      <c r="B299" s="305"/>
      <c r="C299" s="306"/>
      <c r="D299" s="137" t="s">
        <v>92</v>
      </c>
      <c r="E299" s="138">
        <f t="shared" ref="E299:P300" si="516">SUM(E294,E289,E284,E279,E274,E269,E264,E259,E254,E249,E244,E239,E234,E229)</f>
        <v>0</v>
      </c>
      <c r="F299" s="138">
        <f t="shared" si="516"/>
        <v>0</v>
      </c>
      <c r="G299" s="138">
        <f t="shared" si="516"/>
        <v>0</v>
      </c>
      <c r="H299" s="138">
        <f t="shared" si="516"/>
        <v>0</v>
      </c>
      <c r="I299" s="138">
        <f t="shared" si="516"/>
        <v>0</v>
      </c>
      <c r="J299" s="138">
        <f t="shared" si="516"/>
        <v>0</v>
      </c>
      <c r="K299" s="138">
        <f t="shared" si="516"/>
        <v>0</v>
      </c>
      <c r="L299" s="138">
        <f t="shared" si="516"/>
        <v>0</v>
      </c>
      <c r="M299" s="138">
        <f t="shared" si="516"/>
        <v>0</v>
      </c>
      <c r="N299" s="138">
        <f t="shared" si="516"/>
        <v>0</v>
      </c>
      <c r="O299" s="138">
        <f t="shared" si="516"/>
        <v>0</v>
      </c>
      <c r="P299" s="138">
        <f t="shared" si="516"/>
        <v>0</v>
      </c>
      <c r="Q299" s="139">
        <f t="shared" ref="Q299:Q300" si="517">SUM(E299:P299)</f>
        <v>0</v>
      </c>
      <c r="R299" s="96">
        <f t="shared" si="459"/>
        <v>0</v>
      </c>
      <c r="T299" s="91"/>
      <c r="U299" s="311"/>
      <c r="V299" s="312"/>
      <c r="W299" s="140" t="s">
        <v>92</v>
      </c>
      <c r="X299" s="141">
        <f t="shared" ref="X299:AI300" si="518">SUM(X294,X289,X284,X279,X274,X269,X264,X259,X254,X249,X244,X239,X234,X229)</f>
        <v>0</v>
      </c>
      <c r="Y299" s="141">
        <f t="shared" si="518"/>
        <v>0</v>
      </c>
      <c r="Z299" s="141">
        <f t="shared" si="518"/>
        <v>0</v>
      </c>
      <c r="AA299" s="141">
        <f t="shared" si="518"/>
        <v>0</v>
      </c>
      <c r="AB299" s="141">
        <f t="shared" si="518"/>
        <v>0</v>
      </c>
      <c r="AC299" s="141">
        <f t="shared" si="518"/>
        <v>0</v>
      </c>
      <c r="AD299" s="141">
        <f t="shared" si="518"/>
        <v>0</v>
      </c>
      <c r="AE299" s="141">
        <f t="shared" si="518"/>
        <v>0</v>
      </c>
      <c r="AF299" s="141">
        <f t="shared" si="518"/>
        <v>0</v>
      </c>
      <c r="AG299" s="141">
        <f t="shared" si="518"/>
        <v>0</v>
      </c>
      <c r="AH299" s="141">
        <f t="shared" si="518"/>
        <v>0</v>
      </c>
      <c r="AI299" s="141">
        <f t="shared" si="518"/>
        <v>0</v>
      </c>
      <c r="AJ299" s="142">
        <f t="shared" ref="AJ299:AJ300" si="519">SUM(X299:AI299)</f>
        <v>0</v>
      </c>
      <c r="AK299" s="96">
        <f t="shared" si="515"/>
        <v>0</v>
      </c>
    </row>
    <row r="300" spans="1:38" ht="15.6" hidden="1" thickBot="1">
      <c r="A300" s="91"/>
      <c r="B300" s="305"/>
      <c r="C300" s="306"/>
      <c r="D300" s="143">
        <v>2020</v>
      </c>
      <c r="E300" s="144">
        <f>SUM(E295,E290,E285,E280,E275,E270,E265,E260,E255,E250,E245,E240,E235,E230)</f>
        <v>0</v>
      </c>
      <c r="F300" s="144">
        <f t="shared" si="516"/>
        <v>0</v>
      </c>
      <c r="G300" s="144">
        <f t="shared" si="516"/>
        <v>0</v>
      </c>
      <c r="H300" s="144">
        <f t="shared" si="516"/>
        <v>0</v>
      </c>
      <c r="I300" s="144">
        <f t="shared" si="516"/>
        <v>0</v>
      </c>
      <c r="J300" s="144">
        <f t="shared" si="516"/>
        <v>0</v>
      </c>
      <c r="K300" s="144">
        <f t="shared" si="516"/>
        <v>0</v>
      </c>
      <c r="L300" s="144">
        <f t="shared" si="516"/>
        <v>0</v>
      </c>
      <c r="M300" s="144">
        <f t="shared" si="516"/>
        <v>0</v>
      </c>
      <c r="N300" s="144">
        <f t="shared" si="516"/>
        <v>0</v>
      </c>
      <c r="O300" s="144">
        <f t="shared" si="516"/>
        <v>0</v>
      </c>
      <c r="P300" s="144">
        <f t="shared" si="516"/>
        <v>0</v>
      </c>
      <c r="Q300" s="145">
        <f t="shared" si="517"/>
        <v>0</v>
      </c>
      <c r="R300" s="104">
        <f t="shared" si="459"/>
        <v>0</v>
      </c>
      <c r="S300" s="105"/>
      <c r="T300" s="91"/>
      <c r="U300" s="311"/>
      <c r="V300" s="312"/>
      <c r="W300" s="146">
        <v>2020</v>
      </c>
      <c r="X300" s="147">
        <f>SUM(X295,X290,X285,X280,X275,X270,X265,X260,X255,X250,X245,X240,X235,X230)</f>
        <v>0</v>
      </c>
      <c r="Y300" s="147">
        <f t="shared" si="518"/>
        <v>0</v>
      </c>
      <c r="Z300" s="147">
        <f t="shared" si="518"/>
        <v>0</v>
      </c>
      <c r="AA300" s="147">
        <f t="shared" si="518"/>
        <v>0</v>
      </c>
      <c r="AB300" s="147">
        <f t="shared" si="518"/>
        <v>0</v>
      </c>
      <c r="AC300" s="147">
        <f t="shared" si="518"/>
        <v>0</v>
      </c>
      <c r="AD300" s="147">
        <f t="shared" si="518"/>
        <v>0</v>
      </c>
      <c r="AE300" s="147">
        <f t="shared" si="518"/>
        <v>0</v>
      </c>
      <c r="AF300" s="147">
        <f t="shared" si="518"/>
        <v>0</v>
      </c>
      <c r="AG300" s="147">
        <f t="shared" si="518"/>
        <v>0</v>
      </c>
      <c r="AH300" s="147">
        <f t="shared" si="518"/>
        <v>0</v>
      </c>
      <c r="AI300" s="147">
        <f t="shared" si="518"/>
        <v>0</v>
      </c>
      <c r="AJ300" s="148">
        <f t="shared" si="519"/>
        <v>0</v>
      </c>
      <c r="AK300" s="104">
        <f t="shared" si="515"/>
        <v>0</v>
      </c>
      <c r="AL300" s="105"/>
    </row>
    <row r="301" spans="1:38" ht="15.6" hidden="1" thickBot="1">
      <c r="A301" s="91"/>
      <c r="B301" s="305"/>
      <c r="C301" s="306"/>
      <c r="D301" s="143" t="s">
        <v>102</v>
      </c>
      <c r="E301" s="149" t="e">
        <f t="shared" ref="E301:R301" si="520">E300/E299</f>
        <v>#DIV/0!</v>
      </c>
      <c r="F301" s="149" t="e">
        <f t="shared" si="520"/>
        <v>#DIV/0!</v>
      </c>
      <c r="G301" s="149" t="e">
        <f t="shared" si="520"/>
        <v>#DIV/0!</v>
      </c>
      <c r="H301" s="149" t="e">
        <f t="shared" si="520"/>
        <v>#DIV/0!</v>
      </c>
      <c r="I301" s="149" t="e">
        <f t="shared" si="520"/>
        <v>#DIV/0!</v>
      </c>
      <c r="J301" s="149" t="e">
        <f t="shared" si="520"/>
        <v>#DIV/0!</v>
      </c>
      <c r="K301" s="149" t="e">
        <f t="shared" si="520"/>
        <v>#DIV/0!</v>
      </c>
      <c r="L301" s="149" t="e">
        <f t="shared" si="520"/>
        <v>#DIV/0!</v>
      </c>
      <c r="M301" s="149" t="e">
        <f t="shared" si="520"/>
        <v>#DIV/0!</v>
      </c>
      <c r="N301" s="149" t="e">
        <f t="shared" si="520"/>
        <v>#DIV/0!</v>
      </c>
      <c r="O301" s="149" t="e">
        <f t="shared" si="520"/>
        <v>#DIV/0!</v>
      </c>
      <c r="P301" s="150" t="e">
        <f t="shared" si="520"/>
        <v>#DIV/0!</v>
      </c>
      <c r="Q301" s="151" t="e">
        <f t="shared" si="520"/>
        <v>#DIV/0!</v>
      </c>
      <c r="R301" s="104" t="e">
        <f t="shared" si="520"/>
        <v>#DIV/0!</v>
      </c>
      <c r="S301" s="105"/>
      <c r="T301" s="91"/>
      <c r="U301" s="311"/>
      <c r="V301" s="312"/>
      <c r="W301" s="146" t="s">
        <v>102</v>
      </c>
      <c r="X301" s="152" t="e">
        <f t="shared" ref="X301:AK301" si="521">X300/X299</f>
        <v>#DIV/0!</v>
      </c>
      <c r="Y301" s="152" t="e">
        <f t="shared" si="521"/>
        <v>#DIV/0!</v>
      </c>
      <c r="Z301" s="152" t="e">
        <f t="shared" si="521"/>
        <v>#DIV/0!</v>
      </c>
      <c r="AA301" s="152" t="e">
        <f t="shared" si="521"/>
        <v>#DIV/0!</v>
      </c>
      <c r="AB301" s="152" t="e">
        <f t="shared" si="521"/>
        <v>#DIV/0!</v>
      </c>
      <c r="AC301" s="152" t="e">
        <f t="shared" si="521"/>
        <v>#DIV/0!</v>
      </c>
      <c r="AD301" s="152" t="e">
        <f t="shared" si="521"/>
        <v>#DIV/0!</v>
      </c>
      <c r="AE301" s="152" t="e">
        <f t="shared" si="521"/>
        <v>#DIV/0!</v>
      </c>
      <c r="AF301" s="152" t="e">
        <f t="shared" si="521"/>
        <v>#DIV/0!</v>
      </c>
      <c r="AG301" s="152" t="e">
        <f t="shared" si="521"/>
        <v>#DIV/0!</v>
      </c>
      <c r="AH301" s="152" t="e">
        <f t="shared" si="521"/>
        <v>#DIV/0!</v>
      </c>
      <c r="AI301" s="153" t="e">
        <f t="shared" si="521"/>
        <v>#DIV/0!</v>
      </c>
      <c r="AJ301" s="154" t="e">
        <f t="shared" si="521"/>
        <v>#DIV/0!</v>
      </c>
      <c r="AK301" s="104" t="e">
        <f t="shared" si="521"/>
        <v>#DIV/0!</v>
      </c>
      <c r="AL301" s="105"/>
    </row>
    <row r="302" spans="1:38" ht="15.6" hidden="1" thickBot="1">
      <c r="A302" s="155"/>
      <c r="B302" s="307"/>
      <c r="C302" s="308"/>
      <c r="D302" s="156" t="s">
        <v>103</v>
      </c>
      <c r="E302" s="165" t="e">
        <f t="shared" ref="E302:R302" si="522">E300/E298</f>
        <v>#DIV/0!</v>
      </c>
      <c r="F302" s="165" t="e">
        <f t="shared" si="522"/>
        <v>#DIV/0!</v>
      </c>
      <c r="G302" s="165" t="e">
        <f t="shared" si="522"/>
        <v>#DIV/0!</v>
      </c>
      <c r="H302" s="165" t="e">
        <f t="shared" si="522"/>
        <v>#DIV/0!</v>
      </c>
      <c r="I302" s="165" t="e">
        <f t="shared" si="522"/>
        <v>#DIV/0!</v>
      </c>
      <c r="J302" s="165" t="e">
        <f t="shared" si="522"/>
        <v>#DIV/0!</v>
      </c>
      <c r="K302" s="165" t="e">
        <f t="shared" si="522"/>
        <v>#DIV/0!</v>
      </c>
      <c r="L302" s="165" t="e">
        <f t="shared" si="522"/>
        <v>#DIV/0!</v>
      </c>
      <c r="M302" s="165" t="e">
        <f t="shared" si="522"/>
        <v>#DIV/0!</v>
      </c>
      <c r="N302" s="165" t="e">
        <f t="shared" si="522"/>
        <v>#DIV/0!</v>
      </c>
      <c r="O302" s="165" t="e">
        <f t="shared" si="522"/>
        <v>#DIV/0!</v>
      </c>
      <c r="P302" s="166" t="e">
        <f t="shared" si="522"/>
        <v>#DIV/0!</v>
      </c>
      <c r="Q302" s="167" t="e">
        <f t="shared" si="522"/>
        <v>#DIV/0!</v>
      </c>
      <c r="R302" s="168" t="e">
        <f t="shared" si="522"/>
        <v>#DIV/0!</v>
      </c>
      <c r="T302" s="155"/>
      <c r="U302" s="313"/>
      <c r="V302" s="314"/>
      <c r="W302" s="160" t="s">
        <v>103</v>
      </c>
      <c r="X302" s="169" t="e">
        <f t="shared" ref="X302:AK302" si="523">X300/X298</f>
        <v>#DIV/0!</v>
      </c>
      <c r="Y302" s="169" t="e">
        <f t="shared" si="523"/>
        <v>#DIV/0!</v>
      </c>
      <c r="Z302" s="169" t="e">
        <f t="shared" si="523"/>
        <v>#DIV/0!</v>
      </c>
      <c r="AA302" s="169" t="e">
        <f t="shared" si="523"/>
        <v>#DIV/0!</v>
      </c>
      <c r="AB302" s="169" t="e">
        <f t="shared" si="523"/>
        <v>#DIV/0!</v>
      </c>
      <c r="AC302" s="169" t="e">
        <f t="shared" si="523"/>
        <v>#DIV/0!</v>
      </c>
      <c r="AD302" s="169" t="e">
        <f t="shared" si="523"/>
        <v>#DIV/0!</v>
      </c>
      <c r="AE302" s="169" t="e">
        <f t="shared" si="523"/>
        <v>#DIV/0!</v>
      </c>
      <c r="AF302" s="169" t="e">
        <f t="shared" si="523"/>
        <v>#DIV/0!</v>
      </c>
      <c r="AG302" s="169" t="e">
        <f t="shared" si="523"/>
        <v>#DIV/0!</v>
      </c>
      <c r="AH302" s="169" t="e">
        <f t="shared" si="523"/>
        <v>#DIV/0!</v>
      </c>
      <c r="AI302" s="170" t="e">
        <f t="shared" si="523"/>
        <v>#DIV/0!</v>
      </c>
      <c r="AJ302" s="171" t="e">
        <f t="shared" si="523"/>
        <v>#DIV/0!</v>
      </c>
      <c r="AK302" s="168" t="e">
        <f t="shared" si="523"/>
        <v>#DIV/0!</v>
      </c>
    </row>
    <row r="303" spans="1:38" ht="15.6" hidden="1" thickBot="1">
      <c r="A303" s="84" t="s">
        <v>120</v>
      </c>
      <c r="B303" s="85" t="s">
        <v>143</v>
      </c>
      <c r="C303" s="86" t="s">
        <v>122</v>
      </c>
      <c r="D303" s="87">
        <v>2019</v>
      </c>
      <c r="E303" s="88"/>
      <c r="F303" s="121"/>
      <c r="G303" s="121"/>
      <c r="H303" s="121"/>
      <c r="I303" s="121"/>
      <c r="J303" s="121"/>
      <c r="K303" s="121"/>
      <c r="L303" s="121"/>
      <c r="M303" s="122"/>
      <c r="N303" s="122"/>
      <c r="O303" s="122"/>
      <c r="P303" s="123"/>
      <c r="Q303" s="89">
        <f>SUM(E303:P303)</f>
        <v>0</v>
      </c>
      <c r="R303" s="90">
        <f t="shared" ref="R303" si="524">SUM(E303:M303)</f>
        <v>0</v>
      </c>
      <c r="T303" s="84" t="s">
        <v>120</v>
      </c>
      <c r="U303" s="85" t="s">
        <v>143</v>
      </c>
      <c r="V303" s="86" t="str">
        <f>C303</f>
        <v>得意先名</v>
      </c>
      <c r="W303" s="87">
        <v>2019</v>
      </c>
      <c r="X303" s="88"/>
      <c r="Y303" s="121"/>
      <c r="Z303" s="121"/>
      <c r="AA303" s="121"/>
      <c r="AB303" s="121"/>
      <c r="AC303" s="121"/>
      <c r="AD303" s="121"/>
      <c r="AE303" s="121"/>
      <c r="AF303" s="122"/>
      <c r="AG303" s="122"/>
      <c r="AH303" s="122"/>
      <c r="AI303" s="123"/>
      <c r="AJ303" s="89">
        <f>SUM(X303:AI303)</f>
        <v>0</v>
      </c>
      <c r="AK303" s="90">
        <f t="shared" ref="AK303:AK305" si="525">SUM(X303:AF303)</f>
        <v>0</v>
      </c>
    </row>
    <row r="304" spans="1:38" ht="15.6" hidden="1" thickBot="1">
      <c r="A304" s="91"/>
      <c r="B304" s="85" t="s">
        <v>144</v>
      </c>
      <c r="C304" s="92" t="s">
        <v>124</v>
      </c>
      <c r="D304" s="93" t="s">
        <v>92</v>
      </c>
      <c r="E304" s="94"/>
      <c r="F304" s="97"/>
      <c r="G304" s="97"/>
      <c r="H304" s="97"/>
      <c r="I304" s="97"/>
      <c r="J304" s="97"/>
      <c r="K304" s="97"/>
      <c r="L304" s="97"/>
      <c r="M304" s="98"/>
      <c r="N304" s="98"/>
      <c r="O304" s="98"/>
      <c r="P304" s="99"/>
      <c r="Q304" s="95">
        <f>SUM(E304:P304)</f>
        <v>0</v>
      </c>
      <c r="R304" s="96">
        <f t="shared" si="459"/>
        <v>0</v>
      </c>
      <c r="T304" s="91"/>
      <c r="U304" s="85" t="s">
        <v>144</v>
      </c>
      <c r="V304" s="92" t="str">
        <f>C304</f>
        <v>得意先名（英語）</v>
      </c>
      <c r="W304" s="93" t="s">
        <v>92</v>
      </c>
      <c r="X304" s="94"/>
      <c r="Y304" s="97"/>
      <c r="Z304" s="97"/>
      <c r="AA304" s="97"/>
      <c r="AB304" s="97"/>
      <c r="AC304" s="97"/>
      <c r="AD304" s="97"/>
      <c r="AE304" s="97"/>
      <c r="AF304" s="98"/>
      <c r="AG304" s="98"/>
      <c r="AH304" s="98"/>
      <c r="AI304" s="99"/>
      <c r="AJ304" s="95">
        <f>SUM(X304:AI304)</f>
        <v>0</v>
      </c>
      <c r="AK304" s="96">
        <f t="shared" si="525"/>
        <v>0</v>
      </c>
    </row>
    <row r="305" spans="1:38" ht="15.6" hidden="1" thickBot="1">
      <c r="A305" s="91"/>
      <c r="B305" s="100"/>
      <c r="C305" s="92"/>
      <c r="D305" s="101">
        <v>2020</v>
      </c>
      <c r="E305" s="102"/>
      <c r="F305" s="124"/>
      <c r="G305" s="124"/>
      <c r="H305" s="124"/>
      <c r="I305" s="124"/>
      <c r="J305" s="124"/>
      <c r="K305" s="124"/>
      <c r="L305" s="124"/>
      <c r="M305" s="125"/>
      <c r="N305" s="125"/>
      <c r="O305" s="125"/>
      <c r="P305" s="126"/>
      <c r="Q305" s="103">
        <f>SUM(E305:P305)</f>
        <v>0</v>
      </c>
      <c r="R305" s="104">
        <f t="shared" si="459"/>
        <v>0</v>
      </c>
      <c r="S305" s="105"/>
      <c r="T305" s="91"/>
      <c r="U305" s="100"/>
      <c r="V305" s="92"/>
      <c r="W305" s="101">
        <v>2020</v>
      </c>
      <c r="X305" s="102"/>
      <c r="Y305" s="124"/>
      <c r="Z305" s="124"/>
      <c r="AA305" s="124"/>
      <c r="AB305" s="124"/>
      <c r="AC305" s="124"/>
      <c r="AD305" s="124"/>
      <c r="AE305" s="124"/>
      <c r="AF305" s="125"/>
      <c r="AG305" s="125"/>
      <c r="AH305" s="125"/>
      <c r="AI305" s="126"/>
      <c r="AJ305" s="103">
        <f>SUM(X305:AI305)</f>
        <v>0</v>
      </c>
      <c r="AK305" s="104">
        <f t="shared" si="525"/>
        <v>0</v>
      </c>
      <c r="AL305" s="105"/>
    </row>
    <row r="306" spans="1:38" ht="15.6" hidden="1" thickBot="1">
      <c r="A306" s="91"/>
      <c r="B306" s="100"/>
      <c r="C306" s="92"/>
      <c r="D306" s="101" t="s">
        <v>102</v>
      </c>
      <c r="E306" s="106" t="e">
        <f>E305/E304</f>
        <v>#DIV/0!</v>
      </c>
      <c r="F306" s="106" t="e">
        <f t="shared" ref="F306:R306" si="526">F305/F304</f>
        <v>#DIV/0!</v>
      </c>
      <c r="G306" s="106" t="e">
        <f t="shared" si="526"/>
        <v>#DIV/0!</v>
      </c>
      <c r="H306" s="106" t="e">
        <f t="shared" si="526"/>
        <v>#DIV/0!</v>
      </c>
      <c r="I306" s="106" t="e">
        <f t="shared" si="526"/>
        <v>#DIV/0!</v>
      </c>
      <c r="J306" s="106" t="e">
        <f t="shared" si="526"/>
        <v>#DIV/0!</v>
      </c>
      <c r="K306" s="106" t="e">
        <f t="shared" si="526"/>
        <v>#DIV/0!</v>
      </c>
      <c r="L306" s="106" t="e">
        <f t="shared" si="526"/>
        <v>#DIV/0!</v>
      </c>
      <c r="M306" s="107" t="e">
        <f t="shared" si="526"/>
        <v>#DIV/0!</v>
      </c>
      <c r="N306" s="107" t="e">
        <f t="shared" si="526"/>
        <v>#DIV/0!</v>
      </c>
      <c r="O306" s="107" t="e">
        <f t="shared" si="526"/>
        <v>#DIV/0!</v>
      </c>
      <c r="P306" s="108" t="e">
        <f t="shared" si="526"/>
        <v>#DIV/0!</v>
      </c>
      <c r="Q306" s="109" t="e">
        <f t="shared" si="526"/>
        <v>#DIV/0!</v>
      </c>
      <c r="R306" s="110" t="e">
        <f t="shared" si="526"/>
        <v>#DIV/0!</v>
      </c>
      <c r="S306" s="105"/>
      <c r="T306" s="91"/>
      <c r="U306" s="100"/>
      <c r="V306" s="92"/>
      <c r="W306" s="101" t="s">
        <v>102</v>
      </c>
      <c r="X306" s="106" t="e">
        <f>X305/X304</f>
        <v>#DIV/0!</v>
      </c>
      <c r="Y306" s="106" t="e">
        <f t="shared" ref="Y306:AK306" si="527">Y305/Y304</f>
        <v>#DIV/0!</v>
      </c>
      <c r="Z306" s="106" t="e">
        <f t="shared" si="527"/>
        <v>#DIV/0!</v>
      </c>
      <c r="AA306" s="106" t="e">
        <f t="shared" si="527"/>
        <v>#DIV/0!</v>
      </c>
      <c r="AB306" s="106" t="e">
        <f t="shared" si="527"/>
        <v>#DIV/0!</v>
      </c>
      <c r="AC306" s="106" t="e">
        <f t="shared" si="527"/>
        <v>#DIV/0!</v>
      </c>
      <c r="AD306" s="106" t="e">
        <f t="shared" si="527"/>
        <v>#DIV/0!</v>
      </c>
      <c r="AE306" s="106" t="e">
        <f t="shared" si="527"/>
        <v>#DIV/0!</v>
      </c>
      <c r="AF306" s="107" t="e">
        <f t="shared" si="527"/>
        <v>#DIV/0!</v>
      </c>
      <c r="AG306" s="107" t="e">
        <f t="shared" si="527"/>
        <v>#DIV/0!</v>
      </c>
      <c r="AH306" s="107" t="e">
        <f t="shared" si="527"/>
        <v>#DIV/0!</v>
      </c>
      <c r="AI306" s="108" t="e">
        <f t="shared" si="527"/>
        <v>#DIV/0!</v>
      </c>
      <c r="AJ306" s="109" t="e">
        <f t="shared" si="527"/>
        <v>#DIV/0!</v>
      </c>
      <c r="AK306" s="110" t="e">
        <f t="shared" si="527"/>
        <v>#DIV/0!</v>
      </c>
      <c r="AL306" s="105"/>
    </row>
    <row r="307" spans="1:38" ht="15.6" hidden="1" thickBot="1">
      <c r="A307" s="91"/>
      <c r="B307" s="100"/>
      <c r="C307" s="111"/>
      <c r="D307" s="112" t="s">
        <v>103</v>
      </c>
      <c r="E307" s="113" t="e">
        <f>E305/E303</f>
        <v>#DIV/0!</v>
      </c>
      <c r="F307" s="113" t="e">
        <f t="shared" ref="F307:R307" si="528">F305/F303</f>
        <v>#DIV/0!</v>
      </c>
      <c r="G307" s="113" t="e">
        <f t="shared" si="528"/>
        <v>#DIV/0!</v>
      </c>
      <c r="H307" s="113" t="e">
        <f t="shared" si="528"/>
        <v>#DIV/0!</v>
      </c>
      <c r="I307" s="113" t="e">
        <f t="shared" si="528"/>
        <v>#DIV/0!</v>
      </c>
      <c r="J307" s="113" t="e">
        <f t="shared" si="528"/>
        <v>#DIV/0!</v>
      </c>
      <c r="K307" s="113" t="e">
        <f t="shared" si="528"/>
        <v>#DIV/0!</v>
      </c>
      <c r="L307" s="113" t="e">
        <f t="shared" si="528"/>
        <v>#DIV/0!</v>
      </c>
      <c r="M307" s="113" t="e">
        <f t="shared" si="528"/>
        <v>#DIV/0!</v>
      </c>
      <c r="N307" s="113" t="e">
        <f t="shared" si="528"/>
        <v>#DIV/0!</v>
      </c>
      <c r="O307" s="113" t="e">
        <f t="shared" si="528"/>
        <v>#DIV/0!</v>
      </c>
      <c r="P307" s="114" t="e">
        <f t="shared" si="528"/>
        <v>#DIV/0!</v>
      </c>
      <c r="Q307" s="115" t="e">
        <f t="shared" si="528"/>
        <v>#DIV/0!</v>
      </c>
      <c r="R307" s="116" t="e">
        <f t="shared" si="528"/>
        <v>#DIV/0!</v>
      </c>
      <c r="T307" s="91"/>
      <c r="U307" s="100"/>
      <c r="V307" s="111"/>
      <c r="W307" s="112" t="s">
        <v>103</v>
      </c>
      <c r="X307" s="113" t="e">
        <f>X305/X303</f>
        <v>#DIV/0!</v>
      </c>
      <c r="Y307" s="113" t="e">
        <f t="shared" ref="Y307:AK307" si="529">Y305/Y303</f>
        <v>#DIV/0!</v>
      </c>
      <c r="Z307" s="113" t="e">
        <f t="shared" si="529"/>
        <v>#DIV/0!</v>
      </c>
      <c r="AA307" s="113" t="e">
        <f t="shared" si="529"/>
        <v>#DIV/0!</v>
      </c>
      <c r="AB307" s="113" t="e">
        <f t="shared" si="529"/>
        <v>#DIV/0!</v>
      </c>
      <c r="AC307" s="113" t="e">
        <f t="shared" si="529"/>
        <v>#DIV/0!</v>
      </c>
      <c r="AD307" s="113" t="e">
        <f t="shared" si="529"/>
        <v>#DIV/0!</v>
      </c>
      <c r="AE307" s="113" t="e">
        <f t="shared" si="529"/>
        <v>#DIV/0!</v>
      </c>
      <c r="AF307" s="113" t="e">
        <f t="shared" si="529"/>
        <v>#DIV/0!</v>
      </c>
      <c r="AG307" s="113" t="e">
        <f t="shared" si="529"/>
        <v>#DIV/0!</v>
      </c>
      <c r="AH307" s="113" t="e">
        <f t="shared" si="529"/>
        <v>#DIV/0!</v>
      </c>
      <c r="AI307" s="114" t="e">
        <f t="shared" si="529"/>
        <v>#DIV/0!</v>
      </c>
      <c r="AJ307" s="115" t="e">
        <f t="shared" si="529"/>
        <v>#DIV/0!</v>
      </c>
      <c r="AK307" s="116" t="e">
        <f t="shared" si="529"/>
        <v>#DIV/0!</v>
      </c>
    </row>
    <row r="308" spans="1:38" ht="15.6" hidden="1" thickBot="1">
      <c r="A308" s="91"/>
      <c r="B308" s="100"/>
      <c r="C308" s="86"/>
      <c r="D308" s="87">
        <v>2019</v>
      </c>
      <c r="E308" s="88"/>
      <c r="F308" s="121"/>
      <c r="G308" s="121"/>
      <c r="H308" s="121"/>
      <c r="I308" s="121"/>
      <c r="J308" s="121"/>
      <c r="K308" s="121"/>
      <c r="L308" s="121"/>
      <c r="M308" s="122"/>
      <c r="N308" s="122"/>
      <c r="O308" s="122"/>
      <c r="P308" s="123"/>
      <c r="Q308" s="89">
        <f t="shared" ref="Q308:Q310" si="530">SUM(E308:P308)</f>
        <v>0</v>
      </c>
      <c r="R308" s="90">
        <f t="shared" ref="R308" si="531">SUM(E308:M308)</f>
        <v>0</v>
      </c>
      <c r="T308" s="91"/>
      <c r="U308" s="100"/>
      <c r="V308" s="86">
        <f t="shared" ref="V308:V309" si="532">C308</f>
        <v>0</v>
      </c>
      <c r="W308" s="87">
        <v>2019</v>
      </c>
      <c r="X308" s="88"/>
      <c r="Y308" s="121"/>
      <c r="Z308" s="121"/>
      <c r="AA308" s="121"/>
      <c r="AB308" s="121"/>
      <c r="AC308" s="121"/>
      <c r="AD308" s="121"/>
      <c r="AE308" s="121"/>
      <c r="AF308" s="122"/>
      <c r="AG308" s="122"/>
      <c r="AH308" s="122"/>
      <c r="AI308" s="123"/>
      <c r="AJ308" s="89">
        <f t="shared" ref="AJ308:AJ310" si="533">SUM(X308:AI308)</f>
        <v>0</v>
      </c>
      <c r="AK308" s="90">
        <f t="shared" ref="AK308:AK310" si="534">SUM(X308:AF308)</f>
        <v>0</v>
      </c>
    </row>
    <row r="309" spans="1:38" ht="15.6" hidden="1" thickBot="1">
      <c r="A309" s="91"/>
      <c r="B309" s="100"/>
      <c r="C309" s="92"/>
      <c r="D309" s="93" t="s">
        <v>92</v>
      </c>
      <c r="E309" s="94"/>
      <c r="F309" s="97"/>
      <c r="G309" s="97"/>
      <c r="H309" s="97"/>
      <c r="I309" s="97"/>
      <c r="J309" s="97"/>
      <c r="K309" s="97"/>
      <c r="L309" s="97"/>
      <c r="M309" s="98"/>
      <c r="N309" s="98"/>
      <c r="O309" s="98"/>
      <c r="P309" s="99"/>
      <c r="Q309" s="95">
        <f t="shared" si="530"/>
        <v>0</v>
      </c>
      <c r="R309" s="96">
        <f t="shared" si="459"/>
        <v>0</v>
      </c>
      <c r="T309" s="91"/>
      <c r="U309" s="100"/>
      <c r="V309" s="92">
        <f t="shared" si="532"/>
        <v>0</v>
      </c>
      <c r="W309" s="93" t="s">
        <v>92</v>
      </c>
      <c r="X309" s="94"/>
      <c r="Y309" s="97"/>
      <c r="Z309" s="97"/>
      <c r="AA309" s="97"/>
      <c r="AB309" s="97"/>
      <c r="AC309" s="97"/>
      <c r="AD309" s="97"/>
      <c r="AE309" s="97"/>
      <c r="AF309" s="98"/>
      <c r="AG309" s="98"/>
      <c r="AH309" s="98"/>
      <c r="AI309" s="99"/>
      <c r="AJ309" s="95">
        <f t="shared" si="533"/>
        <v>0</v>
      </c>
      <c r="AK309" s="96">
        <f t="shared" si="534"/>
        <v>0</v>
      </c>
    </row>
    <row r="310" spans="1:38" ht="15.6" hidden="1" thickBot="1">
      <c r="A310" s="91"/>
      <c r="B310" s="100"/>
      <c r="C310" s="92"/>
      <c r="D310" s="101">
        <v>2020</v>
      </c>
      <c r="E310" s="102"/>
      <c r="F310" s="124"/>
      <c r="G310" s="124"/>
      <c r="H310" s="124"/>
      <c r="I310" s="124"/>
      <c r="J310" s="124"/>
      <c r="K310" s="124"/>
      <c r="L310" s="124"/>
      <c r="M310" s="125"/>
      <c r="N310" s="125"/>
      <c r="O310" s="125"/>
      <c r="P310" s="126"/>
      <c r="Q310" s="103">
        <f t="shared" si="530"/>
        <v>0</v>
      </c>
      <c r="R310" s="104">
        <f t="shared" si="459"/>
        <v>0</v>
      </c>
      <c r="S310" s="105"/>
      <c r="T310" s="91"/>
      <c r="U310" s="100"/>
      <c r="V310" s="92"/>
      <c r="W310" s="101">
        <v>2020</v>
      </c>
      <c r="X310" s="102"/>
      <c r="Y310" s="124"/>
      <c r="Z310" s="124"/>
      <c r="AA310" s="124"/>
      <c r="AB310" s="124"/>
      <c r="AC310" s="124"/>
      <c r="AD310" s="124"/>
      <c r="AE310" s="124"/>
      <c r="AF310" s="125"/>
      <c r="AG310" s="125"/>
      <c r="AH310" s="125"/>
      <c r="AI310" s="126"/>
      <c r="AJ310" s="103">
        <f t="shared" si="533"/>
        <v>0</v>
      </c>
      <c r="AK310" s="104">
        <f t="shared" si="534"/>
        <v>0</v>
      </c>
      <c r="AL310" s="105"/>
    </row>
    <row r="311" spans="1:38" ht="15.6" hidden="1" thickBot="1">
      <c r="A311" s="91"/>
      <c r="B311" s="100"/>
      <c r="C311" s="92"/>
      <c r="D311" s="101" t="s">
        <v>102</v>
      </c>
      <c r="E311" s="106" t="e">
        <f t="shared" ref="E311:R311" si="535">E310/E309</f>
        <v>#DIV/0!</v>
      </c>
      <c r="F311" s="106" t="e">
        <f t="shared" si="535"/>
        <v>#DIV/0!</v>
      </c>
      <c r="G311" s="106" t="e">
        <f t="shared" si="535"/>
        <v>#DIV/0!</v>
      </c>
      <c r="H311" s="106" t="e">
        <f t="shared" si="535"/>
        <v>#DIV/0!</v>
      </c>
      <c r="I311" s="106" t="e">
        <f t="shared" si="535"/>
        <v>#DIV/0!</v>
      </c>
      <c r="J311" s="106" t="e">
        <f t="shared" si="535"/>
        <v>#DIV/0!</v>
      </c>
      <c r="K311" s="106" t="e">
        <f t="shared" si="535"/>
        <v>#DIV/0!</v>
      </c>
      <c r="L311" s="106" t="e">
        <f t="shared" si="535"/>
        <v>#DIV/0!</v>
      </c>
      <c r="M311" s="107" t="e">
        <f t="shared" si="535"/>
        <v>#DIV/0!</v>
      </c>
      <c r="N311" s="107" t="e">
        <f t="shared" si="535"/>
        <v>#DIV/0!</v>
      </c>
      <c r="O311" s="107" t="e">
        <f t="shared" si="535"/>
        <v>#DIV/0!</v>
      </c>
      <c r="P311" s="108" t="e">
        <f t="shared" si="535"/>
        <v>#DIV/0!</v>
      </c>
      <c r="Q311" s="109" t="e">
        <f t="shared" si="535"/>
        <v>#DIV/0!</v>
      </c>
      <c r="R311" s="110" t="e">
        <f t="shared" si="535"/>
        <v>#DIV/0!</v>
      </c>
      <c r="S311" s="105"/>
      <c r="T311" s="91"/>
      <c r="U311" s="100"/>
      <c r="V311" s="92"/>
      <c r="W311" s="101" t="s">
        <v>102</v>
      </c>
      <c r="X311" s="106" t="e">
        <f t="shared" ref="X311:AK311" si="536">X310/X309</f>
        <v>#DIV/0!</v>
      </c>
      <c r="Y311" s="106" t="e">
        <f t="shared" si="536"/>
        <v>#DIV/0!</v>
      </c>
      <c r="Z311" s="106" t="e">
        <f t="shared" si="536"/>
        <v>#DIV/0!</v>
      </c>
      <c r="AA311" s="106" t="e">
        <f t="shared" si="536"/>
        <v>#DIV/0!</v>
      </c>
      <c r="AB311" s="106" t="e">
        <f t="shared" si="536"/>
        <v>#DIV/0!</v>
      </c>
      <c r="AC311" s="106" t="e">
        <f t="shared" si="536"/>
        <v>#DIV/0!</v>
      </c>
      <c r="AD311" s="106" t="e">
        <f t="shared" si="536"/>
        <v>#DIV/0!</v>
      </c>
      <c r="AE311" s="106" t="e">
        <f t="shared" si="536"/>
        <v>#DIV/0!</v>
      </c>
      <c r="AF311" s="107" t="e">
        <f t="shared" si="536"/>
        <v>#DIV/0!</v>
      </c>
      <c r="AG311" s="107" t="e">
        <f t="shared" si="536"/>
        <v>#DIV/0!</v>
      </c>
      <c r="AH311" s="107" t="e">
        <f t="shared" si="536"/>
        <v>#DIV/0!</v>
      </c>
      <c r="AI311" s="108" t="e">
        <f t="shared" si="536"/>
        <v>#DIV/0!</v>
      </c>
      <c r="AJ311" s="109" t="e">
        <f t="shared" si="536"/>
        <v>#DIV/0!</v>
      </c>
      <c r="AK311" s="110" t="e">
        <f t="shared" si="536"/>
        <v>#DIV/0!</v>
      </c>
      <c r="AL311" s="105"/>
    </row>
    <row r="312" spans="1:38" ht="15.6" hidden="1" thickBot="1">
      <c r="A312" s="91"/>
      <c r="B312" s="100"/>
      <c r="C312" s="111"/>
      <c r="D312" s="112" t="s">
        <v>103</v>
      </c>
      <c r="E312" s="113" t="e">
        <f t="shared" ref="E312:R312" si="537">E310/E308</f>
        <v>#DIV/0!</v>
      </c>
      <c r="F312" s="113" t="e">
        <f t="shared" si="537"/>
        <v>#DIV/0!</v>
      </c>
      <c r="G312" s="113" t="e">
        <f t="shared" si="537"/>
        <v>#DIV/0!</v>
      </c>
      <c r="H312" s="113" t="e">
        <f t="shared" si="537"/>
        <v>#DIV/0!</v>
      </c>
      <c r="I312" s="113" t="e">
        <f t="shared" si="537"/>
        <v>#DIV/0!</v>
      </c>
      <c r="J312" s="113" t="e">
        <f t="shared" si="537"/>
        <v>#DIV/0!</v>
      </c>
      <c r="K312" s="113" t="e">
        <f t="shared" si="537"/>
        <v>#DIV/0!</v>
      </c>
      <c r="L312" s="113" t="e">
        <f t="shared" si="537"/>
        <v>#DIV/0!</v>
      </c>
      <c r="M312" s="113" t="e">
        <f t="shared" si="537"/>
        <v>#DIV/0!</v>
      </c>
      <c r="N312" s="113" t="e">
        <f t="shared" si="537"/>
        <v>#DIV/0!</v>
      </c>
      <c r="O312" s="113" t="e">
        <f t="shared" si="537"/>
        <v>#DIV/0!</v>
      </c>
      <c r="P312" s="114" t="e">
        <f t="shared" si="537"/>
        <v>#DIV/0!</v>
      </c>
      <c r="Q312" s="115" t="e">
        <f t="shared" si="537"/>
        <v>#DIV/0!</v>
      </c>
      <c r="R312" s="116" t="e">
        <f t="shared" si="537"/>
        <v>#DIV/0!</v>
      </c>
      <c r="T312" s="91"/>
      <c r="U312" s="100"/>
      <c r="V312" s="111"/>
      <c r="W312" s="112" t="s">
        <v>103</v>
      </c>
      <c r="X312" s="113" t="e">
        <f t="shared" ref="X312:AK312" si="538">X310/X308</f>
        <v>#DIV/0!</v>
      </c>
      <c r="Y312" s="113" t="e">
        <f t="shared" si="538"/>
        <v>#DIV/0!</v>
      </c>
      <c r="Z312" s="113" t="e">
        <f t="shared" si="538"/>
        <v>#DIV/0!</v>
      </c>
      <c r="AA312" s="113" t="e">
        <f t="shared" si="538"/>
        <v>#DIV/0!</v>
      </c>
      <c r="AB312" s="113" t="e">
        <f t="shared" si="538"/>
        <v>#DIV/0!</v>
      </c>
      <c r="AC312" s="113" t="e">
        <f t="shared" si="538"/>
        <v>#DIV/0!</v>
      </c>
      <c r="AD312" s="113" t="e">
        <f t="shared" si="538"/>
        <v>#DIV/0!</v>
      </c>
      <c r="AE312" s="113" t="e">
        <f t="shared" si="538"/>
        <v>#DIV/0!</v>
      </c>
      <c r="AF312" s="113" t="e">
        <f t="shared" si="538"/>
        <v>#DIV/0!</v>
      </c>
      <c r="AG312" s="113" t="e">
        <f t="shared" si="538"/>
        <v>#DIV/0!</v>
      </c>
      <c r="AH312" s="113" t="e">
        <f t="shared" si="538"/>
        <v>#DIV/0!</v>
      </c>
      <c r="AI312" s="114" t="e">
        <f t="shared" si="538"/>
        <v>#DIV/0!</v>
      </c>
      <c r="AJ312" s="115" t="e">
        <f t="shared" si="538"/>
        <v>#DIV/0!</v>
      </c>
      <c r="AK312" s="116" t="e">
        <f t="shared" si="538"/>
        <v>#DIV/0!</v>
      </c>
    </row>
    <row r="313" spans="1:38" ht="15.6" hidden="1" thickBot="1">
      <c r="A313" s="91"/>
      <c r="B313" s="100"/>
      <c r="C313" s="86"/>
      <c r="D313" s="87">
        <v>2019</v>
      </c>
      <c r="E313" s="88"/>
      <c r="F313" s="121"/>
      <c r="G313" s="121"/>
      <c r="H313" s="121"/>
      <c r="I313" s="121"/>
      <c r="J313" s="121"/>
      <c r="K313" s="121"/>
      <c r="L313" s="121"/>
      <c r="M313" s="122"/>
      <c r="N313" s="122"/>
      <c r="O313" s="122"/>
      <c r="P313" s="123"/>
      <c r="Q313" s="89">
        <f t="shared" ref="Q313:Q315" si="539">SUM(E313:P313)</f>
        <v>0</v>
      </c>
      <c r="R313" s="90">
        <f t="shared" ref="R313" si="540">SUM(E313:M313)</f>
        <v>0</v>
      </c>
      <c r="T313" s="91"/>
      <c r="U313" s="100"/>
      <c r="V313" s="86">
        <f t="shared" ref="V313:V314" si="541">C313</f>
        <v>0</v>
      </c>
      <c r="W313" s="87">
        <v>2019</v>
      </c>
      <c r="X313" s="88"/>
      <c r="Y313" s="121"/>
      <c r="Z313" s="121"/>
      <c r="AA313" s="121"/>
      <c r="AB313" s="121"/>
      <c r="AC313" s="121"/>
      <c r="AD313" s="121"/>
      <c r="AE313" s="121"/>
      <c r="AF313" s="122"/>
      <c r="AG313" s="122"/>
      <c r="AH313" s="122"/>
      <c r="AI313" s="123"/>
      <c r="AJ313" s="89">
        <f t="shared" ref="AJ313:AJ315" si="542">SUM(X313:AI313)</f>
        <v>0</v>
      </c>
      <c r="AK313" s="90">
        <f t="shared" ref="AK313:AK315" si="543">SUM(X313:AF313)</f>
        <v>0</v>
      </c>
    </row>
    <row r="314" spans="1:38" ht="15.6" hidden="1" thickBot="1">
      <c r="A314" s="91"/>
      <c r="B314" s="100"/>
      <c r="C314" s="92"/>
      <c r="D314" s="93" t="s">
        <v>92</v>
      </c>
      <c r="E314" s="94"/>
      <c r="F314" s="97"/>
      <c r="G314" s="97"/>
      <c r="H314" s="97"/>
      <c r="I314" s="97"/>
      <c r="J314" s="97"/>
      <c r="K314" s="97"/>
      <c r="L314" s="97"/>
      <c r="M314" s="98"/>
      <c r="N314" s="98"/>
      <c r="O314" s="98"/>
      <c r="P314" s="99"/>
      <c r="Q314" s="95">
        <f t="shared" si="539"/>
        <v>0</v>
      </c>
      <c r="R314" s="96">
        <f t="shared" si="459"/>
        <v>0</v>
      </c>
      <c r="T314" s="91"/>
      <c r="U314" s="100"/>
      <c r="V314" s="92">
        <f t="shared" si="541"/>
        <v>0</v>
      </c>
      <c r="W314" s="93" t="s">
        <v>92</v>
      </c>
      <c r="X314" s="94"/>
      <c r="Y314" s="97"/>
      <c r="Z314" s="97"/>
      <c r="AA314" s="97"/>
      <c r="AB314" s="97"/>
      <c r="AC314" s="97"/>
      <c r="AD314" s="97"/>
      <c r="AE314" s="97"/>
      <c r="AF314" s="98"/>
      <c r="AG314" s="98"/>
      <c r="AH314" s="98"/>
      <c r="AI314" s="99"/>
      <c r="AJ314" s="95">
        <f t="shared" si="542"/>
        <v>0</v>
      </c>
      <c r="AK314" s="96">
        <f t="shared" si="543"/>
        <v>0</v>
      </c>
    </row>
    <row r="315" spans="1:38" ht="15.6" hidden="1" thickBot="1">
      <c r="A315" s="91"/>
      <c r="B315" s="100"/>
      <c r="C315" s="92"/>
      <c r="D315" s="101">
        <v>2020</v>
      </c>
      <c r="E315" s="102"/>
      <c r="F315" s="124"/>
      <c r="G315" s="124"/>
      <c r="H315" s="124"/>
      <c r="I315" s="124"/>
      <c r="J315" s="124"/>
      <c r="K315" s="124"/>
      <c r="L315" s="124"/>
      <c r="M315" s="125"/>
      <c r="N315" s="125"/>
      <c r="O315" s="125"/>
      <c r="P315" s="126"/>
      <c r="Q315" s="103">
        <f t="shared" si="539"/>
        <v>0</v>
      </c>
      <c r="R315" s="104">
        <f t="shared" si="459"/>
        <v>0</v>
      </c>
      <c r="S315" s="105"/>
      <c r="T315" s="91"/>
      <c r="U315" s="100"/>
      <c r="V315" s="92"/>
      <c r="W315" s="101">
        <v>2020</v>
      </c>
      <c r="X315" s="102"/>
      <c r="Y315" s="124"/>
      <c r="Z315" s="124"/>
      <c r="AA315" s="124"/>
      <c r="AB315" s="124"/>
      <c r="AC315" s="124"/>
      <c r="AD315" s="124"/>
      <c r="AE315" s="124"/>
      <c r="AF315" s="125"/>
      <c r="AG315" s="125"/>
      <c r="AH315" s="125"/>
      <c r="AI315" s="126"/>
      <c r="AJ315" s="103">
        <f t="shared" si="542"/>
        <v>0</v>
      </c>
      <c r="AK315" s="104">
        <f t="shared" si="543"/>
        <v>0</v>
      </c>
      <c r="AL315" s="105"/>
    </row>
    <row r="316" spans="1:38" ht="15.6" hidden="1" thickBot="1">
      <c r="A316" s="91"/>
      <c r="B316" s="100"/>
      <c r="C316" s="92"/>
      <c r="D316" s="101" t="s">
        <v>102</v>
      </c>
      <c r="E316" s="106" t="e">
        <f t="shared" ref="E316:R316" si="544">E315/E314</f>
        <v>#DIV/0!</v>
      </c>
      <c r="F316" s="106" t="e">
        <f t="shared" si="544"/>
        <v>#DIV/0!</v>
      </c>
      <c r="G316" s="106" t="e">
        <f t="shared" si="544"/>
        <v>#DIV/0!</v>
      </c>
      <c r="H316" s="106" t="e">
        <f t="shared" si="544"/>
        <v>#DIV/0!</v>
      </c>
      <c r="I316" s="106" t="e">
        <f t="shared" si="544"/>
        <v>#DIV/0!</v>
      </c>
      <c r="J316" s="106" t="e">
        <f t="shared" si="544"/>
        <v>#DIV/0!</v>
      </c>
      <c r="K316" s="106" t="e">
        <f t="shared" si="544"/>
        <v>#DIV/0!</v>
      </c>
      <c r="L316" s="106" t="e">
        <f t="shared" si="544"/>
        <v>#DIV/0!</v>
      </c>
      <c r="M316" s="107" t="e">
        <f t="shared" si="544"/>
        <v>#DIV/0!</v>
      </c>
      <c r="N316" s="107" t="e">
        <f t="shared" si="544"/>
        <v>#DIV/0!</v>
      </c>
      <c r="O316" s="107" t="e">
        <f t="shared" si="544"/>
        <v>#DIV/0!</v>
      </c>
      <c r="P316" s="108" t="e">
        <f t="shared" si="544"/>
        <v>#DIV/0!</v>
      </c>
      <c r="Q316" s="109" t="e">
        <f t="shared" si="544"/>
        <v>#DIV/0!</v>
      </c>
      <c r="R316" s="110" t="e">
        <f t="shared" si="544"/>
        <v>#DIV/0!</v>
      </c>
      <c r="S316" s="105"/>
      <c r="T316" s="91"/>
      <c r="U316" s="100"/>
      <c r="V316" s="92"/>
      <c r="W316" s="101" t="s">
        <v>102</v>
      </c>
      <c r="X316" s="106" t="e">
        <f t="shared" ref="X316:AK316" si="545">X315/X314</f>
        <v>#DIV/0!</v>
      </c>
      <c r="Y316" s="106" t="e">
        <f t="shared" si="545"/>
        <v>#DIV/0!</v>
      </c>
      <c r="Z316" s="106" t="e">
        <f t="shared" si="545"/>
        <v>#DIV/0!</v>
      </c>
      <c r="AA316" s="106" t="e">
        <f t="shared" si="545"/>
        <v>#DIV/0!</v>
      </c>
      <c r="AB316" s="106" t="e">
        <f t="shared" si="545"/>
        <v>#DIV/0!</v>
      </c>
      <c r="AC316" s="106" t="e">
        <f t="shared" si="545"/>
        <v>#DIV/0!</v>
      </c>
      <c r="AD316" s="106" t="e">
        <f t="shared" si="545"/>
        <v>#DIV/0!</v>
      </c>
      <c r="AE316" s="106" t="e">
        <f t="shared" si="545"/>
        <v>#DIV/0!</v>
      </c>
      <c r="AF316" s="107" t="e">
        <f t="shared" si="545"/>
        <v>#DIV/0!</v>
      </c>
      <c r="AG316" s="107" t="e">
        <f t="shared" si="545"/>
        <v>#DIV/0!</v>
      </c>
      <c r="AH316" s="107" t="e">
        <f t="shared" si="545"/>
        <v>#DIV/0!</v>
      </c>
      <c r="AI316" s="108" t="e">
        <f t="shared" si="545"/>
        <v>#DIV/0!</v>
      </c>
      <c r="AJ316" s="109" t="e">
        <f t="shared" si="545"/>
        <v>#DIV/0!</v>
      </c>
      <c r="AK316" s="110" t="e">
        <f t="shared" si="545"/>
        <v>#DIV/0!</v>
      </c>
      <c r="AL316" s="105"/>
    </row>
    <row r="317" spans="1:38" ht="15.6" hidden="1" thickBot="1">
      <c r="A317" s="91"/>
      <c r="B317" s="100"/>
      <c r="C317" s="111"/>
      <c r="D317" s="112" t="s">
        <v>103</v>
      </c>
      <c r="E317" s="113" t="e">
        <f t="shared" ref="E317:R317" si="546">E315/E313</f>
        <v>#DIV/0!</v>
      </c>
      <c r="F317" s="113" t="e">
        <f t="shared" si="546"/>
        <v>#DIV/0!</v>
      </c>
      <c r="G317" s="113" t="e">
        <f t="shared" si="546"/>
        <v>#DIV/0!</v>
      </c>
      <c r="H317" s="113" t="e">
        <f t="shared" si="546"/>
        <v>#DIV/0!</v>
      </c>
      <c r="I317" s="113" t="e">
        <f t="shared" si="546"/>
        <v>#DIV/0!</v>
      </c>
      <c r="J317" s="113" t="e">
        <f t="shared" si="546"/>
        <v>#DIV/0!</v>
      </c>
      <c r="K317" s="113" t="e">
        <f t="shared" si="546"/>
        <v>#DIV/0!</v>
      </c>
      <c r="L317" s="113" t="e">
        <f t="shared" si="546"/>
        <v>#DIV/0!</v>
      </c>
      <c r="M317" s="113" t="e">
        <f t="shared" si="546"/>
        <v>#DIV/0!</v>
      </c>
      <c r="N317" s="113" t="e">
        <f t="shared" si="546"/>
        <v>#DIV/0!</v>
      </c>
      <c r="O317" s="113" t="e">
        <f t="shared" si="546"/>
        <v>#DIV/0!</v>
      </c>
      <c r="P317" s="114" t="e">
        <f t="shared" si="546"/>
        <v>#DIV/0!</v>
      </c>
      <c r="Q317" s="115" t="e">
        <f t="shared" si="546"/>
        <v>#DIV/0!</v>
      </c>
      <c r="R317" s="116" t="e">
        <f t="shared" si="546"/>
        <v>#DIV/0!</v>
      </c>
      <c r="T317" s="91"/>
      <c r="U317" s="100"/>
      <c r="V317" s="111"/>
      <c r="W317" s="112" t="s">
        <v>103</v>
      </c>
      <c r="X317" s="113" t="e">
        <f t="shared" ref="X317:AK317" si="547">X315/X313</f>
        <v>#DIV/0!</v>
      </c>
      <c r="Y317" s="113" t="e">
        <f t="shared" si="547"/>
        <v>#DIV/0!</v>
      </c>
      <c r="Z317" s="113" t="e">
        <f t="shared" si="547"/>
        <v>#DIV/0!</v>
      </c>
      <c r="AA317" s="113" t="e">
        <f t="shared" si="547"/>
        <v>#DIV/0!</v>
      </c>
      <c r="AB317" s="113" t="e">
        <f t="shared" si="547"/>
        <v>#DIV/0!</v>
      </c>
      <c r="AC317" s="113" t="e">
        <f t="shared" si="547"/>
        <v>#DIV/0!</v>
      </c>
      <c r="AD317" s="113" t="e">
        <f t="shared" si="547"/>
        <v>#DIV/0!</v>
      </c>
      <c r="AE317" s="113" t="e">
        <f t="shared" si="547"/>
        <v>#DIV/0!</v>
      </c>
      <c r="AF317" s="113" t="e">
        <f t="shared" si="547"/>
        <v>#DIV/0!</v>
      </c>
      <c r="AG317" s="113" t="e">
        <f t="shared" si="547"/>
        <v>#DIV/0!</v>
      </c>
      <c r="AH317" s="113" t="e">
        <f t="shared" si="547"/>
        <v>#DIV/0!</v>
      </c>
      <c r="AI317" s="114" t="e">
        <f t="shared" si="547"/>
        <v>#DIV/0!</v>
      </c>
      <c r="AJ317" s="115" t="e">
        <f t="shared" si="547"/>
        <v>#DIV/0!</v>
      </c>
      <c r="AK317" s="116" t="e">
        <f t="shared" si="547"/>
        <v>#DIV/0!</v>
      </c>
    </row>
    <row r="318" spans="1:38" ht="15.6" hidden="1" thickBot="1">
      <c r="A318" s="91"/>
      <c r="B318" s="100"/>
      <c r="C318" s="86"/>
      <c r="D318" s="87">
        <v>2019</v>
      </c>
      <c r="E318" s="88"/>
      <c r="F318" s="121"/>
      <c r="G318" s="121"/>
      <c r="H318" s="121"/>
      <c r="I318" s="121"/>
      <c r="J318" s="121"/>
      <c r="K318" s="121"/>
      <c r="L318" s="121"/>
      <c r="M318" s="122"/>
      <c r="N318" s="122"/>
      <c r="O318" s="122"/>
      <c r="P318" s="123"/>
      <c r="Q318" s="89">
        <f t="shared" ref="Q318:Q320" si="548">SUM(E318:P318)</f>
        <v>0</v>
      </c>
      <c r="R318" s="90">
        <f t="shared" ref="R318" si="549">SUM(E318:M318)</f>
        <v>0</v>
      </c>
      <c r="T318" s="91"/>
      <c r="U318" s="100"/>
      <c r="V318" s="86">
        <f t="shared" ref="V318:V319" si="550">C318</f>
        <v>0</v>
      </c>
      <c r="W318" s="87">
        <v>2019</v>
      </c>
      <c r="X318" s="88"/>
      <c r="Y318" s="121"/>
      <c r="Z318" s="121"/>
      <c r="AA318" s="121"/>
      <c r="AB318" s="121"/>
      <c r="AC318" s="121"/>
      <c r="AD318" s="121"/>
      <c r="AE318" s="121"/>
      <c r="AF318" s="122"/>
      <c r="AG318" s="122"/>
      <c r="AH318" s="122"/>
      <c r="AI318" s="123"/>
      <c r="AJ318" s="89">
        <f t="shared" ref="AJ318:AJ320" si="551">SUM(X318:AI318)</f>
        <v>0</v>
      </c>
      <c r="AK318" s="90">
        <f t="shared" ref="AK318:AK320" si="552">SUM(X318:AF318)</f>
        <v>0</v>
      </c>
    </row>
    <row r="319" spans="1:38" ht="15.6" hidden="1" thickBot="1">
      <c r="A319" s="91"/>
      <c r="B319" s="100"/>
      <c r="C319" s="92"/>
      <c r="D319" s="93" t="s">
        <v>92</v>
      </c>
      <c r="E319" s="94"/>
      <c r="F319" s="97"/>
      <c r="G319" s="97"/>
      <c r="H319" s="97"/>
      <c r="I319" s="97"/>
      <c r="J319" s="97"/>
      <c r="K319" s="97"/>
      <c r="L319" s="97"/>
      <c r="M319" s="98"/>
      <c r="N319" s="98"/>
      <c r="O319" s="98"/>
      <c r="P319" s="99"/>
      <c r="Q319" s="95">
        <f t="shared" si="548"/>
        <v>0</v>
      </c>
      <c r="R319" s="96">
        <f t="shared" si="459"/>
        <v>0</v>
      </c>
      <c r="T319" s="91"/>
      <c r="U319" s="100"/>
      <c r="V319" s="92">
        <f t="shared" si="550"/>
        <v>0</v>
      </c>
      <c r="W319" s="93" t="s">
        <v>92</v>
      </c>
      <c r="X319" s="94"/>
      <c r="Y319" s="97"/>
      <c r="Z319" s="97"/>
      <c r="AA319" s="97"/>
      <c r="AB319" s="97"/>
      <c r="AC319" s="97"/>
      <c r="AD319" s="97"/>
      <c r="AE319" s="97"/>
      <c r="AF319" s="98"/>
      <c r="AG319" s="98"/>
      <c r="AH319" s="98"/>
      <c r="AI319" s="99"/>
      <c r="AJ319" s="95">
        <f t="shared" si="551"/>
        <v>0</v>
      </c>
      <c r="AK319" s="96">
        <f t="shared" si="552"/>
        <v>0</v>
      </c>
    </row>
    <row r="320" spans="1:38" ht="15.6" hidden="1" thickBot="1">
      <c r="A320" s="91"/>
      <c r="B320" s="100"/>
      <c r="C320" s="92"/>
      <c r="D320" s="101">
        <v>2020</v>
      </c>
      <c r="E320" s="102"/>
      <c r="F320" s="124"/>
      <c r="G320" s="124"/>
      <c r="H320" s="124"/>
      <c r="I320" s="124"/>
      <c r="J320" s="124"/>
      <c r="K320" s="124"/>
      <c r="L320" s="124"/>
      <c r="M320" s="125"/>
      <c r="N320" s="125"/>
      <c r="O320" s="125"/>
      <c r="P320" s="126"/>
      <c r="Q320" s="103">
        <f t="shared" si="548"/>
        <v>0</v>
      </c>
      <c r="R320" s="104">
        <f t="shared" si="459"/>
        <v>0</v>
      </c>
      <c r="S320" s="105"/>
      <c r="T320" s="91"/>
      <c r="U320" s="100"/>
      <c r="V320" s="92"/>
      <c r="W320" s="101">
        <v>2020</v>
      </c>
      <c r="X320" s="102"/>
      <c r="Y320" s="124"/>
      <c r="Z320" s="124"/>
      <c r="AA320" s="124"/>
      <c r="AB320" s="124"/>
      <c r="AC320" s="124"/>
      <c r="AD320" s="124"/>
      <c r="AE320" s="124"/>
      <c r="AF320" s="125"/>
      <c r="AG320" s="125"/>
      <c r="AH320" s="125"/>
      <c r="AI320" s="126"/>
      <c r="AJ320" s="103">
        <f t="shared" si="551"/>
        <v>0</v>
      </c>
      <c r="AK320" s="104">
        <f t="shared" si="552"/>
        <v>0</v>
      </c>
      <c r="AL320" s="105"/>
    </row>
    <row r="321" spans="1:38" ht="15.6" hidden="1" thickBot="1">
      <c r="A321" s="91"/>
      <c r="B321" s="100"/>
      <c r="C321" s="92"/>
      <c r="D321" s="101" t="s">
        <v>102</v>
      </c>
      <c r="E321" s="106" t="e">
        <f t="shared" ref="E321:R321" si="553">E320/E319</f>
        <v>#DIV/0!</v>
      </c>
      <c r="F321" s="106" t="e">
        <f t="shared" si="553"/>
        <v>#DIV/0!</v>
      </c>
      <c r="G321" s="106" t="e">
        <f t="shared" si="553"/>
        <v>#DIV/0!</v>
      </c>
      <c r="H321" s="106" t="e">
        <f t="shared" si="553"/>
        <v>#DIV/0!</v>
      </c>
      <c r="I321" s="106" t="e">
        <f t="shared" si="553"/>
        <v>#DIV/0!</v>
      </c>
      <c r="J321" s="106" t="e">
        <f t="shared" si="553"/>
        <v>#DIV/0!</v>
      </c>
      <c r="K321" s="106" t="e">
        <f t="shared" si="553"/>
        <v>#DIV/0!</v>
      </c>
      <c r="L321" s="106" t="e">
        <f t="shared" si="553"/>
        <v>#DIV/0!</v>
      </c>
      <c r="M321" s="107" t="e">
        <f t="shared" si="553"/>
        <v>#DIV/0!</v>
      </c>
      <c r="N321" s="107" t="e">
        <f t="shared" si="553"/>
        <v>#DIV/0!</v>
      </c>
      <c r="O321" s="107" t="e">
        <f t="shared" si="553"/>
        <v>#DIV/0!</v>
      </c>
      <c r="P321" s="108" t="e">
        <f t="shared" si="553"/>
        <v>#DIV/0!</v>
      </c>
      <c r="Q321" s="109" t="e">
        <f t="shared" si="553"/>
        <v>#DIV/0!</v>
      </c>
      <c r="R321" s="110" t="e">
        <f t="shared" si="553"/>
        <v>#DIV/0!</v>
      </c>
      <c r="S321" s="105"/>
      <c r="T321" s="91"/>
      <c r="U321" s="100"/>
      <c r="V321" s="92"/>
      <c r="W321" s="101" t="s">
        <v>102</v>
      </c>
      <c r="X321" s="106" t="e">
        <f t="shared" ref="X321:AK321" si="554">X320/X319</f>
        <v>#DIV/0!</v>
      </c>
      <c r="Y321" s="106" t="e">
        <f t="shared" si="554"/>
        <v>#DIV/0!</v>
      </c>
      <c r="Z321" s="106" t="e">
        <f t="shared" si="554"/>
        <v>#DIV/0!</v>
      </c>
      <c r="AA321" s="106" t="e">
        <f t="shared" si="554"/>
        <v>#DIV/0!</v>
      </c>
      <c r="AB321" s="106" t="e">
        <f t="shared" si="554"/>
        <v>#DIV/0!</v>
      </c>
      <c r="AC321" s="106" t="e">
        <f t="shared" si="554"/>
        <v>#DIV/0!</v>
      </c>
      <c r="AD321" s="106" t="e">
        <f t="shared" si="554"/>
        <v>#DIV/0!</v>
      </c>
      <c r="AE321" s="106" t="e">
        <f t="shared" si="554"/>
        <v>#DIV/0!</v>
      </c>
      <c r="AF321" s="107" t="e">
        <f t="shared" si="554"/>
        <v>#DIV/0!</v>
      </c>
      <c r="AG321" s="107" t="e">
        <f t="shared" si="554"/>
        <v>#DIV/0!</v>
      </c>
      <c r="AH321" s="107" t="e">
        <f t="shared" si="554"/>
        <v>#DIV/0!</v>
      </c>
      <c r="AI321" s="108" t="e">
        <f t="shared" si="554"/>
        <v>#DIV/0!</v>
      </c>
      <c r="AJ321" s="109" t="e">
        <f t="shared" si="554"/>
        <v>#DIV/0!</v>
      </c>
      <c r="AK321" s="110" t="e">
        <f t="shared" si="554"/>
        <v>#DIV/0!</v>
      </c>
      <c r="AL321" s="105"/>
    </row>
    <row r="322" spans="1:38" ht="15.6" hidden="1" thickBot="1">
      <c r="A322" s="91"/>
      <c r="B322" s="100"/>
      <c r="C322" s="111"/>
      <c r="D322" s="112" t="s">
        <v>103</v>
      </c>
      <c r="E322" s="113" t="e">
        <f t="shared" ref="E322:R322" si="555">E320/E318</f>
        <v>#DIV/0!</v>
      </c>
      <c r="F322" s="113" t="e">
        <f t="shared" si="555"/>
        <v>#DIV/0!</v>
      </c>
      <c r="G322" s="113" t="e">
        <f t="shared" si="555"/>
        <v>#DIV/0!</v>
      </c>
      <c r="H322" s="113" t="e">
        <f t="shared" si="555"/>
        <v>#DIV/0!</v>
      </c>
      <c r="I322" s="113" t="e">
        <f t="shared" si="555"/>
        <v>#DIV/0!</v>
      </c>
      <c r="J322" s="113" t="e">
        <f t="shared" si="555"/>
        <v>#DIV/0!</v>
      </c>
      <c r="K322" s="113" t="e">
        <f t="shared" si="555"/>
        <v>#DIV/0!</v>
      </c>
      <c r="L322" s="113" t="e">
        <f t="shared" si="555"/>
        <v>#DIV/0!</v>
      </c>
      <c r="M322" s="113" t="e">
        <f t="shared" si="555"/>
        <v>#DIV/0!</v>
      </c>
      <c r="N322" s="113" t="e">
        <f t="shared" si="555"/>
        <v>#DIV/0!</v>
      </c>
      <c r="O322" s="113" t="e">
        <f t="shared" si="555"/>
        <v>#DIV/0!</v>
      </c>
      <c r="P322" s="114" t="e">
        <f t="shared" si="555"/>
        <v>#DIV/0!</v>
      </c>
      <c r="Q322" s="115" t="e">
        <f t="shared" si="555"/>
        <v>#DIV/0!</v>
      </c>
      <c r="R322" s="116" t="e">
        <f t="shared" si="555"/>
        <v>#DIV/0!</v>
      </c>
      <c r="T322" s="91"/>
      <c r="U322" s="100"/>
      <c r="V322" s="111"/>
      <c r="W322" s="112" t="s">
        <v>103</v>
      </c>
      <c r="X322" s="113" t="e">
        <f t="shared" ref="X322:AK322" si="556">X320/X318</f>
        <v>#DIV/0!</v>
      </c>
      <c r="Y322" s="113" t="e">
        <f t="shared" si="556"/>
        <v>#DIV/0!</v>
      </c>
      <c r="Z322" s="113" t="e">
        <f t="shared" si="556"/>
        <v>#DIV/0!</v>
      </c>
      <c r="AA322" s="113" t="e">
        <f t="shared" si="556"/>
        <v>#DIV/0!</v>
      </c>
      <c r="AB322" s="113" t="e">
        <f t="shared" si="556"/>
        <v>#DIV/0!</v>
      </c>
      <c r="AC322" s="113" t="e">
        <f t="shared" si="556"/>
        <v>#DIV/0!</v>
      </c>
      <c r="AD322" s="113" t="e">
        <f t="shared" si="556"/>
        <v>#DIV/0!</v>
      </c>
      <c r="AE322" s="113" t="e">
        <f t="shared" si="556"/>
        <v>#DIV/0!</v>
      </c>
      <c r="AF322" s="113" t="e">
        <f t="shared" si="556"/>
        <v>#DIV/0!</v>
      </c>
      <c r="AG322" s="113" t="e">
        <f t="shared" si="556"/>
        <v>#DIV/0!</v>
      </c>
      <c r="AH322" s="113" t="e">
        <f t="shared" si="556"/>
        <v>#DIV/0!</v>
      </c>
      <c r="AI322" s="114" t="e">
        <f t="shared" si="556"/>
        <v>#DIV/0!</v>
      </c>
      <c r="AJ322" s="115" t="e">
        <f t="shared" si="556"/>
        <v>#DIV/0!</v>
      </c>
      <c r="AK322" s="116" t="e">
        <f t="shared" si="556"/>
        <v>#DIV/0!</v>
      </c>
    </row>
    <row r="323" spans="1:38" ht="15.6" hidden="1" thickBot="1">
      <c r="A323" s="91"/>
      <c r="B323" s="100"/>
      <c r="C323" s="86"/>
      <c r="D323" s="87">
        <v>2019</v>
      </c>
      <c r="E323" s="88"/>
      <c r="F323" s="121"/>
      <c r="G323" s="121"/>
      <c r="H323" s="121"/>
      <c r="I323" s="121"/>
      <c r="J323" s="121"/>
      <c r="K323" s="121"/>
      <c r="L323" s="121"/>
      <c r="M323" s="122"/>
      <c r="N323" s="122"/>
      <c r="O323" s="122"/>
      <c r="P323" s="123"/>
      <c r="Q323" s="89">
        <f t="shared" ref="Q323:Q325" si="557">SUM(E323:P323)</f>
        <v>0</v>
      </c>
      <c r="R323" s="90">
        <f t="shared" ref="R323" si="558">SUM(E323:M323)</f>
        <v>0</v>
      </c>
      <c r="T323" s="91"/>
      <c r="U323" s="100"/>
      <c r="V323" s="86">
        <f t="shared" ref="V323:V324" si="559">C323</f>
        <v>0</v>
      </c>
      <c r="W323" s="87">
        <v>2019</v>
      </c>
      <c r="X323" s="88"/>
      <c r="Y323" s="121"/>
      <c r="Z323" s="121"/>
      <c r="AA323" s="121"/>
      <c r="AB323" s="121"/>
      <c r="AC323" s="121"/>
      <c r="AD323" s="121"/>
      <c r="AE323" s="121"/>
      <c r="AF323" s="122"/>
      <c r="AG323" s="122"/>
      <c r="AH323" s="122"/>
      <c r="AI323" s="123"/>
      <c r="AJ323" s="89">
        <f t="shared" ref="AJ323:AJ325" si="560">SUM(X323:AI323)</f>
        <v>0</v>
      </c>
      <c r="AK323" s="90">
        <f t="shared" ref="AK323:AK325" si="561">SUM(X323:AF323)</f>
        <v>0</v>
      </c>
    </row>
    <row r="324" spans="1:38" ht="15.6" hidden="1" thickBot="1">
      <c r="A324" s="91"/>
      <c r="B324" s="100"/>
      <c r="C324" s="92"/>
      <c r="D324" s="93" t="s">
        <v>92</v>
      </c>
      <c r="E324" s="94"/>
      <c r="F324" s="97"/>
      <c r="G324" s="97"/>
      <c r="H324" s="97"/>
      <c r="I324" s="97"/>
      <c r="J324" s="97"/>
      <c r="K324" s="97"/>
      <c r="L324" s="97"/>
      <c r="M324" s="98"/>
      <c r="N324" s="98"/>
      <c r="O324" s="98"/>
      <c r="P324" s="99"/>
      <c r="Q324" s="95">
        <f t="shared" si="557"/>
        <v>0</v>
      </c>
      <c r="R324" s="96">
        <f t="shared" si="459"/>
        <v>0</v>
      </c>
      <c r="T324" s="91"/>
      <c r="U324" s="100"/>
      <c r="V324" s="92">
        <f t="shared" si="559"/>
        <v>0</v>
      </c>
      <c r="W324" s="93" t="s">
        <v>92</v>
      </c>
      <c r="X324" s="94"/>
      <c r="Y324" s="97"/>
      <c r="Z324" s="97"/>
      <c r="AA324" s="97"/>
      <c r="AB324" s="97"/>
      <c r="AC324" s="97"/>
      <c r="AD324" s="97"/>
      <c r="AE324" s="97"/>
      <c r="AF324" s="98"/>
      <c r="AG324" s="98"/>
      <c r="AH324" s="98"/>
      <c r="AI324" s="99"/>
      <c r="AJ324" s="95">
        <f t="shared" si="560"/>
        <v>0</v>
      </c>
      <c r="AK324" s="96">
        <f t="shared" si="561"/>
        <v>0</v>
      </c>
    </row>
    <row r="325" spans="1:38" ht="15.6" hidden="1" thickBot="1">
      <c r="A325" s="91"/>
      <c r="B325" s="100"/>
      <c r="C325" s="92"/>
      <c r="D325" s="101">
        <v>2020</v>
      </c>
      <c r="E325" s="102"/>
      <c r="F325" s="124"/>
      <c r="G325" s="124"/>
      <c r="H325" s="124"/>
      <c r="I325" s="124"/>
      <c r="J325" s="124"/>
      <c r="K325" s="124"/>
      <c r="L325" s="124"/>
      <c r="M325" s="125"/>
      <c r="N325" s="125"/>
      <c r="O325" s="125"/>
      <c r="P325" s="126"/>
      <c r="Q325" s="103">
        <f t="shared" si="557"/>
        <v>0</v>
      </c>
      <c r="R325" s="104">
        <f t="shared" si="459"/>
        <v>0</v>
      </c>
      <c r="S325" s="105"/>
      <c r="T325" s="91"/>
      <c r="U325" s="100"/>
      <c r="V325" s="92"/>
      <c r="W325" s="101">
        <v>2020</v>
      </c>
      <c r="X325" s="102"/>
      <c r="Y325" s="124"/>
      <c r="Z325" s="124"/>
      <c r="AA325" s="124"/>
      <c r="AB325" s="124"/>
      <c r="AC325" s="124"/>
      <c r="AD325" s="124"/>
      <c r="AE325" s="124"/>
      <c r="AF325" s="125"/>
      <c r="AG325" s="125"/>
      <c r="AH325" s="125"/>
      <c r="AI325" s="126"/>
      <c r="AJ325" s="103">
        <f t="shared" si="560"/>
        <v>0</v>
      </c>
      <c r="AK325" s="104">
        <f t="shared" si="561"/>
        <v>0</v>
      </c>
      <c r="AL325" s="105"/>
    </row>
    <row r="326" spans="1:38" ht="15.6" hidden="1" thickBot="1">
      <c r="A326" s="91"/>
      <c r="B326" s="100"/>
      <c r="C326" s="92"/>
      <c r="D326" s="101" t="s">
        <v>102</v>
      </c>
      <c r="E326" s="106" t="e">
        <f t="shared" ref="E326:R326" si="562">E325/E324</f>
        <v>#DIV/0!</v>
      </c>
      <c r="F326" s="106" t="e">
        <f t="shared" si="562"/>
        <v>#DIV/0!</v>
      </c>
      <c r="G326" s="106" t="e">
        <f t="shared" si="562"/>
        <v>#DIV/0!</v>
      </c>
      <c r="H326" s="106" t="e">
        <f t="shared" si="562"/>
        <v>#DIV/0!</v>
      </c>
      <c r="I326" s="106" t="e">
        <f t="shared" si="562"/>
        <v>#DIV/0!</v>
      </c>
      <c r="J326" s="106" t="e">
        <f t="shared" si="562"/>
        <v>#DIV/0!</v>
      </c>
      <c r="K326" s="106" t="e">
        <f t="shared" si="562"/>
        <v>#DIV/0!</v>
      </c>
      <c r="L326" s="106" t="e">
        <f t="shared" si="562"/>
        <v>#DIV/0!</v>
      </c>
      <c r="M326" s="107" t="e">
        <f t="shared" si="562"/>
        <v>#DIV/0!</v>
      </c>
      <c r="N326" s="107" t="e">
        <f t="shared" si="562"/>
        <v>#DIV/0!</v>
      </c>
      <c r="O326" s="107" t="e">
        <f t="shared" si="562"/>
        <v>#DIV/0!</v>
      </c>
      <c r="P326" s="108" t="e">
        <f t="shared" si="562"/>
        <v>#DIV/0!</v>
      </c>
      <c r="Q326" s="109" t="e">
        <f t="shared" si="562"/>
        <v>#DIV/0!</v>
      </c>
      <c r="R326" s="110" t="e">
        <f t="shared" si="562"/>
        <v>#DIV/0!</v>
      </c>
      <c r="S326" s="105"/>
      <c r="T326" s="91"/>
      <c r="U326" s="100"/>
      <c r="V326" s="92"/>
      <c r="W326" s="101" t="s">
        <v>102</v>
      </c>
      <c r="X326" s="106" t="e">
        <f t="shared" ref="X326:AK326" si="563">X325/X324</f>
        <v>#DIV/0!</v>
      </c>
      <c r="Y326" s="106" t="e">
        <f t="shared" si="563"/>
        <v>#DIV/0!</v>
      </c>
      <c r="Z326" s="106" t="e">
        <f t="shared" si="563"/>
        <v>#DIV/0!</v>
      </c>
      <c r="AA326" s="106" t="e">
        <f t="shared" si="563"/>
        <v>#DIV/0!</v>
      </c>
      <c r="AB326" s="106" t="e">
        <f t="shared" si="563"/>
        <v>#DIV/0!</v>
      </c>
      <c r="AC326" s="106" t="e">
        <f t="shared" si="563"/>
        <v>#DIV/0!</v>
      </c>
      <c r="AD326" s="106" t="e">
        <f t="shared" si="563"/>
        <v>#DIV/0!</v>
      </c>
      <c r="AE326" s="106" t="e">
        <f t="shared" si="563"/>
        <v>#DIV/0!</v>
      </c>
      <c r="AF326" s="107" t="e">
        <f t="shared" si="563"/>
        <v>#DIV/0!</v>
      </c>
      <c r="AG326" s="107" t="e">
        <f t="shared" si="563"/>
        <v>#DIV/0!</v>
      </c>
      <c r="AH326" s="107" t="e">
        <f t="shared" si="563"/>
        <v>#DIV/0!</v>
      </c>
      <c r="AI326" s="108" t="e">
        <f t="shared" si="563"/>
        <v>#DIV/0!</v>
      </c>
      <c r="AJ326" s="109" t="e">
        <f t="shared" si="563"/>
        <v>#DIV/0!</v>
      </c>
      <c r="AK326" s="110" t="e">
        <f t="shared" si="563"/>
        <v>#DIV/0!</v>
      </c>
      <c r="AL326" s="105"/>
    </row>
    <row r="327" spans="1:38" ht="15.6" hidden="1" thickBot="1">
      <c r="A327" s="91"/>
      <c r="B327" s="100"/>
      <c r="C327" s="111"/>
      <c r="D327" s="112" t="s">
        <v>103</v>
      </c>
      <c r="E327" s="113" t="e">
        <f t="shared" ref="E327:R327" si="564">E325/E323</f>
        <v>#DIV/0!</v>
      </c>
      <c r="F327" s="113" t="e">
        <f t="shared" si="564"/>
        <v>#DIV/0!</v>
      </c>
      <c r="G327" s="113" t="e">
        <f t="shared" si="564"/>
        <v>#DIV/0!</v>
      </c>
      <c r="H327" s="113" t="e">
        <f t="shared" si="564"/>
        <v>#DIV/0!</v>
      </c>
      <c r="I327" s="113" t="e">
        <f t="shared" si="564"/>
        <v>#DIV/0!</v>
      </c>
      <c r="J327" s="113" t="e">
        <f t="shared" si="564"/>
        <v>#DIV/0!</v>
      </c>
      <c r="K327" s="113" t="e">
        <f t="shared" si="564"/>
        <v>#DIV/0!</v>
      </c>
      <c r="L327" s="113" t="e">
        <f t="shared" si="564"/>
        <v>#DIV/0!</v>
      </c>
      <c r="M327" s="113" t="e">
        <f t="shared" si="564"/>
        <v>#DIV/0!</v>
      </c>
      <c r="N327" s="113" t="e">
        <f t="shared" si="564"/>
        <v>#DIV/0!</v>
      </c>
      <c r="O327" s="113" t="e">
        <f t="shared" si="564"/>
        <v>#DIV/0!</v>
      </c>
      <c r="P327" s="114" t="e">
        <f t="shared" si="564"/>
        <v>#DIV/0!</v>
      </c>
      <c r="Q327" s="115" t="e">
        <f t="shared" si="564"/>
        <v>#DIV/0!</v>
      </c>
      <c r="R327" s="116" t="e">
        <f t="shared" si="564"/>
        <v>#DIV/0!</v>
      </c>
      <c r="T327" s="91"/>
      <c r="U327" s="100"/>
      <c r="V327" s="111"/>
      <c r="W327" s="112" t="s">
        <v>103</v>
      </c>
      <c r="X327" s="113" t="e">
        <f t="shared" ref="X327:AK327" si="565">X325/X323</f>
        <v>#DIV/0!</v>
      </c>
      <c r="Y327" s="113" t="e">
        <f t="shared" si="565"/>
        <v>#DIV/0!</v>
      </c>
      <c r="Z327" s="113" t="e">
        <f t="shared" si="565"/>
        <v>#DIV/0!</v>
      </c>
      <c r="AA327" s="113" t="e">
        <f t="shared" si="565"/>
        <v>#DIV/0!</v>
      </c>
      <c r="AB327" s="113" t="e">
        <f t="shared" si="565"/>
        <v>#DIV/0!</v>
      </c>
      <c r="AC327" s="113" t="e">
        <f t="shared" si="565"/>
        <v>#DIV/0!</v>
      </c>
      <c r="AD327" s="113" t="e">
        <f t="shared" si="565"/>
        <v>#DIV/0!</v>
      </c>
      <c r="AE327" s="113" t="e">
        <f t="shared" si="565"/>
        <v>#DIV/0!</v>
      </c>
      <c r="AF327" s="113" t="e">
        <f t="shared" si="565"/>
        <v>#DIV/0!</v>
      </c>
      <c r="AG327" s="113" t="e">
        <f t="shared" si="565"/>
        <v>#DIV/0!</v>
      </c>
      <c r="AH327" s="113" t="e">
        <f t="shared" si="565"/>
        <v>#DIV/0!</v>
      </c>
      <c r="AI327" s="114" t="e">
        <f t="shared" si="565"/>
        <v>#DIV/0!</v>
      </c>
      <c r="AJ327" s="115" t="e">
        <f t="shared" si="565"/>
        <v>#DIV/0!</v>
      </c>
      <c r="AK327" s="116" t="e">
        <f t="shared" si="565"/>
        <v>#DIV/0!</v>
      </c>
    </row>
    <row r="328" spans="1:38" ht="15.6" hidden="1" thickBot="1">
      <c r="A328" s="91"/>
      <c r="B328" s="100"/>
      <c r="C328" s="86"/>
      <c r="D328" s="87">
        <v>2019</v>
      </c>
      <c r="E328" s="88"/>
      <c r="F328" s="121"/>
      <c r="G328" s="121"/>
      <c r="H328" s="121"/>
      <c r="I328" s="121"/>
      <c r="J328" s="121"/>
      <c r="K328" s="121"/>
      <c r="L328" s="121"/>
      <c r="M328" s="122"/>
      <c r="N328" s="122"/>
      <c r="O328" s="122"/>
      <c r="P328" s="123"/>
      <c r="Q328" s="89">
        <f t="shared" ref="Q328:Q330" si="566">SUM(E328:P328)</f>
        <v>0</v>
      </c>
      <c r="R328" s="90">
        <f t="shared" ref="R328" si="567">SUM(E328:M328)</f>
        <v>0</v>
      </c>
      <c r="T328" s="91"/>
      <c r="U328" s="100"/>
      <c r="V328" s="86">
        <f t="shared" ref="V328:V329" si="568">C328</f>
        <v>0</v>
      </c>
      <c r="W328" s="87">
        <v>2019</v>
      </c>
      <c r="X328" s="88"/>
      <c r="Y328" s="121"/>
      <c r="Z328" s="121"/>
      <c r="AA328" s="121"/>
      <c r="AB328" s="121"/>
      <c r="AC328" s="121"/>
      <c r="AD328" s="121"/>
      <c r="AE328" s="121"/>
      <c r="AF328" s="122"/>
      <c r="AG328" s="122"/>
      <c r="AH328" s="122"/>
      <c r="AI328" s="123"/>
      <c r="AJ328" s="89">
        <f t="shared" ref="AJ328:AJ330" si="569">SUM(X328:AI328)</f>
        <v>0</v>
      </c>
      <c r="AK328" s="90">
        <f t="shared" ref="AK328:AK330" si="570">SUM(X328:AF328)</f>
        <v>0</v>
      </c>
    </row>
    <row r="329" spans="1:38" ht="15.6" hidden="1" thickBot="1">
      <c r="A329" s="91"/>
      <c r="B329" s="100"/>
      <c r="C329" s="92"/>
      <c r="D329" s="93" t="s">
        <v>92</v>
      </c>
      <c r="E329" s="94"/>
      <c r="F329" s="97"/>
      <c r="G329" s="97"/>
      <c r="H329" s="97"/>
      <c r="I329" s="97"/>
      <c r="J329" s="97"/>
      <c r="K329" s="97"/>
      <c r="L329" s="97"/>
      <c r="M329" s="98"/>
      <c r="N329" s="98"/>
      <c r="O329" s="98"/>
      <c r="P329" s="99"/>
      <c r="Q329" s="95">
        <f t="shared" si="566"/>
        <v>0</v>
      </c>
      <c r="R329" s="96">
        <f t="shared" si="459"/>
        <v>0</v>
      </c>
      <c r="T329" s="91"/>
      <c r="U329" s="100"/>
      <c r="V329" s="92">
        <f t="shared" si="568"/>
        <v>0</v>
      </c>
      <c r="W329" s="93" t="s">
        <v>92</v>
      </c>
      <c r="X329" s="94"/>
      <c r="Y329" s="97"/>
      <c r="Z329" s="97"/>
      <c r="AA329" s="97"/>
      <c r="AB329" s="97"/>
      <c r="AC329" s="97"/>
      <c r="AD329" s="97"/>
      <c r="AE329" s="97"/>
      <c r="AF329" s="98"/>
      <c r="AG329" s="98"/>
      <c r="AH329" s="98"/>
      <c r="AI329" s="99"/>
      <c r="AJ329" s="95">
        <f t="shared" si="569"/>
        <v>0</v>
      </c>
      <c r="AK329" s="96">
        <f t="shared" si="570"/>
        <v>0</v>
      </c>
    </row>
    <row r="330" spans="1:38" ht="15.6" hidden="1" thickBot="1">
      <c r="A330" s="91"/>
      <c r="B330" s="100"/>
      <c r="C330" s="92"/>
      <c r="D330" s="101">
        <v>2020</v>
      </c>
      <c r="E330" s="102"/>
      <c r="F330" s="124"/>
      <c r="G330" s="124"/>
      <c r="H330" s="124"/>
      <c r="I330" s="124"/>
      <c r="J330" s="124"/>
      <c r="K330" s="124"/>
      <c r="L330" s="124"/>
      <c r="M330" s="125"/>
      <c r="N330" s="125"/>
      <c r="O330" s="125"/>
      <c r="P330" s="126"/>
      <c r="Q330" s="103">
        <f t="shared" si="566"/>
        <v>0</v>
      </c>
      <c r="R330" s="104">
        <f t="shared" si="459"/>
        <v>0</v>
      </c>
      <c r="S330" s="105"/>
      <c r="T330" s="91"/>
      <c r="U330" s="100"/>
      <c r="V330" s="92"/>
      <c r="W330" s="101">
        <v>2020</v>
      </c>
      <c r="X330" s="102"/>
      <c r="Y330" s="124"/>
      <c r="Z330" s="124"/>
      <c r="AA330" s="124"/>
      <c r="AB330" s="124"/>
      <c r="AC330" s="124"/>
      <c r="AD330" s="124"/>
      <c r="AE330" s="124"/>
      <c r="AF330" s="125"/>
      <c r="AG330" s="125"/>
      <c r="AH330" s="125"/>
      <c r="AI330" s="126"/>
      <c r="AJ330" s="103">
        <f t="shared" si="569"/>
        <v>0</v>
      </c>
      <c r="AK330" s="104">
        <f t="shared" si="570"/>
        <v>0</v>
      </c>
      <c r="AL330" s="105"/>
    </row>
    <row r="331" spans="1:38" ht="15.6" hidden="1" thickBot="1">
      <c r="A331" s="91"/>
      <c r="B331" s="100"/>
      <c r="C331" s="92"/>
      <c r="D331" s="101" t="s">
        <v>102</v>
      </c>
      <c r="E331" s="106" t="e">
        <f t="shared" ref="E331:R331" si="571">E330/E329</f>
        <v>#DIV/0!</v>
      </c>
      <c r="F331" s="106" t="e">
        <f t="shared" si="571"/>
        <v>#DIV/0!</v>
      </c>
      <c r="G331" s="106" t="e">
        <f t="shared" si="571"/>
        <v>#DIV/0!</v>
      </c>
      <c r="H331" s="106" t="e">
        <f t="shared" si="571"/>
        <v>#DIV/0!</v>
      </c>
      <c r="I331" s="106" t="e">
        <f t="shared" si="571"/>
        <v>#DIV/0!</v>
      </c>
      <c r="J331" s="106" t="e">
        <f t="shared" si="571"/>
        <v>#DIV/0!</v>
      </c>
      <c r="K331" s="106" t="e">
        <f t="shared" si="571"/>
        <v>#DIV/0!</v>
      </c>
      <c r="L331" s="106" t="e">
        <f t="shared" si="571"/>
        <v>#DIV/0!</v>
      </c>
      <c r="M331" s="107" t="e">
        <f t="shared" si="571"/>
        <v>#DIV/0!</v>
      </c>
      <c r="N331" s="107" t="e">
        <f t="shared" si="571"/>
        <v>#DIV/0!</v>
      </c>
      <c r="O331" s="107" t="e">
        <f t="shared" si="571"/>
        <v>#DIV/0!</v>
      </c>
      <c r="P331" s="108" t="e">
        <f t="shared" si="571"/>
        <v>#DIV/0!</v>
      </c>
      <c r="Q331" s="109" t="e">
        <f t="shared" si="571"/>
        <v>#DIV/0!</v>
      </c>
      <c r="R331" s="110" t="e">
        <f t="shared" si="571"/>
        <v>#DIV/0!</v>
      </c>
      <c r="S331" s="105"/>
      <c r="T331" s="91"/>
      <c r="U331" s="100"/>
      <c r="V331" s="92"/>
      <c r="W331" s="101" t="s">
        <v>102</v>
      </c>
      <c r="X331" s="106" t="e">
        <f t="shared" ref="X331:AK331" si="572">X330/X329</f>
        <v>#DIV/0!</v>
      </c>
      <c r="Y331" s="106" t="e">
        <f t="shared" si="572"/>
        <v>#DIV/0!</v>
      </c>
      <c r="Z331" s="106" t="e">
        <f t="shared" si="572"/>
        <v>#DIV/0!</v>
      </c>
      <c r="AA331" s="106" t="e">
        <f t="shared" si="572"/>
        <v>#DIV/0!</v>
      </c>
      <c r="AB331" s="106" t="e">
        <f t="shared" si="572"/>
        <v>#DIV/0!</v>
      </c>
      <c r="AC331" s="106" t="e">
        <f t="shared" si="572"/>
        <v>#DIV/0!</v>
      </c>
      <c r="AD331" s="106" t="e">
        <f t="shared" si="572"/>
        <v>#DIV/0!</v>
      </c>
      <c r="AE331" s="106" t="e">
        <f t="shared" si="572"/>
        <v>#DIV/0!</v>
      </c>
      <c r="AF331" s="107" t="e">
        <f t="shared" si="572"/>
        <v>#DIV/0!</v>
      </c>
      <c r="AG331" s="107" t="e">
        <f t="shared" si="572"/>
        <v>#DIV/0!</v>
      </c>
      <c r="AH331" s="107" t="e">
        <f t="shared" si="572"/>
        <v>#DIV/0!</v>
      </c>
      <c r="AI331" s="108" t="e">
        <f t="shared" si="572"/>
        <v>#DIV/0!</v>
      </c>
      <c r="AJ331" s="109" t="e">
        <f t="shared" si="572"/>
        <v>#DIV/0!</v>
      </c>
      <c r="AK331" s="110" t="e">
        <f t="shared" si="572"/>
        <v>#DIV/0!</v>
      </c>
      <c r="AL331" s="105"/>
    </row>
    <row r="332" spans="1:38" ht="15.6" hidden="1" thickBot="1">
      <c r="A332" s="91"/>
      <c r="B332" s="100"/>
      <c r="C332" s="111"/>
      <c r="D332" s="112" t="s">
        <v>103</v>
      </c>
      <c r="E332" s="113" t="e">
        <f t="shared" ref="E332:R332" si="573">E330/E328</f>
        <v>#DIV/0!</v>
      </c>
      <c r="F332" s="113" t="e">
        <f t="shared" si="573"/>
        <v>#DIV/0!</v>
      </c>
      <c r="G332" s="113" t="e">
        <f t="shared" si="573"/>
        <v>#DIV/0!</v>
      </c>
      <c r="H332" s="113" t="e">
        <f t="shared" si="573"/>
        <v>#DIV/0!</v>
      </c>
      <c r="I332" s="113" t="e">
        <f t="shared" si="573"/>
        <v>#DIV/0!</v>
      </c>
      <c r="J332" s="113" t="e">
        <f t="shared" si="573"/>
        <v>#DIV/0!</v>
      </c>
      <c r="K332" s="113" t="e">
        <f t="shared" si="573"/>
        <v>#DIV/0!</v>
      </c>
      <c r="L332" s="113" t="e">
        <f t="shared" si="573"/>
        <v>#DIV/0!</v>
      </c>
      <c r="M332" s="113" t="e">
        <f t="shared" si="573"/>
        <v>#DIV/0!</v>
      </c>
      <c r="N332" s="113" t="e">
        <f t="shared" si="573"/>
        <v>#DIV/0!</v>
      </c>
      <c r="O332" s="113" t="e">
        <f t="shared" si="573"/>
        <v>#DIV/0!</v>
      </c>
      <c r="P332" s="114" t="e">
        <f t="shared" si="573"/>
        <v>#DIV/0!</v>
      </c>
      <c r="Q332" s="115" t="e">
        <f t="shared" si="573"/>
        <v>#DIV/0!</v>
      </c>
      <c r="R332" s="116" t="e">
        <f t="shared" si="573"/>
        <v>#DIV/0!</v>
      </c>
      <c r="T332" s="91"/>
      <c r="U332" s="100"/>
      <c r="V332" s="111"/>
      <c r="W332" s="112" t="s">
        <v>103</v>
      </c>
      <c r="X332" s="113" t="e">
        <f t="shared" ref="X332:AK332" si="574">X330/X328</f>
        <v>#DIV/0!</v>
      </c>
      <c r="Y332" s="113" t="e">
        <f t="shared" si="574"/>
        <v>#DIV/0!</v>
      </c>
      <c r="Z332" s="113" t="e">
        <f t="shared" si="574"/>
        <v>#DIV/0!</v>
      </c>
      <c r="AA332" s="113" t="e">
        <f t="shared" si="574"/>
        <v>#DIV/0!</v>
      </c>
      <c r="AB332" s="113" t="e">
        <f t="shared" si="574"/>
        <v>#DIV/0!</v>
      </c>
      <c r="AC332" s="113" t="e">
        <f t="shared" si="574"/>
        <v>#DIV/0!</v>
      </c>
      <c r="AD332" s="113" t="e">
        <f t="shared" si="574"/>
        <v>#DIV/0!</v>
      </c>
      <c r="AE332" s="113" t="e">
        <f t="shared" si="574"/>
        <v>#DIV/0!</v>
      </c>
      <c r="AF332" s="113" t="e">
        <f t="shared" si="574"/>
        <v>#DIV/0!</v>
      </c>
      <c r="AG332" s="113" t="e">
        <f t="shared" si="574"/>
        <v>#DIV/0!</v>
      </c>
      <c r="AH332" s="113" t="e">
        <f t="shared" si="574"/>
        <v>#DIV/0!</v>
      </c>
      <c r="AI332" s="114" t="e">
        <f t="shared" si="574"/>
        <v>#DIV/0!</v>
      </c>
      <c r="AJ332" s="115" t="e">
        <f t="shared" si="574"/>
        <v>#DIV/0!</v>
      </c>
      <c r="AK332" s="116" t="e">
        <f t="shared" si="574"/>
        <v>#DIV/0!</v>
      </c>
    </row>
    <row r="333" spans="1:38" ht="15.6" hidden="1" thickBot="1">
      <c r="A333" s="91"/>
      <c r="B333" s="100"/>
      <c r="C333" s="86"/>
      <c r="D333" s="87">
        <v>2019</v>
      </c>
      <c r="E333" s="88"/>
      <c r="F333" s="121"/>
      <c r="G333" s="121"/>
      <c r="H333" s="121"/>
      <c r="I333" s="121"/>
      <c r="J333" s="121"/>
      <c r="K333" s="121"/>
      <c r="L333" s="121"/>
      <c r="M333" s="122"/>
      <c r="N333" s="122"/>
      <c r="O333" s="122"/>
      <c r="P333" s="123"/>
      <c r="Q333" s="89">
        <f t="shared" ref="Q333:Q335" si="575">SUM(E333:P333)</f>
        <v>0</v>
      </c>
      <c r="R333" s="90">
        <f t="shared" ref="R333:R395" si="576">SUM(E333:M333)</f>
        <v>0</v>
      </c>
      <c r="T333" s="91"/>
      <c r="U333" s="100"/>
      <c r="V333" s="86">
        <f t="shared" ref="V333:V334" si="577">C333</f>
        <v>0</v>
      </c>
      <c r="W333" s="87">
        <v>2019</v>
      </c>
      <c r="X333" s="88"/>
      <c r="Y333" s="121"/>
      <c r="Z333" s="121"/>
      <c r="AA333" s="121"/>
      <c r="AB333" s="121"/>
      <c r="AC333" s="121"/>
      <c r="AD333" s="121"/>
      <c r="AE333" s="121"/>
      <c r="AF333" s="122"/>
      <c r="AG333" s="122"/>
      <c r="AH333" s="122"/>
      <c r="AI333" s="123"/>
      <c r="AJ333" s="89">
        <f t="shared" ref="AJ333:AJ335" si="578">SUM(X333:AI333)</f>
        <v>0</v>
      </c>
      <c r="AK333" s="90">
        <f t="shared" ref="AK333:AK335" si="579">SUM(X333:AF333)</f>
        <v>0</v>
      </c>
    </row>
    <row r="334" spans="1:38" ht="15.6" hidden="1" thickBot="1">
      <c r="A334" s="91"/>
      <c r="B334" s="100"/>
      <c r="C334" s="92"/>
      <c r="D334" s="93" t="s">
        <v>92</v>
      </c>
      <c r="E334" s="94"/>
      <c r="F334" s="97"/>
      <c r="G334" s="97"/>
      <c r="H334" s="97"/>
      <c r="I334" s="97"/>
      <c r="J334" s="97"/>
      <c r="K334" s="97"/>
      <c r="L334" s="97"/>
      <c r="M334" s="98"/>
      <c r="N334" s="98"/>
      <c r="O334" s="98"/>
      <c r="P334" s="99"/>
      <c r="Q334" s="95">
        <f t="shared" si="575"/>
        <v>0</v>
      </c>
      <c r="R334" s="96">
        <f t="shared" si="576"/>
        <v>0</v>
      </c>
      <c r="T334" s="91"/>
      <c r="U334" s="100"/>
      <c r="V334" s="92">
        <f t="shared" si="577"/>
        <v>0</v>
      </c>
      <c r="W334" s="93" t="s">
        <v>92</v>
      </c>
      <c r="X334" s="94"/>
      <c r="Y334" s="97"/>
      <c r="Z334" s="97"/>
      <c r="AA334" s="97"/>
      <c r="AB334" s="97"/>
      <c r="AC334" s="97"/>
      <c r="AD334" s="97"/>
      <c r="AE334" s="97"/>
      <c r="AF334" s="98"/>
      <c r="AG334" s="98"/>
      <c r="AH334" s="98"/>
      <c r="AI334" s="99"/>
      <c r="AJ334" s="95">
        <f t="shared" si="578"/>
        <v>0</v>
      </c>
      <c r="AK334" s="96">
        <f t="shared" si="579"/>
        <v>0</v>
      </c>
    </row>
    <row r="335" spans="1:38" ht="15.6" hidden="1" thickBot="1">
      <c r="A335" s="91"/>
      <c r="B335" s="100"/>
      <c r="C335" s="92"/>
      <c r="D335" s="101">
        <v>2020</v>
      </c>
      <c r="E335" s="102"/>
      <c r="F335" s="124"/>
      <c r="G335" s="124"/>
      <c r="H335" s="124"/>
      <c r="I335" s="124"/>
      <c r="J335" s="124"/>
      <c r="K335" s="124"/>
      <c r="L335" s="124"/>
      <c r="M335" s="125"/>
      <c r="N335" s="125"/>
      <c r="O335" s="125"/>
      <c r="P335" s="126"/>
      <c r="Q335" s="103">
        <f t="shared" si="575"/>
        <v>0</v>
      </c>
      <c r="R335" s="104">
        <f t="shared" si="576"/>
        <v>0</v>
      </c>
      <c r="S335" s="105"/>
      <c r="T335" s="91"/>
      <c r="U335" s="100"/>
      <c r="V335" s="92"/>
      <c r="W335" s="101">
        <v>2020</v>
      </c>
      <c r="X335" s="102"/>
      <c r="Y335" s="124"/>
      <c r="Z335" s="124"/>
      <c r="AA335" s="124"/>
      <c r="AB335" s="124"/>
      <c r="AC335" s="124"/>
      <c r="AD335" s="124"/>
      <c r="AE335" s="124"/>
      <c r="AF335" s="125"/>
      <c r="AG335" s="125"/>
      <c r="AH335" s="125"/>
      <c r="AI335" s="126"/>
      <c r="AJ335" s="103">
        <f t="shared" si="578"/>
        <v>0</v>
      </c>
      <c r="AK335" s="104">
        <f t="shared" si="579"/>
        <v>0</v>
      </c>
      <c r="AL335" s="105"/>
    </row>
    <row r="336" spans="1:38" ht="15.6" hidden="1" thickBot="1">
      <c r="A336" s="91"/>
      <c r="B336" s="100"/>
      <c r="C336" s="92"/>
      <c r="D336" s="101" t="s">
        <v>102</v>
      </c>
      <c r="E336" s="106" t="e">
        <f t="shared" ref="E336:R336" si="580">E335/E334</f>
        <v>#DIV/0!</v>
      </c>
      <c r="F336" s="106" t="e">
        <f t="shared" si="580"/>
        <v>#DIV/0!</v>
      </c>
      <c r="G336" s="106" t="e">
        <f t="shared" si="580"/>
        <v>#DIV/0!</v>
      </c>
      <c r="H336" s="106" t="e">
        <f t="shared" si="580"/>
        <v>#DIV/0!</v>
      </c>
      <c r="I336" s="106" t="e">
        <f t="shared" si="580"/>
        <v>#DIV/0!</v>
      </c>
      <c r="J336" s="106" t="e">
        <f t="shared" si="580"/>
        <v>#DIV/0!</v>
      </c>
      <c r="K336" s="106" t="e">
        <f t="shared" si="580"/>
        <v>#DIV/0!</v>
      </c>
      <c r="L336" s="106" t="e">
        <f t="shared" si="580"/>
        <v>#DIV/0!</v>
      </c>
      <c r="M336" s="107" t="e">
        <f t="shared" si="580"/>
        <v>#DIV/0!</v>
      </c>
      <c r="N336" s="107" t="e">
        <f t="shared" si="580"/>
        <v>#DIV/0!</v>
      </c>
      <c r="O336" s="107" t="e">
        <f t="shared" si="580"/>
        <v>#DIV/0!</v>
      </c>
      <c r="P336" s="108" t="e">
        <f t="shared" si="580"/>
        <v>#DIV/0!</v>
      </c>
      <c r="Q336" s="109" t="e">
        <f t="shared" si="580"/>
        <v>#DIV/0!</v>
      </c>
      <c r="R336" s="110" t="e">
        <f t="shared" si="580"/>
        <v>#DIV/0!</v>
      </c>
      <c r="S336" s="105"/>
      <c r="T336" s="91"/>
      <c r="U336" s="100"/>
      <c r="V336" s="92"/>
      <c r="W336" s="101" t="s">
        <v>102</v>
      </c>
      <c r="X336" s="106" t="e">
        <f t="shared" ref="X336:AK336" si="581">X335/X334</f>
        <v>#DIV/0!</v>
      </c>
      <c r="Y336" s="106" t="e">
        <f t="shared" si="581"/>
        <v>#DIV/0!</v>
      </c>
      <c r="Z336" s="106" t="e">
        <f t="shared" si="581"/>
        <v>#DIV/0!</v>
      </c>
      <c r="AA336" s="106" t="e">
        <f t="shared" si="581"/>
        <v>#DIV/0!</v>
      </c>
      <c r="AB336" s="106" t="e">
        <f t="shared" si="581"/>
        <v>#DIV/0!</v>
      </c>
      <c r="AC336" s="106" t="e">
        <f t="shared" si="581"/>
        <v>#DIV/0!</v>
      </c>
      <c r="AD336" s="106" t="e">
        <f t="shared" si="581"/>
        <v>#DIV/0!</v>
      </c>
      <c r="AE336" s="106" t="e">
        <f t="shared" si="581"/>
        <v>#DIV/0!</v>
      </c>
      <c r="AF336" s="107" t="e">
        <f t="shared" si="581"/>
        <v>#DIV/0!</v>
      </c>
      <c r="AG336" s="107" t="e">
        <f t="shared" si="581"/>
        <v>#DIV/0!</v>
      </c>
      <c r="AH336" s="107" t="e">
        <f t="shared" si="581"/>
        <v>#DIV/0!</v>
      </c>
      <c r="AI336" s="108" t="e">
        <f t="shared" si="581"/>
        <v>#DIV/0!</v>
      </c>
      <c r="AJ336" s="109" t="e">
        <f t="shared" si="581"/>
        <v>#DIV/0!</v>
      </c>
      <c r="AK336" s="110" t="e">
        <f t="shared" si="581"/>
        <v>#DIV/0!</v>
      </c>
      <c r="AL336" s="105"/>
    </row>
    <row r="337" spans="1:38" ht="15.6" hidden="1" thickBot="1">
      <c r="A337" s="91"/>
      <c r="B337" s="100"/>
      <c r="C337" s="111"/>
      <c r="D337" s="112" t="s">
        <v>103</v>
      </c>
      <c r="E337" s="113" t="e">
        <f t="shared" ref="E337:R337" si="582">E335/E333</f>
        <v>#DIV/0!</v>
      </c>
      <c r="F337" s="113" t="e">
        <f t="shared" si="582"/>
        <v>#DIV/0!</v>
      </c>
      <c r="G337" s="113" t="e">
        <f t="shared" si="582"/>
        <v>#DIV/0!</v>
      </c>
      <c r="H337" s="113" t="e">
        <f t="shared" si="582"/>
        <v>#DIV/0!</v>
      </c>
      <c r="I337" s="113" t="e">
        <f t="shared" si="582"/>
        <v>#DIV/0!</v>
      </c>
      <c r="J337" s="113" t="e">
        <f t="shared" si="582"/>
        <v>#DIV/0!</v>
      </c>
      <c r="K337" s="113" t="e">
        <f t="shared" si="582"/>
        <v>#DIV/0!</v>
      </c>
      <c r="L337" s="113" t="e">
        <f t="shared" si="582"/>
        <v>#DIV/0!</v>
      </c>
      <c r="M337" s="113" t="e">
        <f t="shared" si="582"/>
        <v>#DIV/0!</v>
      </c>
      <c r="N337" s="113" t="e">
        <f t="shared" si="582"/>
        <v>#DIV/0!</v>
      </c>
      <c r="O337" s="113" t="e">
        <f t="shared" si="582"/>
        <v>#DIV/0!</v>
      </c>
      <c r="P337" s="114" t="e">
        <f t="shared" si="582"/>
        <v>#DIV/0!</v>
      </c>
      <c r="Q337" s="115" t="e">
        <f t="shared" si="582"/>
        <v>#DIV/0!</v>
      </c>
      <c r="R337" s="116" t="e">
        <f t="shared" si="582"/>
        <v>#DIV/0!</v>
      </c>
      <c r="T337" s="91"/>
      <c r="U337" s="100"/>
      <c r="V337" s="111"/>
      <c r="W337" s="112" t="s">
        <v>103</v>
      </c>
      <c r="X337" s="113" t="e">
        <f t="shared" ref="X337:AK337" si="583">X335/X333</f>
        <v>#DIV/0!</v>
      </c>
      <c r="Y337" s="113" t="e">
        <f t="shared" si="583"/>
        <v>#DIV/0!</v>
      </c>
      <c r="Z337" s="113" t="e">
        <f t="shared" si="583"/>
        <v>#DIV/0!</v>
      </c>
      <c r="AA337" s="113" t="e">
        <f t="shared" si="583"/>
        <v>#DIV/0!</v>
      </c>
      <c r="AB337" s="113" t="e">
        <f t="shared" si="583"/>
        <v>#DIV/0!</v>
      </c>
      <c r="AC337" s="113" t="e">
        <f t="shared" si="583"/>
        <v>#DIV/0!</v>
      </c>
      <c r="AD337" s="113" t="e">
        <f t="shared" si="583"/>
        <v>#DIV/0!</v>
      </c>
      <c r="AE337" s="113" t="e">
        <f t="shared" si="583"/>
        <v>#DIV/0!</v>
      </c>
      <c r="AF337" s="113" t="e">
        <f t="shared" si="583"/>
        <v>#DIV/0!</v>
      </c>
      <c r="AG337" s="113" t="e">
        <f t="shared" si="583"/>
        <v>#DIV/0!</v>
      </c>
      <c r="AH337" s="113" t="e">
        <f t="shared" si="583"/>
        <v>#DIV/0!</v>
      </c>
      <c r="AI337" s="114" t="e">
        <f t="shared" si="583"/>
        <v>#DIV/0!</v>
      </c>
      <c r="AJ337" s="115" t="e">
        <f t="shared" si="583"/>
        <v>#DIV/0!</v>
      </c>
      <c r="AK337" s="116" t="e">
        <f t="shared" si="583"/>
        <v>#DIV/0!</v>
      </c>
    </row>
    <row r="338" spans="1:38" ht="15.6" hidden="1" thickBot="1">
      <c r="A338" s="91"/>
      <c r="B338" s="100"/>
      <c r="C338" s="86"/>
      <c r="D338" s="87">
        <v>2019</v>
      </c>
      <c r="E338" s="88"/>
      <c r="F338" s="121"/>
      <c r="G338" s="121"/>
      <c r="H338" s="121"/>
      <c r="I338" s="121"/>
      <c r="J338" s="121"/>
      <c r="K338" s="121"/>
      <c r="L338" s="121"/>
      <c r="M338" s="122"/>
      <c r="N338" s="122"/>
      <c r="O338" s="122"/>
      <c r="P338" s="123"/>
      <c r="Q338" s="89">
        <f t="shared" ref="Q338:Q340" si="584">SUM(E338:P338)</f>
        <v>0</v>
      </c>
      <c r="R338" s="90">
        <f t="shared" ref="R338" si="585">SUM(E338:M338)</f>
        <v>0</v>
      </c>
      <c r="T338" s="91"/>
      <c r="U338" s="100"/>
      <c r="V338" s="86">
        <f t="shared" ref="V338:V339" si="586">C338</f>
        <v>0</v>
      </c>
      <c r="W338" s="87">
        <v>2019</v>
      </c>
      <c r="X338" s="88"/>
      <c r="Y338" s="121"/>
      <c r="Z338" s="121"/>
      <c r="AA338" s="121"/>
      <c r="AB338" s="121"/>
      <c r="AC338" s="121"/>
      <c r="AD338" s="121"/>
      <c r="AE338" s="121"/>
      <c r="AF338" s="122"/>
      <c r="AG338" s="122"/>
      <c r="AH338" s="122"/>
      <c r="AI338" s="123"/>
      <c r="AJ338" s="89">
        <f t="shared" ref="AJ338:AJ340" si="587">SUM(X338:AI338)</f>
        <v>0</v>
      </c>
      <c r="AK338" s="90">
        <f t="shared" ref="AK338:AK340" si="588">SUM(X338:AF338)</f>
        <v>0</v>
      </c>
    </row>
    <row r="339" spans="1:38" ht="15.6" hidden="1" thickBot="1">
      <c r="A339" s="91"/>
      <c r="B339" s="100"/>
      <c r="C339" s="92"/>
      <c r="D339" s="93" t="s">
        <v>92</v>
      </c>
      <c r="E339" s="94"/>
      <c r="F339" s="97"/>
      <c r="G339" s="97"/>
      <c r="H339" s="97"/>
      <c r="I339" s="97"/>
      <c r="J339" s="97"/>
      <c r="K339" s="97"/>
      <c r="L339" s="97"/>
      <c r="M339" s="98"/>
      <c r="N339" s="98"/>
      <c r="O339" s="98"/>
      <c r="P339" s="99"/>
      <c r="Q339" s="95">
        <f t="shared" si="584"/>
        <v>0</v>
      </c>
      <c r="R339" s="96">
        <f t="shared" si="576"/>
        <v>0</v>
      </c>
      <c r="T339" s="91"/>
      <c r="U339" s="100"/>
      <c r="V339" s="92">
        <f t="shared" si="586"/>
        <v>0</v>
      </c>
      <c r="W339" s="93" t="s">
        <v>92</v>
      </c>
      <c r="X339" s="94"/>
      <c r="Y339" s="97"/>
      <c r="Z339" s="97"/>
      <c r="AA339" s="97"/>
      <c r="AB339" s="97"/>
      <c r="AC339" s="97"/>
      <c r="AD339" s="97"/>
      <c r="AE339" s="97"/>
      <c r="AF339" s="98"/>
      <c r="AG339" s="98"/>
      <c r="AH339" s="98"/>
      <c r="AI339" s="99"/>
      <c r="AJ339" s="95">
        <f t="shared" si="587"/>
        <v>0</v>
      </c>
      <c r="AK339" s="96">
        <f t="shared" si="588"/>
        <v>0</v>
      </c>
    </row>
    <row r="340" spans="1:38" ht="15.6" hidden="1" thickBot="1">
      <c r="A340" s="91"/>
      <c r="B340" s="100"/>
      <c r="C340" s="92"/>
      <c r="D340" s="101">
        <v>2020</v>
      </c>
      <c r="E340" s="102"/>
      <c r="F340" s="124"/>
      <c r="G340" s="124"/>
      <c r="H340" s="124"/>
      <c r="I340" s="124"/>
      <c r="J340" s="124"/>
      <c r="K340" s="124"/>
      <c r="L340" s="124"/>
      <c r="M340" s="125"/>
      <c r="N340" s="125"/>
      <c r="O340" s="125"/>
      <c r="P340" s="126"/>
      <c r="Q340" s="103">
        <f t="shared" si="584"/>
        <v>0</v>
      </c>
      <c r="R340" s="104">
        <f t="shared" si="576"/>
        <v>0</v>
      </c>
      <c r="S340" s="105"/>
      <c r="T340" s="91"/>
      <c r="U340" s="100"/>
      <c r="V340" s="92"/>
      <c r="W340" s="101">
        <v>2020</v>
      </c>
      <c r="X340" s="102"/>
      <c r="Y340" s="124"/>
      <c r="Z340" s="124"/>
      <c r="AA340" s="124"/>
      <c r="AB340" s="124"/>
      <c r="AC340" s="124"/>
      <c r="AD340" s="124"/>
      <c r="AE340" s="124"/>
      <c r="AF340" s="125"/>
      <c r="AG340" s="125"/>
      <c r="AH340" s="125"/>
      <c r="AI340" s="126"/>
      <c r="AJ340" s="103">
        <f t="shared" si="587"/>
        <v>0</v>
      </c>
      <c r="AK340" s="104">
        <f t="shared" si="588"/>
        <v>0</v>
      </c>
      <c r="AL340" s="105"/>
    </row>
    <row r="341" spans="1:38" ht="15.6" hidden="1" thickBot="1">
      <c r="A341" s="91"/>
      <c r="B341" s="100"/>
      <c r="C341" s="92"/>
      <c r="D341" s="101" t="s">
        <v>102</v>
      </c>
      <c r="E341" s="106" t="e">
        <f t="shared" ref="E341:R341" si="589">E340/E339</f>
        <v>#DIV/0!</v>
      </c>
      <c r="F341" s="106" t="e">
        <f t="shared" si="589"/>
        <v>#DIV/0!</v>
      </c>
      <c r="G341" s="106" t="e">
        <f t="shared" si="589"/>
        <v>#DIV/0!</v>
      </c>
      <c r="H341" s="106" t="e">
        <f t="shared" si="589"/>
        <v>#DIV/0!</v>
      </c>
      <c r="I341" s="106" t="e">
        <f t="shared" si="589"/>
        <v>#DIV/0!</v>
      </c>
      <c r="J341" s="106" t="e">
        <f t="shared" si="589"/>
        <v>#DIV/0!</v>
      </c>
      <c r="K341" s="106" t="e">
        <f t="shared" si="589"/>
        <v>#DIV/0!</v>
      </c>
      <c r="L341" s="106" t="e">
        <f t="shared" si="589"/>
        <v>#DIV/0!</v>
      </c>
      <c r="M341" s="107" t="e">
        <f t="shared" si="589"/>
        <v>#DIV/0!</v>
      </c>
      <c r="N341" s="107" t="e">
        <f t="shared" si="589"/>
        <v>#DIV/0!</v>
      </c>
      <c r="O341" s="107" t="e">
        <f t="shared" si="589"/>
        <v>#DIV/0!</v>
      </c>
      <c r="P341" s="108" t="e">
        <f t="shared" si="589"/>
        <v>#DIV/0!</v>
      </c>
      <c r="Q341" s="109" t="e">
        <f t="shared" si="589"/>
        <v>#DIV/0!</v>
      </c>
      <c r="R341" s="110" t="e">
        <f t="shared" si="589"/>
        <v>#DIV/0!</v>
      </c>
      <c r="S341" s="105"/>
      <c r="T341" s="91"/>
      <c r="U341" s="100"/>
      <c r="V341" s="92"/>
      <c r="W341" s="101" t="s">
        <v>102</v>
      </c>
      <c r="X341" s="106" t="e">
        <f t="shared" ref="X341:AK341" si="590">X340/X339</f>
        <v>#DIV/0!</v>
      </c>
      <c r="Y341" s="106" t="e">
        <f t="shared" si="590"/>
        <v>#DIV/0!</v>
      </c>
      <c r="Z341" s="106" t="e">
        <f t="shared" si="590"/>
        <v>#DIV/0!</v>
      </c>
      <c r="AA341" s="106" t="e">
        <f t="shared" si="590"/>
        <v>#DIV/0!</v>
      </c>
      <c r="AB341" s="106" t="e">
        <f t="shared" si="590"/>
        <v>#DIV/0!</v>
      </c>
      <c r="AC341" s="106" t="e">
        <f t="shared" si="590"/>
        <v>#DIV/0!</v>
      </c>
      <c r="AD341" s="106" t="e">
        <f t="shared" si="590"/>
        <v>#DIV/0!</v>
      </c>
      <c r="AE341" s="106" t="e">
        <f t="shared" si="590"/>
        <v>#DIV/0!</v>
      </c>
      <c r="AF341" s="107" t="e">
        <f t="shared" si="590"/>
        <v>#DIV/0!</v>
      </c>
      <c r="AG341" s="107" t="e">
        <f t="shared" si="590"/>
        <v>#DIV/0!</v>
      </c>
      <c r="AH341" s="107" t="e">
        <f t="shared" si="590"/>
        <v>#DIV/0!</v>
      </c>
      <c r="AI341" s="108" t="e">
        <f t="shared" si="590"/>
        <v>#DIV/0!</v>
      </c>
      <c r="AJ341" s="109" t="e">
        <f t="shared" si="590"/>
        <v>#DIV/0!</v>
      </c>
      <c r="AK341" s="110" t="e">
        <f t="shared" si="590"/>
        <v>#DIV/0!</v>
      </c>
      <c r="AL341" s="105"/>
    </row>
    <row r="342" spans="1:38" ht="15.6" hidden="1" thickBot="1">
      <c r="A342" s="91"/>
      <c r="B342" s="100"/>
      <c r="C342" s="111"/>
      <c r="D342" s="112" t="s">
        <v>103</v>
      </c>
      <c r="E342" s="113" t="e">
        <f t="shared" ref="E342:R342" si="591">E340/E338</f>
        <v>#DIV/0!</v>
      </c>
      <c r="F342" s="113" t="e">
        <f t="shared" si="591"/>
        <v>#DIV/0!</v>
      </c>
      <c r="G342" s="113" t="e">
        <f t="shared" si="591"/>
        <v>#DIV/0!</v>
      </c>
      <c r="H342" s="113" t="e">
        <f t="shared" si="591"/>
        <v>#DIV/0!</v>
      </c>
      <c r="I342" s="113" t="e">
        <f t="shared" si="591"/>
        <v>#DIV/0!</v>
      </c>
      <c r="J342" s="113" t="e">
        <f t="shared" si="591"/>
        <v>#DIV/0!</v>
      </c>
      <c r="K342" s="113" t="e">
        <f t="shared" si="591"/>
        <v>#DIV/0!</v>
      </c>
      <c r="L342" s="113" t="e">
        <f t="shared" si="591"/>
        <v>#DIV/0!</v>
      </c>
      <c r="M342" s="113" t="e">
        <f t="shared" si="591"/>
        <v>#DIV/0!</v>
      </c>
      <c r="N342" s="113" t="e">
        <f t="shared" si="591"/>
        <v>#DIV/0!</v>
      </c>
      <c r="O342" s="113" t="e">
        <f t="shared" si="591"/>
        <v>#DIV/0!</v>
      </c>
      <c r="P342" s="114" t="e">
        <f t="shared" si="591"/>
        <v>#DIV/0!</v>
      </c>
      <c r="Q342" s="115" t="e">
        <f t="shared" si="591"/>
        <v>#DIV/0!</v>
      </c>
      <c r="R342" s="116" t="e">
        <f t="shared" si="591"/>
        <v>#DIV/0!</v>
      </c>
      <c r="T342" s="91"/>
      <c r="U342" s="100"/>
      <c r="V342" s="111"/>
      <c r="W342" s="112" t="s">
        <v>103</v>
      </c>
      <c r="X342" s="113" t="e">
        <f t="shared" ref="X342:AK342" si="592">X340/X338</f>
        <v>#DIV/0!</v>
      </c>
      <c r="Y342" s="113" t="e">
        <f t="shared" si="592"/>
        <v>#DIV/0!</v>
      </c>
      <c r="Z342" s="113" t="e">
        <f t="shared" si="592"/>
        <v>#DIV/0!</v>
      </c>
      <c r="AA342" s="113" t="e">
        <f t="shared" si="592"/>
        <v>#DIV/0!</v>
      </c>
      <c r="AB342" s="113" t="e">
        <f t="shared" si="592"/>
        <v>#DIV/0!</v>
      </c>
      <c r="AC342" s="113" t="e">
        <f t="shared" si="592"/>
        <v>#DIV/0!</v>
      </c>
      <c r="AD342" s="113" t="e">
        <f t="shared" si="592"/>
        <v>#DIV/0!</v>
      </c>
      <c r="AE342" s="113" t="e">
        <f t="shared" si="592"/>
        <v>#DIV/0!</v>
      </c>
      <c r="AF342" s="113" t="e">
        <f t="shared" si="592"/>
        <v>#DIV/0!</v>
      </c>
      <c r="AG342" s="113" t="e">
        <f t="shared" si="592"/>
        <v>#DIV/0!</v>
      </c>
      <c r="AH342" s="113" t="e">
        <f t="shared" si="592"/>
        <v>#DIV/0!</v>
      </c>
      <c r="AI342" s="114" t="e">
        <f t="shared" si="592"/>
        <v>#DIV/0!</v>
      </c>
      <c r="AJ342" s="115" t="e">
        <f t="shared" si="592"/>
        <v>#DIV/0!</v>
      </c>
      <c r="AK342" s="116" t="e">
        <f t="shared" si="592"/>
        <v>#DIV/0!</v>
      </c>
    </row>
    <row r="343" spans="1:38" ht="15.6" hidden="1" thickBot="1">
      <c r="A343" s="91"/>
      <c r="B343" s="100"/>
      <c r="C343" s="86"/>
      <c r="D343" s="87">
        <v>2019</v>
      </c>
      <c r="E343" s="88"/>
      <c r="F343" s="121"/>
      <c r="G343" s="121"/>
      <c r="H343" s="121"/>
      <c r="I343" s="121"/>
      <c r="J343" s="121"/>
      <c r="K343" s="121"/>
      <c r="L343" s="121"/>
      <c r="M343" s="122"/>
      <c r="N343" s="122"/>
      <c r="O343" s="122"/>
      <c r="P343" s="123"/>
      <c r="Q343" s="89">
        <f t="shared" ref="Q343:Q345" si="593">SUM(E343:P343)</f>
        <v>0</v>
      </c>
      <c r="R343" s="90">
        <f t="shared" ref="R343" si="594">SUM(E343:M343)</f>
        <v>0</v>
      </c>
      <c r="T343" s="91"/>
      <c r="U343" s="100"/>
      <c r="V343" s="86">
        <f t="shared" ref="V343:V344" si="595">C343</f>
        <v>0</v>
      </c>
      <c r="W343" s="87">
        <v>2019</v>
      </c>
      <c r="X343" s="88"/>
      <c r="Y343" s="121"/>
      <c r="Z343" s="121"/>
      <c r="AA343" s="121"/>
      <c r="AB343" s="121"/>
      <c r="AC343" s="121"/>
      <c r="AD343" s="121"/>
      <c r="AE343" s="121"/>
      <c r="AF343" s="122"/>
      <c r="AG343" s="122"/>
      <c r="AH343" s="122"/>
      <c r="AI343" s="123"/>
      <c r="AJ343" s="89">
        <f t="shared" ref="AJ343:AJ345" si="596">SUM(X343:AI343)</f>
        <v>0</v>
      </c>
      <c r="AK343" s="90">
        <f t="shared" ref="AK343:AK345" si="597">SUM(X343:AF343)</f>
        <v>0</v>
      </c>
    </row>
    <row r="344" spans="1:38" ht="15.6" hidden="1" thickBot="1">
      <c r="A344" s="91"/>
      <c r="B344" s="100"/>
      <c r="C344" s="92"/>
      <c r="D344" s="93" t="s">
        <v>92</v>
      </c>
      <c r="E344" s="94"/>
      <c r="F344" s="97"/>
      <c r="G344" s="97"/>
      <c r="H344" s="97"/>
      <c r="I344" s="97"/>
      <c r="J344" s="97"/>
      <c r="K344" s="97"/>
      <c r="L344" s="97"/>
      <c r="M344" s="98"/>
      <c r="N344" s="98"/>
      <c r="O344" s="98"/>
      <c r="P344" s="99"/>
      <c r="Q344" s="95">
        <f t="shared" si="593"/>
        <v>0</v>
      </c>
      <c r="R344" s="96">
        <f t="shared" si="576"/>
        <v>0</v>
      </c>
      <c r="T344" s="91"/>
      <c r="U344" s="100"/>
      <c r="V344" s="92">
        <f t="shared" si="595"/>
        <v>0</v>
      </c>
      <c r="W344" s="93" t="s">
        <v>92</v>
      </c>
      <c r="X344" s="94"/>
      <c r="Y344" s="97"/>
      <c r="Z344" s="97"/>
      <c r="AA344" s="97"/>
      <c r="AB344" s="97"/>
      <c r="AC344" s="97"/>
      <c r="AD344" s="97"/>
      <c r="AE344" s="97"/>
      <c r="AF344" s="98"/>
      <c r="AG344" s="98"/>
      <c r="AH344" s="98"/>
      <c r="AI344" s="99"/>
      <c r="AJ344" s="95">
        <f t="shared" si="596"/>
        <v>0</v>
      </c>
      <c r="AK344" s="96">
        <f t="shared" si="597"/>
        <v>0</v>
      </c>
    </row>
    <row r="345" spans="1:38" ht="15.6" hidden="1" thickBot="1">
      <c r="A345" s="91"/>
      <c r="B345" s="100"/>
      <c r="C345" s="92"/>
      <c r="D345" s="101">
        <v>2020</v>
      </c>
      <c r="E345" s="102"/>
      <c r="F345" s="124"/>
      <c r="G345" s="124"/>
      <c r="H345" s="124"/>
      <c r="I345" s="124"/>
      <c r="J345" s="124"/>
      <c r="K345" s="124"/>
      <c r="L345" s="124"/>
      <c r="M345" s="125"/>
      <c r="N345" s="125"/>
      <c r="O345" s="125"/>
      <c r="P345" s="126"/>
      <c r="Q345" s="103">
        <f t="shared" si="593"/>
        <v>0</v>
      </c>
      <c r="R345" s="104">
        <f t="shared" si="576"/>
        <v>0</v>
      </c>
      <c r="S345" s="105"/>
      <c r="T345" s="91"/>
      <c r="U345" s="100"/>
      <c r="V345" s="92"/>
      <c r="W345" s="101">
        <v>2020</v>
      </c>
      <c r="X345" s="102"/>
      <c r="Y345" s="124"/>
      <c r="Z345" s="124"/>
      <c r="AA345" s="124"/>
      <c r="AB345" s="124"/>
      <c r="AC345" s="124"/>
      <c r="AD345" s="124"/>
      <c r="AE345" s="124"/>
      <c r="AF345" s="125"/>
      <c r="AG345" s="125"/>
      <c r="AH345" s="125"/>
      <c r="AI345" s="126"/>
      <c r="AJ345" s="103">
        <f t="shared" si="596"/>
        <v>0</v>
      </c>
      <c r="AK345" s="104">
        <f t="shared" si="597"/>
        <v>0</v>
      </c>
      <c r="AL345" s="105"/>
    </row>
    <row r="346" spans="1:38" ht="15.6" hidden="1" thickBot="1">
      <c r="A346" s="91"/>
      <c r="B346" s="100"/>
      <c r="C346" s="92"/>
      <c r="D346" s="101" t="s">
        <v>102</v>
      </c>
      <c r="E346" s="106" t="e">
        <f t="shared" ref="E346:R346" si="598">E345/E344</f>
        <v>#DIV/0!</v>
      </c>
      <c r="F346" s="106" t="e">
        <f t="shared" si="598"/>
        <v>#DIV/0!</v>
      </c>
      <c r="G346" s="106" t="e">
        <f t="shared" si="598"/>
        <v>#DIV/0!</v>
      </c>
      <c r="H346" s="106" t="e">
        <f t="shared" si="598"/>
        <v>#DIV/0!</v>
      </c>
      <c r="I346" s="106" t="e">
        <f t="shared" si="598"/>
        <v>#DIV/0!</v>
      </c>
      <c r="J346" s="106" t="e">
        <f t="shared" si="598"/>
        <v>#DIV/0!</v>
      </c>
      <c r="K346" s="106" t="e">
        <f t="shared" si="598"/>
        <v>#DIV/0!</v>
      </c>
      <c r="L346" s="106" t="e">
        <f t="shared" si="598"/>
        <v>#DIV/0!</v>
      </c>
      <c r="M346" s="107" t="e">
        <f t="shared" si="598"/>
        <v>#DIV/0!</v>
      </c>
      <c r="N346" s="107" t="e">
        <f t="shared" si="598"/>
        <v>#DIV/0!</v>
      </c>
      <c r="O346" s="107" t="e">
        <f t="shared" si="598"/>
        <v>#DIV/0!</v>
      </c>
      <c r="P346" s="108" t="e">
        <f t="shared" si="598"/>
        <v>#DIV/0!</v>
      </c>
      <c r="Q346" s="109" t="e">
        <f t="shared" si="598"/>
        <v>#DIV/0!</v>
      </c>
      <c r="R346" s="110" t="e">
        <f t="shared" si="598"/>
        <v>#DIV/0!</v>
      </c>
      <c r="S346" s="105"/>
      <c r="T346" s="91"/>
      <c r="U346" s="100"/>
      <c r="V346" s="92"/>
      <c r="W346" s="101" t="s">
        <v>102</v>
      </c>
      <c r="X346" s="106" t="e">
        <f t="shared" ref="X346:AK346" si="599">X345/X344</f>
        <v>#DIV/0!</v>
      </c>
      <c r="Y346" s="106" t="e">
        <f t="shared" si="599"/>
        <v>#DIV/0!</v>
      </c>
      <c r="Z346" s="106" t="e">
        <f t="shared" si="599"/>
        <v>#DIV/0!</v>
      </c>
      <c r="AA346" s="106" t="e">
        <f t="shared" si="599"/>
        <v>#DIV/0!</v>
      </c>
      <c r="AB346" s="106" t="e">
        <f t="shared" si="599"/>
        <v>#DIV/0!</v>
      </c>
      <c r="AC346" s="106" t="e">
        <f t="shared" si="599"/>
        <v>#DIV/0!</v>
      </c>
      <c r="AD346" s="106" t="e">
        <f t="shared" si="599"/>
        <v>#DIV/0!</v>
      </c>
      <c r="AE346" s="106" t="e">
        <f t="shared" si="599"/>
        <v>#DIV/0!</v>
      </c>
      <c r="AF346" s="107" t="e">
        <f t="shared" si="599"/>
        <v>#DIV/0!</v>
      </c>
      <c r="AG346" s="107" t="e">
        <f t="shared" si="599"/>
        <v>#DIV/0!</v>
      </c>
      <c r="AH346" s="107" t="e">
        <f t="shared" si="599"/>
        <v>#DIV/0!</v>
      </c>
      <c r="AI346" s="108" t="e">
        <f t="shared" si="599"/>
        <v>#DIV/0!</v>
      </c>
      <c r="AJ346" s="109" t="e">
        <f t="shared" si="599"/>
        <v>#DIV/0!</v>
      </c>
      <c r="AK346" s="110" t="e">
        <f t="shared" si="599"/>
        <v>#DIV/0!</v>
      </c>
      <c r="AL346" s="105"/>
    </row>
    <row r="347" spans="1:38" ht="15.6" hidden="1" thickBot="1">
      <c r="A347" s="91"/>
      <c r="B347" s="100"/>
      <c r="C347" s="111"/>
      <c r="D347" s="112" t="s">
        <v>103</v>
      </c>
      <c r="E347" s="113" t="e">
        <f t="shared" ref="E347:R347" si="600">E345/E343</f>
        <v>#DIV/0!</v>
      </c>
      <c r="F347" s="113" t="e">
        <f t="shared" si="600"/>
        <v>#DIV/0!</v>
      </c>
      <c r="G347" s="113" t="e">
        <f t="shared" si="600"/>
        <v>#DIV/0!</v>
      </c>
      <c r="H347" s="113" t="e">
        <f t="shared" si="600"/>
        <v>#DIV/0!</v>
      </c>
      <c r="I347" s="113" t="e">
        <f t="shared" si="600"/>
        <v>#DIV/0!</v>
      </c>
      <c r="J347" s="113" t="e">
        <f t="shared" si="600"/>
        <v>#DIV/0!</v>
      </c>
      <c r="K347" s="113" t="e">
        <f t="shared" si="600"/>
        <v>#DIV/0!</v>
      </c>
      <c r="L347" s="113" t="e">
        <f t="shared" si="600"/>
        <v>#DIV/0!</v>
      </c>
      <c r="M347" s="113" t="e">
        <f t="shared" si="600"/>
        <v>#DIV/0!</v>
      </c>
      <c r="N347" s="113" t="e">
        <f t="shared" si="600"/>
        <v>#DIV/0!</v>
      </c>
      <c r="O347" s="113" t="e">
        <f t="shared" si="600"/>
        <v>#DIV/0!</v>
      </c>
      <c r="P347" s="114" t="e">
        <f t="shared" si="600"/>
        <v>#DIV/0!</v>
      </c>
      <c r="Q347" s="115" t="e">
        <f t="shared" si="600"/>
        <v>#DIV/0!</v>
      </c>
      <c r="R347" s="116" t="e">
        <f t="shared" si="600"/>
        <v>#DIV/0!</v>
      </c>
      <c r="T347" s="91"/>
      <c r="U347" s="100"/>
      <c r="V347" s="111"/>
      <c r="W347" s="112" t="s">
        <v>103</v>
      </c>
      <c r="X347" s="113" t="e">
        <f t="shared" ref="X347:AK347" si="601">X345/X343</f>
        <v>#DIV/0!</v>
      </c>
      <c r="Y347" s="113" t="e">
        <f t="shared" si="601"/>
        <v>#DIV/0!</v>
      </c>
      <c r="Z347" s="113" t="e">
        <f t="shared" si="601"/>
        <v>#DIV/0!</v>
      </c>
      <c r="AA347" s="113" t="e">
        <f t="shared" si="601"/>
        <v>#DIV/0!</v>
      </c>
      <c r="AB347" s="113" t="e">
        <f t="shared" si="601"/>
        <v>#DIV/0!</v>
      </c>
      <c r="AC347" s="113" t="e">
        <f t="shared" si="601"/>
        <v>#DIV/0!</v>
      </c>
      <c r="AD347" s="113" t="e">
        <f t="shared" si="601"/>
        <v>#DIV/0!</v>
      </c>
      <c r="AE347" s="113" t="e">
        <f t="shared" si="601"/>
        <v>#DIV/0!</v>
      </c>
      <c r="AF347" s="113" t="e">
        <f t="shared" si="601"/>
        <v>#DIV/0!</v>
      </c>
      <c r="AG347" s="113" t="e">
        <f t="shared" si="601"/>
        <v>#DIV/0!</v>
      </c>
      <c r="AH347" s="113" t="e">
        <f t="shared" si="601"/>
        <v>#DIV/0!</v>
      </c>
      <c r="AI347" s="114" t="e">
        <f t="shared" si="601"/>
        <v>#DIV/0!</v>
      </c>
      <c r="AJ347" s="115" t="e">
        <f t="shared" si="601"/>
        <v>#DIV/0!</v>
      </c>
      <c r="AK347" s="116" t="e">
        <f t="shared" si="601"/>
        <v>#DIV/0!</v>
      </c>
    </row>
    <row r="348" spans="1:38" ht="15.6" hidden="1" thickBot="1">
      <c r="A348" s="91"/>
      <c r="B348" s="100"/>
      <c r="C348" s="86"/>
      <c r="D348" s="87">
        <v>2019</v>
      </c>
      <c r="E348" s="88"/>
      <c r="F348" s="121"/>
      <c r="G348" s="121"/>
      <c r="H348" s="121"/>
      <c r="I348" s="121"/>
      <c r="J348" s="121"/>
      <c r="K348" s="121"/>
      <c r="L348" s="121"/>
      <c r="M348" s="122"/>
      <c r="N348" s="122"/>
      <c r="O348" s="122"/>
      <c r="P348" s="123"/>
      <c r="Q348" s="89">
        <f t="shared" ref="Q348:Q350" si="602">SUM(E348:P348)</f>
        <v>0</v>
      </c>
      <c r="R348" s="90">
        <f t="shared" ref="R348" si="603">SUM(E348:M348)</f>
        <v>0</v>
      </c>
      <c r="T348" s="91"/>
      <c r="U348" s="100"/>
      <c r="V348" s="86">
        <f t="shared" ref="V348:V349" si="604">C348</f>
        <v>0</v>
      </c>
      <c r="W348" s="87">
        <v>2019</v>
      </c>
      <c r="X348" s="88"/>
      <c r="Y348" s="121"/>
      <c r="Z348" s="121"/>
      <c r="AA348" s="121"/>
      <c r="AB348" s="121"/>
      <c r="AC348" s="121"/>
      <c r="AD348" s="121"/>
      <c r="AE348" s="121"/>
      <c r="AF348" s="122"/>
      <c r="AG348" s="122"/>
      <c r="AH348" s="122"/>
      <c r="AI348" s="123"/>
      <c r="AJ348" s="89">
        <f t="shared" ref="AJ348:AJ350" si="605">SUM(X348:AI348)</f>
        <v>0</v>
      </c>
      <c r="AK348" s="90">
        <f t="shared" ref="AK348:AK350" si="606">SUM(X348:AF348)</f>
        <v>0</v>
      </c>
    </row>
    <row r="349" spans="1:38" ht="15.6" hidden="1" thickBot="1">
      <c r="A349" s="91"/>
      <c r="B349" s="100"/>
      <c r="C349" s="92"/>
      <c r="D349" s="93" t="s">
        <v>92</v>
      </c>
      <c r="E349" s="94"/>
      <c r="F349" s="97"/>
      <c r="G349" s="97"/>
      <c r="H349" s="97"/>
      <c r="I349" s="97"/>
      <c r="J349" s="97"/>
      <c r="K349" s="97"/>
      <c r="L349" s="97"/>
      <c r="M349" s="98"/>
      <c r="N349" s="98"/>
      <c r="O349" s="98"/>
      <c r="P349" s="99"/>
      <c r="Q349" s="95">
        <f t="shared" si="602"/>
        <v>0</v>
      </c>
      <c r="R349" s="96">
        <f t="shared" si="576"/>
        <v>0</v>
      </c>
      <c r="T349" s="91"/>
      <c r="U349" s="100"/>
      <c r="V349" s="92">
        <f t="shared" si="604"/>
        <v>0</v>
      </c>
      <c r="W349" s="93" t="s">
        <v>92</v>
      </c>
      <c r="X349" s="94"/>
      <c r="Y349" s="97"/>
      <c r="Z349" s="97"/>
      <c r="AA349" s="97"/>
      <c r="AB349" s="97"/>
      <c r="AC349" s="97"/>
      <c r="AD349" s="97"/>
      <c r="AE349" s="97"/>
      <c r="AF349" s="98"/>
      <c r="AG349" s="98"/>
      <c r="AH349" s="98"/>
      <c r="AI349" s="99"/>
      <c r="AJ349" s="95">
        <f t="shared" si="605"/>
        <v>0</v>
      </c>
      <c r="AK349" s="96">
        <f t="shared" si="606"/>
        <v>0</v>
      </c>
    </row>
    <row r="350" spans="1:38" ht="15.6" hidden="1" thickBot="1">
      <c r="A350" s="91"/>
      <c r="B350" s="100"/>
      <c r="C350" s="92"/>
      <c r="D350" s="101">
        <v>2020</v>
      </c>
      <c r="E350" s="102"/>
      <c r="F350" s="124"/>
      <c r="G350" s="124"/>
      <c r="H350" s="124"/>
      <c r="I350" s="124"/>
      <c r="J350" s="124"/>
      <c r="K350" s="124"/>
      <c r="L350" s="124"/>
      <c r="M350" s="125"/>
      <c r="N350" s="125"/>
      <c r="O350" s="125"/>
      <c r="P350" s="126"/>
      <c r="Q350" s="103">
        <f t="shared" si="602"/>
        <v>0</v>
      </c>
      <c r="R350" s="104">
        <f t="shared" si="576"/>
        <v>0</v>
      </c>
      <c r="S350" s="105"/>
      <c r="T350" s="91"/>
      <c r="U350" s="100"/>
      <c r="V350" s="92"/>
      <c r="W350" s="101">
        <v>2020</v>
      </c>
      <c r="X350" s="102"/>
      <c r="Y350" s="124"/>
      <c r="Z350" s="124"/>
      <c r="AA350" s="124"/>
      <c r="AB350" s="124"/>
      <c r="AC350" s="124"/>
      <c r="AD350" s="124"/>
      <c r="AE350" s="124"/>
      <c r="AF350" s="125"/>
      <c r="AG350" s="125"/>
      <c r="AH350" s="125"/>
      <c r="AI350" s="126"/>
      <c r="AJ350" s="103">
        <f t="shared" si="605"/>
        <v>0</v>
      </c>
      <c r="AK350" s="104">
        <f t="shared" si="606"/>
        <v>0</v>
      </c>
      <c r="AL350" s="105"/>
    </row>
    <row r="351" spans="1:38" ht="15.6" hidden="1" thickBot="1">
      <c r="A351" s="91"/>
      <c r="B351" s="100"/>
      <c r="C351" s="92"/>
      <c r="D351" s="101" t="s">
        <v>102</v>
      </c>
      <c r="E351" s="106" t="e">
        <f t="shared" ref="E351:R351" si="607">E350/E349</f>
        <v>#DIV/0!</v>
      </c>
      <c r="F351" s="106" t="e">
        <f t="shared" si="607"/>
        <v>#DIV/0!</v>
      </c>
      <c r="G351" s="106" t="e">
        <f t="shared" si="607"/>
        <v>#DIV/0!</v>
      </c>
      <c r="H351" s="106" t="e">
        <f t="shared" si="607"/>
        <v>#DIV/0!</v>
      </c>
      <c r="I351" s="106" t="e">
        <f t="shared" si="607"/>
        <v>#DIV/0!</v>
      </c>
      <c r="J351" s="106" t="e">
        <f t="shared" si="607"/>
        <v>#DIV/0!</v>
      </c>
      <c r="K351" s="106" t="e">
        <f t="shared" si="607"/>
        <v>#DIV/0!</v>
      </c>
      <c r="L351" s="106" t="e">
        <f t="shared" si="607"/>
        <v>#DIV/0!</v>
      </c>
      <c r="M351" s="107" t="e">
        <f t="shared" si="607"/>
        <v>#DIV/0!</v>
      </c>
      <c r="N351" s="107" t="e">
        <f t="shared" si="607"/>
        <v>#DIV/0!</v>
      </c>
      <c r="O351" s="107" t="e">
        <f t="shared" si="607"/>
        <v>#DIV/0!</v>
      </c>
      <c r="P351" s="108" t="e">
        <f t="shared" si="607"/>
        <v>#DIV/0!</v>
      </c>
      <c r="Q351" s="109" t="e">
        <f t="shared" si="607"/>
        <v>#DIV/0!</v>
      </c>
      <c r="R351" s="110" t="e">
        <f t="shared" si="607"/>
        <v>#DIV/0!</v>
      </c>
      <c r="S351" s="105"/>
      <c r="T351" s="91"/>
      <c r="U351" s="100"/>
      <c r="V351" s="92"/>
      <c r="W351" s="101" t="s">
        <v>102</v>
      </c>
      <c r="X351" s="106" t="e">
        <f t="shared" ref="X351:AK351" si="608">X350/X349</f>
        <v>#DIV/0!</v>
      </c>
      <c r="Y351" s="106" t="e">
        <f t="shared" si="608"/>
        <v>#DIV/0!</v>
      </c>
      <c r="Z351" s="106" t="e">
        <f t="shared" si="608"/>
        <v>#DIV/0!</v>
      </c>
      <c r="AA351" s="106" t="e">
        <f t="shared" si="608"/>
        <v>#DIV/0!</v>
      </c>
      <c r="AB351" s="106" t="e">
        <f t="shared" si="608"/>
        <v>#DIV/0!</v>
      </c>
      <c r="AC351" s="106" t="e">
        <f t="shared" si="608"/>
        <v>#DIV/0!</v>
      </c>
      <c r="AD351" s="106" t="e">
        <f t="shared" si="608"/>
        <v>#DIV/0!</v>
      </c>
      <c r="AE351" s="106" t="e">
        <f t="shared" si="608"/>
        <v>#DIV/0!</v>
      </c>
      <c r="AF351" s="107" t="e">
        <f t="shared" si="608"/>
        <v>#DIV/0!</v>
      </c>
      <c r="AG351" s="107" t="e">
        <f t="shared" si="608"/>
        <v>#DIV/0!</v>
      </c>
      <c r="AH351" s="107" t="e">
        <f t="shared" si="608"/>
        <v>#DIV/0!</v>
      </c>
      <c r="AI351" s="108" t="e">
        <f t="shared" si="608"/>
        <v>#DIV/0!</v>
      </c>
      <c r="AJ351" s="109" t="e">
        <f t="shared" si="608"/>
        <v>#DIV/0!</v>
      </c>
      <c r="AK351" s="110" t="e">
        <f t="shared" si="608"/>
        <v>#DIV/0!</v>
      </c>
      <c r="AL351" s="105"/>
    </row>
    <row r="352" spans="1:38" ht="15.6" hidden="1" thickBot="1">
      <c r="A352" s="91"/>
      <c r="B352" s="100"/>
      <c r="C352" s="111"/>
      <c r="D352" s="112" t="s">
        <v>103</v>
      </c>
      <c r="E352" s="113" t="e">
        <f t="shared" ref="E352:R352" si="609">E350/E348</f>
        <v>#DIV/0!</v>
      </c>
      <c r="F352" s="113" t="e">
        <f t="shared" si="609"/>
        <v>#DIV/0!</v>
      </c>
      <c r="G352" s="113" t="e">
        <f t="shared" si="609"/>
        <v>#DIV/0!</v>
      </c>
      <c r="H352" s="113" t="e">
        <f t="shared" si="609"/>
        <v>#DIV/0!</v>
      </c>
      <c r="I352" s="113" t="e">
        <f t="shared" si="609"/>
        <v>#DIV/0!</v>
      </c>
      <c r="J352" s="113" t="e">
        <f t="shared" si="609"/>
        <v>#DIV/0!</v>
      </c>
      <c r="K352" s="113" t="e">
        <f t="shared" si="609"/>
        <v>#DIV/0!</v>
      </c>
      <c r="L352" s="113" t="e">
        <f t="shared" si="609"/>
        <v>#DIV/0!</v>
      </c>
      <c r="M352" s="113" t="e">
        <f t="shared" si="609"/>
        <v>#DIV/0!</v>
      </c>
      <c r="N352" s="113" t="e">
        <f t="shared" si="609"/>
        <v>#DIV/0!</v>
      </c>
      <c r="O352" s="113" t="e">
        <f t="shared" si="609"/>
        <v>#DIV/0!</v>
      </c>
      <c r="P352" s="114" t="e">
        <f t="shared" si="609"/>
        <v>#DIV/0!</v>
      </c>
      <c r="Q352" s="115" t="e">
        <f t="shared" si="609"/>
        <v>#DIV/0!</v>
      </c>
      <c r="R352" s="116" t="e">
        <f t="shared" si="609"/>
        <v>#DIV/0!</v>
      </c>
      <c r="T352" s="91"/>
      <c r="U352" s="100"/>
      <c r="V352" s="111"/>
      <c r="W352" s="112" t="s">
        <v>103</v>
      </c>
      <c r="X352" s="113" t="e">
        <f t="shared" ref="X352:AK352" si="610">X350/X348</f>
        <v>#DIV/0!</v>
      </c>
      <c r="Y352" s="113" t="e">
        <f t="shared" si="610"/>
        <v>#DIV/0!</v>
      </c>
      <c r="Z352" s="113" t="e">
        <f t="shared" si="610"/>
        <v>#DIV/0!</v>
      </c>
      <c r="AA352" s="113" t="e">
        <f t="shared" si="610"/>
        <v>#DIV/0!</v>
      </c>
      <c r="AB352" s="113" t="e">
        <f t="shared" si="610"/>
        <v>#DIV/0!</v>
      </c>
      <c r="AC352" s="113" t="e">
        <f t="shared" si="610"/>
        <v>#DIV/0!</v>
      </c>
      <c r="AD352" s="113" t="e">
        <f t="shared" si="610"/>
        <v>#DIV/0!</v>
      </c>
      <c r="AE352" s="113" t="e">
        <f t="shared" si="610"/>
        <v>#DIV/0!</v>
      </c>
      <c r="AF352" s="113" t="e">
        <f t="shared" si="610"/>
        <v>#DIV/0!</v>
      </c>
      <c r="AG352" s="113" t="e">
        <f t="shared" si="610"/>
        <v>#DIV/0!</v>
      </c>
      <c r="AH352" s="113" t="e">
        <f t="shared" si="610"/>
        <v>#DIV/0!</v>
      </c>
      <c r="AI352" s="114" t="e">
        <f t="shared" si="610"/>
        <v>#DIV/0!</v>
      </c>
      <c r="AJ352" s="115" t="e">
        <f t="shared" si="610"/>
        <v>#DIV/0!</v>
      </c>
      <c r="AK352" s="116" t="e">
        <f t="shared" si="610"/>
        <v>#DIV/0!</v>
      </c>
    </row>
    <row r="353" spans="1:38" ht="15.6" hidden="1" thickBot="1">
      <c r="A353" s="91"/>
      <c r="B353" s="100"/>
      <c r="C353" s="86"/>
      <c r="D353" s="87">
        <v>2019</v>
      </c>
      <c r="E353" s="88"/>
      <c r="F353" s="121"/>
      <c r="G353" s="121"/>
      <c r="H353" s="121"/>
      <c r="I353" s="121"/>
      <c r="J353" s="121"/>
      <c r="K353" s="121"/>
      <c r="L353" s="121"/>
      <c r="M353" s="122"/>
      <c r="N353" s="122"/>
      <c r="O353" s="122"/>
      <c r="P353" s="123"/>
      <c r="Q353" s="89">
        <f t="shared" ref="Q353:Q355" si="611">SUM(E353:P353)</f>
        <v>0</v>
      </c>
      <c r="R353" s="90">
        <f t="shared" ref="R353" si="612">SUM(E353:M353)</f>
        <v>0</v>
      </c>
      <c r="T353" s="91"/>
      <c r="U353" s="100"/>
      <c r="V353" s="86">
        <f t="shared" ref="V353:V354" si="613">C353</f>
        <v>0</v>
      </c>
      <c r="W353" s="87">
        <v>2019</v>
      </c>
      <c r="X353" s="88"/>
      <c r="Y353" s="121"/>
      <c r="Z353" s="121"/>
      <c r="AA353" s="121"/>
      <c r="AB353" s="121"/>
      <c r="AC353" s="121"/>
      <c r="AD353" s="121"/>
      <c r="AE353" s="121"/>
      <c r="AF353" s="122"/>
      <c r="AG353" s="122"/>
      <c r="AH353" s="122"/>
      <c r="AI353" s="123"/>
      <c r="AJ353" s="89">
        <f t="shared" ref="AJ353:AJ355" si="614">SUM(X353:AI353)</f>
        <v>0</v>
      </c>
      <c r="AK353" s="90">
        <f t="shared" ref="AK353:AK355" si="615">SUM(X353:AF353)</f>
        <v>0</v>
      </c>
    </row>
    <row r="354" spans="1:38" ht="15.6" hidden="1" thickBot="1">
      <c r="A354" s="91"/>
      <c r="B354" s="100"/>
      <c r="C354" s="92"/>
      <c r="D354" s="93" t="s">
        <v>92</v>
      </c>
      <c r="E354" s="94"/>
      <c r="F354" s="97"/>
      <c r="G354" s="97"/>
      <c r="H354" s="97"/>
      <c r="I354" s="97"/>
      <c r="J354" s="97"/>
      <c r="K354" s="97"/>
      <c r="L354" s="97"/>
      <c r="M354" s="98"/>
      <c r="N354" s="98"/>
      <c r="O354" s="98"/>
      <c r="P354" s="99"/>
      <c r="Q354" s="95">
        <f t="shared" si="611"/>
        <v>0</v>
      </c>
      <c r="R354" s="96">
        <f t="shared" si="576"/>
        <v>0</v>
      </c>
      <c r="T354" s="91"/>
      <c r="U354" s="100"/>
      <c r="V354" s="92">
        <f t="shared" si="613"/>
        <v>0</v>
      </c>
      <c r="W354" s="93" t="s">
        <v>92</v>
      </c>
      <c r="X354" s="94"/>
      <c r="Y354" s="97"/>
      <c r="Z354" s="97"/>
      <c r="AA354" s="97"/>
      <c r="AB354" s="97"/>
      <c r="AC354" s="97"/>
      <c r="AD354" s="97"/>
      <c r="AE354" s="97"/>
      <c r="AF354" s="98"/>
      <c r="AG354" s="98"/>
      <c r="AH354" s="98"/>
      <c r="AI354" s="99"/>
      <c r="AJ354" s="95">
        <f t="shared" si="614"/>
        <v>0</v>
      </c>
      <c r="AK354" s="96">
        <f t="shared" si="615"/>
        <v>0</v>
      </c>
    </row>
    <row r="355" spans="1:38" ht="15.6" hidden="1" thickBot="1">
      <c r="A355" s="91"/>
      <c r="B355" s="100"/>
      <c r="C355" s="92"/>
      <c r="D355" s="101">
        <v>2020</v>
      </c>
      <c r="E355" s="102"/>
      <c r="F355" s="124"/>
      <c r="G355" s="124"/>
      <c r="H355" s="124"/>
      <c r="I355" s="124"/>
      <c r="J355" s="124"/>
      <c r="K355" s="124"/>
      <c r="L355" s="124"/>
      <c r="M355" s="125"/>
      <c r="N355" s="125"/>
      <c r="O355" s="125"/>
      <c r="P355" s="126"/>
      <c r="Q355" s="103">
        <f t="shared" si="611"/>
        <v>0</v>
      </c>
      <c r="R355" s="104">
        <f t="shared" si="576"/>
        <v>0</v>
      </c>
      <c r="S355" s="105"/>
      <c r="T355" s="91"/>
      <c r="U355" s="100"/>
      <c r="V355" s="92"/>
      <c r="W355" s="101">
        <v>2020</v>
      </c>
      <c r="X355" s="102"/>
      <c r="Y355" s="124"/>
      <c r="Z355" s="124"/>
      <c r="AA355" s="124"/>
      <c r="AB355" s="124"/>
      <c r="AC355" s="124"/>
      <c r="AD355" s="124"/>
      <c r="AE355" s="124"/>
      <c r="AF355" s="125"/>
      <c r="AG355" s="125"/>
      <c r="AH355" s="125"/>
      <c r="AI355" s="126"/>
      <c r="AJ355" s="103">
        <f t="shared" si="614"/>
        <v>0</v>
      </c>
      <c r="AK355" s="104">
        <f t="shared" si="615"/>
        <v>0</v>
      </c>
      <c r="AL355" s="105"/>
    </row>
    <row r="356" spans="1:38" ht="15.6" hidden="1" thickBot="1">
      <c r="A356" s="91"/>
      <c r="B356" s="100"/>
      <c r="C356" s="92"/>
      <c r="D356" s="101" t="s">
        <v>102</v>
      </c>
      <c r="E356" s="106" t="e">
        <f t="shared" ref="E356:R356" si="616">E355/E354</f>
        <v>#DIV/0!</v>
      </c>
      <c r="F356" s="106" t="e">
        <f t="shared" si="616"/>
        <v>#DIV/0!</v>
      </c>
      <c r="G356" s="106" t="e">
        <f t="shared" si="616"/>
        <v>#DIV/0!</v>
      </c>
      <c r="H356" s="106" t="e">
        <f t="shared" si="616"/>
        <v>#DIV/0!</v>
      </c>
      <c r="I356" s="106" t="e">
        <f t="shared" si="616"/>
        <v>#DIV/0!</v>
      </c>
      <c r="J356" s="106" t="e">
        <f t="shared" si="616"/>
        <v>#DIV/0!</v>
      </c>
      <c r="K356" s="106" t="e">
        <f t="shared" si="616"/>
        <v>#DIV/0!</v>
      </c>
      <c r="L356" s="106" t="e">
        <f t="shared" si="616"/>
        <v>#DIV/0!</v>
      </c>
      <c r="M356" s="107" t="e">
        <f t="shared" si="616"/>
        <v>#DIV/0!</v>
      </c>
      <c r="N356" s="107" t="e">
        <f t="shared" si="616"/>
        <v>#DIV/0!</v>
      </c>
      <c r="O356" s="107" t="e">
        <f t="shared" si="616"/>
        <v>#DIV/0!</v>
      </c>
      <c r="P356" s="108" t="e">
        <f t="shared" si="616"/>
        <v>#DIV/0!</v>
      </c>
      <c r="Q356" s="109" t="e">
        <f t="shared" si="616"/>
        <v>#DIV/0!</v>
      </c>
      <c r="R356" s="110" t="e">
        <f t="shared" si="616"/>
        <v>#DIV/0!</v>
      </c>
      <c r="S356" s="105"/>
      <c r="T356" s="91"/>
      <c r="U356" s="100"/>
      <c r="V356" s="92"/>
      <c r="W356" s="101" t="s">
        <v>102</v>
      </c>
      <c r="X356" s="106" t="e">
        <f t="shared" ref="X356:AK356" si="617">X355/X354</f>
        <v>#DIV/0!</v>
      </c>
      <c r="Y356" s="106" t="e">
        <f t="shared" si="617"/>
        <v>#DIV/0!</v>
      </c>
      <c r="Z356" s="106" t="e">
        <f t="shared" si="617"/>
        <v>#DIV/0!</v>
      </c>
      <c r="AA356" s="106" t="e">
        <f t="shared" si="617"/>
        <v>#DIV/0!</v>
      </c>
      <c r="AB356" s="106" t="e">
        <f t="shared" si="617"/>
        <v>#DIV/0!</v>
      </c>
      <c r="AC356" s="106" t="e">
        <f t="shared" si="617"/>
        <v>#DIV/0!</v>
      </c>
      <c r="AD356" s="106" t="e">
        <f t="shared" si="617"/>
        <v>#DIV/0!</v>
      </c>
      <c r="AE356" s="106" t="e">
        <f t="shared" si="617"/>
        <v>#DIV/0!</v>
      </c>
      <c r="AF356" s="107" t="e">
        <f t="shared" si="617"/>
        <v>#DIV/0!</v>
      </c>
      <c r="AG356" s="107" t="e">
        <f t="shared" si="617"/>
        <v>#DIV/0!</v>
      </c>
      <c r="AH356" s="107" t="e">
        <f t="shared" si="617"/>
        <v>#DIV/0!</v>
      </c>
      <c r="AI356" s="108" t="e">
        <f t="shared" si="617"/>
        <v>#DIV/0!</v>
      </c>
      <c r="AJ356" s="109" t="e">
        <f t="shared" si="617"/>
        <v>#DIV/0!</v>
      </c>
      <c r="AK356" s="110" t="e">
        <f t="shared" si="617"/>
        <v>#DIV/0!</v>
      </c>
      <c r="AL356" s="105"/>
    </row>
    <row r="357" spans="1:38" ht="15.6" hidden="1" thickBot="1">
      <c r="A357" s="91"/>
      <c r="B357" s="100"/>
      <c r="C357" s="111"/>
      <c r="D357" s="112" t="s">
        <v>103</v>
      </c>
      <c r="E357" s="113" t="e">
        <f t="shared" ref="E357:R357" si="618">E355/E353</f>
        <v>#DIV/0!</v>
      </c>
      <c r="F357" s="113" t="e">
        <f t="shared" si="618"/>
        <v>#DIV/0!</v>
      </c>
      <c r="G357" s="113" t="e">
        <f t="shared" si="618"/>
        <v>#DIV/0!</v>
      </c>
      <c r="H357" s="113" t="e">
        <f t="shared" si="618"/>
        <v>#DIV/0!</v>
      </c>
      <c r="I357" s="113" t="e">
        <f t="shared" si="618"/>
        <v>#DIV/0!</v>
      </c>
      <c r="J357" s="113" t="e">
        <f t="shared" si="618"/>
        <v>#DIV/0!</v>
      </c>
      <c r="K357" s="113" t="e">
        <f t="shared" si="618"/>
        <v>#DIV/0!</v>
      </c>
      <c r="L357" s="113" t="e">
        <f t="shared" si="618"/>
        <v>#DIV/0!</v>
      </c>
      <c r="M357" s="113" t="e">
        <f t="shared" si="618"/>
        <v>#DIV/0!</v>
      </c>
      <c r="N357" s="113" t="e">
        <f t="shared" si="618"/>
        <v>#DIV/0!</v>
      </c>
      <c r="O357" s="113" t="e">
        <f t="shared" si="618"/>
        <v>#DIV/0!</v>
      </c>
      <c r="P357" s="114" t="e">
        <f t="shared" si="618"/>
        <v>#DIV/0!</v>
      </c>
      <c r="Q357" s="115" t="e">
        <f t="shared" si="618"/>
        <v>#DIV/0!</v>
      </c>
      <c r="R357" s="116" t="e">
        <f t="shared" si="618"/>
        <v>#DIV/0!</v>
      </c>
      <c r="T357" s="91"/>
      <c r="U357" s="100"/>
      <c r="V357" s="111"/>
      <c r="W357" s="112" t="s">
        <v>103</v>
      </c>
      <c r="X357" s="113" t="e">
        <f t="shared" ref="X357:AK357" si="619">X355/X353</f>
        <v>#DIV/0!</v>
      </c>
      <c r="Y357" s="113" t="e">
        <f t="shared" si="619"/>
        <v>#DIV/0!</v>
      </c>
      <c r="Z357" s="113" t="e">
        <f t="shared" si="619"/>
        <v>#DIV/0!</v>
      </c>
      <c r="AA357" s="113" t="e">
        <f t="shared" si="619"/>
        <v>#DIV/0!</v>
      </c>
      <c r="AB357" s="113" t="e">
        <f t="shared" si="619"/>
        <v>#DIV/0!</v>
      </c>
      <c r="AC357" s="113" t="e">
        <f t="shared" si="619"/>
        <v>#DIV/0!</v>
      </c>
      <c r="AD357" s="113" t="e">
        <f t="shared" si="619"/>
        <v>#DIV/0!</v>
      </c>
      <c r="AE357" s="113" t="e">
        <f t="shared" si="619"/>
        <v>#DIV/0!</v>
      </c>
      <c r="AF357" s="113" t="e">
        <f t="shared" si="619"/>
        <v>#DIV/0!</v>
      </c>
      <c r="AG357" s="113" t="e">
        <f t="shared" si="619"/>
        <v>#DIV/0!</v>
      </c>
      <c r="AH357" s="113" t="e">
        <f t="shared" si="619"/>
        <v>#DIV/0!</v>
      </c>
      <c r="AI357" s="114" t="e">
        <f t="shared" si="619"/>
        <v>#DIV/0!</v>
      </c>
      <c r="AJ357" s="115" t="e">
        <f t="shared" si="619"/>
        <v>#DIV/0!</v>
      </c>
      <c r="AK357" s="116" t="e">
        <f t="shared" si="619"/>
        <v>#DIV/0!</v>
      </c>
    </row>
    <row r="358" spans="1:38" ht="15.6" hidden="1" thickBot="1">
      <c r="A358" s="91"/>
      <c r="B358" s="100"/>
      <c r="C358" s="86"/>
      <c r="D358" s="87">
        <v>2019</v>
      </c>
      <c r="E358" s="88"/>
      <c r="F358" s="121"/>
      <c r="G358" s="121"/>
      <c r="H358" s="121"/>
      <c r="I358" s="121"/>
      <c r="J358" s="121"/>
      <c r="K358" s="121"/>
      <c r="L358" s="121"/>
      <c r="M358" s="122"/>
      <c r="N358" s="122"/>
      <c r="O358" s="122"/>
      <c r="P358" s="123"/>
      <c r="Q358" s="89">
        <f t="shared" ref="Q358:Q360" si="620">SUM(E358:P358)</f>
        <v>0</v>
      </c>
      <c r="R358" s="90">
        <f t="shared" ref="R358" si="621">SUM(E358:M358)</f>
        <v>0</v>
      </c>
      <c r="T358" s="91"/>
      <c r="U358" s="100"/>
      <c r="V358" s="86">
        <f t="shared" ref="V358:V359" si="622">C358</f>
        <v>0</v>
      </c>
      <c r="W358" s="87">
        <v>2019</v>
      </c>
      <c r="X358" s="88"/>
      <c r="Y358" s="121"/>
      <c r="Z358" s="121"/>
      <c r="AA358" s="121"/>
      <c r="AB358" s="121"/>
      <c r="AC358" s="121"/>
      <c r="AD358" s="121"/>
      <c r="AE358" s="121"/>
      <c r="AF358" s="122"/>
      <c r="AG358" s="122"/>
      <c r="AH358" s="122"/>
      <c r="AI358" s="123"/>
      <c r="AJ358" s="89">
        <f t="shared" ref="AJ358:AJ360" si="623">SUM(X358:AI358)</f>
        <v>0</v>
      </c>
      <c r="AK358" s="90">
        <f t="shared" ref="AK358:AK360" si="624">SUM(X358:AF358)</f>
        <v>0</v>
      </c>
    </row>
    <row r="359" spans="1:38" ht="15.6" hidden="1" thickBot="1">
      <c r="A359" s="91"/>
      <c r="B359" s="100"/>
      <c r="C359" s="92"/>
      <c r="D359" s="93" t="s">
        <v>92</v>
      </c>
      <c r="E359" s="94"/>
      <c r="F359" s="97"/>
      <c r="G359" s="97"/>
      <c r="H359" s="97"/>
      <c r="I359" s="97"/>
      <c r="J359" s="97"/>
      <c r="K359" s="97"/>
      <c r="L359" s="97"/>
      <c r="M359" s="98"/>
      <c r="N359" s="98"/>
      <c r="O359" s="98"/>
      <c r="P359" s="99"/>
      <c r="Q359" s="95">
        <f t="shared" si="620"/>
        <v>0</v>
      </c>
      <c r="R359" s="96">
        <f t="shared" si="576"/>
        <v>0</v>
      </c>
      <c r="T359" s="91"/>
      <c r="U359" s="100"/>
      <c r="V359" s="92">
        <f t="shared" si="622"/>
        <v>0</v>
      </c>
      <c r="W359" s="93" t="s">
        <v>92</v>
      </c>
      <c r="X359" s="94"/>
      <c r="Y359" s="97"/>
      <c r="Z359" s="97"/>
      <c r="AA359" s="97"/>
      <c r="AB359" s="97"/>
      <c r="AC359" s="97"/>
      <c r="AD359" s="97"/>
      <c r="AE359" s="97"/>
      <c r="AF359" s="98"/>
      <c r="AG359" s="98"/>
      <c r="AH359" s="98"/>
      <c r="AI359" s="99"/>
      <c r="AJ359" s="95">
        <f t="shared" si="623"/>
        <v>0</v>
      </c>
      <c r="AK359" s="96">
        <f t="shared" si="624"/>
        <v>0</v>
      </c>
    </row>
    <row r="360" spans="1:38" ht="15.6" hidden="1" thickBot="1">
      <c r="A360" s="91"/>
      <c r="B360" s="100"/>
      <c r="C360" s="92"/>
      <c r="D360" s="101">
        <v>2020</v>
      </c>
      <c r="E360" s="102"/>
      <c r="F360" s="124"/>
      <c r="G360" s="124"/>
      <c r="H360" s="124"/>
      <c r="I360" s="124"/>
      <c r="J360" s="124"/>
      <c r="K360" s="124"/>
      <c r="L360" s="124"/>
      <c r="M360" s="125"/>
      <c r="N360" s="125"/>
      <c r="O360" s="125"/>
      <c r="P360" s="126"/>
      <c r="Q360" s="103">
        <f t="shared" si="620"/>
        <v>0</v>
      </c>
      <c r="R360" s="104">
        <f t="shared" si="576"/>
        <v>0</v>
      </c>
      <c r="S360" s="105"/>
      <c r="T360" s="91"/>
      <c r="U360" s="100"/>
      <c r="V360" s="92"/>
      <c r="W360" s="101">
        <v>2020</v>
      </c>
      <c r="X360" s="102"/>
      <c r="Y360" s="124"/>
      <c r="Z360" s="124"/>
      <c r="AA360" s="124"/>
      <c r="AB360" s="124"/>
      <c r="AC360" s="124"/>
      <c r="AD360" s="124"/>
      <c r="AE360" s="124"/>
      <c r="AF360" s="125"/>
      <c r="AG360" s="125"/>
      <c r="AH360" s="125"/>
      <c r="AI360" s="126"/>
      <c r="AJ360" s="103">
        <f t="shared" si="623"/>
        <v>0</v>
      </c>
      <c r="AK360" s="104">
        <f t="shared" si="624"/>
        <v>0</v>
      </c>
      <c r="AL360" s="105"/>
    </row>
    <row r="361" spans="1:38" ht="15.6" hidden="1" thickBot="1">
      <c r="A361" s="91"/>
      <c r="B361" s="100"/>
      <c r="C361" s="92"/>
      <c r="D361" s="101" t="s">
        <v>102</v>
      </c>
      <c r="E361" s="106" t="e">
        <f t="shared" ref="E361:R361" si="625">E360/E359</f>
        <v>#DIV/0!</v>
      </c>
      <c r="F361" s="106" t="e">
        <f t="shared" si="625"/>
        <v>#DIV/0!</v>
      </c>
      <c r="G361" s="106" t="e">
        <f t="shared" si="625"/>
        <v>#DIV/0!</v>
      </c>
      <c r="H361" s="106" t="e">
        <f t="shared" si="625"/>
        <v>#DIV/0!</v>
      </c>
      <c r="I361" s="106" t="e">
        <f t="shared" si="625"/>
        <v>#DIV/0!</v>
      </c>
      <c r="J361" s="106" t="e">
        <f t="shared" si="625"/>
        <v>#DIV/0!</v>
      </c>
      <c r="K361" s="106" t="e">
        <f t="shared" si="625"/>
        <v>#DIV/0!</v>
      </c>
      <c r="L361" s="106" t="e">
        <f t="shared" si="625"/>
        <v>#DIV/0!</v>
      </c>
      <c r="M361" s="107" t="e">
        <f t="shared" si="625"/>
        <v>#DIV/0!</v>
      </c>
      <c r="N361" s="107" t="e">
        <f t="shared" si="625"/>
        <v>#DIV/0!</v>
      </c>
      <c r="O361" s="107" t="e">
        <f t="shared" si="625"/>
        <v>#DIV/0!</v>
      </c>
      <c r="P361" s="108" t="e">
        <f t="shared" si="625"/>
        <v>#DIV/0!</v>
      </c>
      <c r="Q361" s="109" t="e">
        <f t="shared" si="625"/>
        <v>#DIV/0!</v>
      </c>
      <c r="R361" s="110" t="e">
        <f t="shared" si="625"/>
        <v>#DIV/0!</v>
      </c>
      <c r="S361" s="105"/>
      <c r="T361" s="91"/>
      <c r="U361" s="100"/>
      <c r="V361" s="92"/>
      <c r="W361" s="101" t="s">
        <v>102</v>
      </c>
      <c r="X361" s="106" t="e">
        <f t="shared" ref="X361:AK361" si="626">X360/X359</f>
        <v>#DIV/0!</v>
      </c>
      <c r="Y361" s="106" t="e">
        <f t="shared" si="626"/>
        <v>#DIV/0!</v>
      </c>
      <c r="Z361" s="106" t="e">
        <f t="shared" si="626"/>
        <v>#DIV/0!</v>
      </c>
      <c r="AA361" s="106" t="e">
        <f t="shared" si="626"/>
        <v>#DIV/0!</v>
      </c>
      <c r="AB361" s="106" t="e">
        <f t="shared" si="626"/>
        <v>#DIV/0!</v>
      </c>
      <c r="AC361" s="106" t="e">
        <f t="shared" si="626"/>
        <v>#DIV/0!</v>
      </c>
      <c r="AD361" s="106" t="e">
        <f t="shared" si="626"/>
        <v>#DIV/0!</v>
      </c>
      <c r="AE361" s="106" t="e">
        <f t="shared" si="626"/>
        <v>#DIV/0!</v>
      </c>
      <c r="AF361" s="107" t="e">
        <f t="shared" si="626"/>
        <v>#DIV/0!</v>
      </c>
      <c r="AG361" s="107" t="e">
        <f t="shared" si="626"/>
        <v>#DIV/0!</v>
      </c>
      <c r="AH361" s="107" t="e">
        <f t="shared" si="626"/>
        <v>#DIV/0!</v>
      </c>
      <c r="AI361" s="108" t="e">
        <f t="shared" si="626"/>
        <v>#DIV/0!</v>
      </c>
      <c r="AJ361" s="109" t="e">
        <f t="shared" si="626"/>
        <v>#DIV/0!</v>
      </c>
      <c r="AK361" s="110" t="e">
        <f t="shared" si="626"/>
        <v>#DIV/0!</v>
      </c>
      <c r="AL361" s="105"/>
    </row>
    <row r="362" spans="1:38" ht="15.6" hidden="1" thickBot="1">
      <c r="A362" s="91"/>
      <c r="B362" s="100"/>
      <c r="C362" s="111"/>
      <c r="D362" s="112" t="s">
        <v>103</v>
      </c>
      <c r="E362" s="113" t="e">
        <f t="shared" ref="E362:R362" si="627">E360/E358</f>
        <v>#DIV/0!</v>
      </c>
      <c r="F362" s="113" t="e">
        <f t="shared" si="627"/>
        <v>#DIV/0!</v>
      </c>
      <c r="G362" s="113" t="e">
        <f t="shared" si="627"/>
        <v>#DIV/0!</v>
      </c>
      <c r="H362" s="113" t="e">
        <f t="shared" si="627"/>
        <v>#DIV/0!</v>
      </c>
      <c r="I362" s="113" t="e">
        <f t="shared" si="627"/>
        <v>#DIV/0!</v>
      </c>
      <c r="J362" s="113" t="e">
        <f t="shared" si="627"/>
        <v>#DIV/0!</v>
      </c>
      <c r="K362" s="113" t="e">
        <f t="shared" si="627"/>
        <v>#DIV/0!</v>
      </c>
      <c r="L362" s="113" t="e">
        <f t="shared" si="627"/>
        <v>#DIV/0!</v>
      </c>
      <c r="M362" s="113" t="e">
        <f t="shared" si="627"/>
        <v>#DIV/0!</v>
      </c>
      <c r="N362" s="113" t="e">
        <f t="shared" si="627"/>
        <v>#DIV/0!</v>
      </c>
      <c r="O362" s="113" t="e">
        <f t="shared" si="627"/>
        <v>#DIV/0!</v>
      </c>
      <c r="P362" s="114" t="e">
        <f t="shared" si="627"/>
        <v>#DIV/0!</v>
      </c>
      <c r="Q362" s="115" t="e">
        <f t="shared" si="627"/>
        <v>#DIV/0!</v>
      </c>
      <c r="R362" s="116" t="e">
        <f t="shared" si="627"/>
        <v>#DIV/0!</v>
      </c>
      <c r="T362" s="91"/>
      <c r="U362" s="100"/>
      <c r="V362" s="111"/>
      <c r="W362" s="112" t="s">
        <v>103</v>
      </c>
      <c r="X362" s="113" t="e">
        <f t="shared" ref="X362:AK362" si="628">X360/X358</f>
        <v>#DIV/0!</v>
      </c>
      <c r="Y362" s="113" t="e">
        <f t="shared" si="628"/>
        <v>#DIV/0!</v>
      </c>
      <c r="Z362" s="113" t="e">
        <f t="shared" si="628"/>
        <v>#DIV/0!</v>
      </c>
      <c r="AA362" s="113" t="e">
        <f t="shared" si="628"/>
        <v>#DIV/0!</v>
      </c>
      <c r="AB362" s="113" t="e">
        <f t="shared" si="628"/>
        <v>#DIV/0!</v>
      </c>
      <c r="AC362" s="113" t="e">
        <f t="shared" si="628"/>
        <v>#DIV/0!</v>
      </c>
      <c r="AD362" s="113" t="e">
        <f t="shared" si="628"/>
        <v>#DIV/0!</v>
      </c>
      <c r="AE362" s="113" t="e">
        <f t="shared" si="628"/>
        <v>#DIV/0!</v>
      </c>
      <c r="AF362" s="113" t="e">
        <f t="shared" si="628"/>
        <v>#DIV/0!</v>
      </c>
      <c r="AG362" s="113" t="e">
        <f t="shared" si="628"/>
        <v>#DIV/0!</v>
      </c>
      <c r="AH362" s="113" t="e">
        <f t="shared" si="628"/>
        <v>#DIV/0!</v>
      </c>
      <c r="AI362" s="114" t="e">
        <f t="shared" si="628"/>
        <v>#DIV/0!</v>
      </c>
      <c r="AJ362" s="115" t="e">
        <f t="shared" si="628"/>
        <v>#DIV/0!</v>
      </c>
      <c r="AK362" s="116" t="e">
        <f t="shared" si="628"/>
        <v>#DIV/0!</v>
      </c>
    </row>
    <row r="363" spans="1:38" ht="15.6" hidden="1" thickBot="1">
      <c r="A363" s="91"/>
      <c r="B363" s="100"/>
      <c r="C363" s="86"/>
      <c r="D363" s="87">
        <v>2019</v>
      </c>
      <c r="E363" s="88"/>
      <c r="F363" s="121"/>
      <c r="G363" s="121"/>
      <c r="H363" s="121"/>
      <c r="I363" s="121"/>
      <c r="J363" s="121"/>
      <c r="K363" s="121"/>
      <c r="L363" s="121"/>
      <c r="M363" s="122"/>
      <c r="N363" s="122"/>
      <c r="O363" s="122"/>
      <c r="P363" s="123"/>
      <c r="Q363" s="89">
        <f t="shared" ref="Q363:Q365" si="629">SUM(E363:P363)</f>
        <v>0</v>
      </c>
      <c r="R363" s="90">
        <f t="shared" ref="R363" si="630">SUM(E363:M363)</f>
        <v>0</v>
      </c>
      <c r="T363" s="91"/>
      <c r="U363" s="100"/>
      <c r="V363" s="86">
        <f t="shared" ref="V363:V364" si="631">C363</f>
        <v>0</v>
      </c>
      <c r="W363" s="87">
        <v>2019</v>
      </c>
      <c r="X363" s="88"/>
      <c r="Y363" s="121"/>
      <c r="Z363" s="121"/>
      <c r="AA363" s="121"/>
      <c r="AB363" s="121"/>
      <c r="AC363" s="121"/>
      <c r="AD363" s="121"/>
      <c r="AE363" s="121"/>
      <c r="AF363" s="122"/>
      <c r="AG363" s="122"/>
      <c r="AH363" s="122"/>
      <c r="AI363" s="123"/>
      <c r="AJ363" s="89">
        <f t="shared" ref="AJ363:AJ365" si="632">SUM(X363:AI363)</f>
        <v>0</v>
      </c>
      <c r="AK363" s="90">
        <f t="shared" ref="AK363:AK365" si="633">SUM(X363:AF363)</f>
        <v>0</v>
      </c>
    </row>
    <row r="364" spans="1:38" ht="15.6" hidden="1" thickBot="1">
      <c r="A364" s="91"/>
      <c r="B364" s="100"/>
      <c r="C364" s="92"/>
      <c r="D364" s="93" t="s">
        <v>92</v>
      </c>
      <c r="E364" s="94"/>
      <c r="F364" s="97"/>
      <c r="G364" s="97"/>
      <c r="H364" s="97"/>
      <c r="I364" s="97"/>
      <c r="J364" s="97"/>
      <c r="K364" s="97"/>
      <c r="L364" s="97"/>
      <c r="M364" s="98"/>
      <c r="N364" s="98"/>
      <c r="O364" s="98"/>
      <c r="P364" s="99"/>
      <c r="Q364" s="95">
        <f t="shared" si="629"/>
        <v>0</v>
      </c>
      <c r="R364" s="96">
        <f t="shared" si="576"/>
        <v>0</v>
      </c>
      <c r="T364" s="91"/>
      <c r="U364" s="100"/>
      <c r="V364" s="92">
        <f t="shared" si="631"/>
        <v>0</v>
      </c>
      <c r="W364" s="93" t="s">
        <v>92</v>
      </c>
      <c r="X364" s="94"/>
      <c r="Y364" s="97"/>
      <c r="Z364" s="97"/>
      <c r="AA364" s="97"/>
      <c r="AB364" s="97"/>
      <c r="AC364" s="97"/>
      <c r="AD364" s="97"/>
      <c r="AE364" s="97"/>
      <c r="AF364" s="98"/>
      <c r="AG364" s="98"/>
      <c r="AH364" s="98"/>
      <c r="AI364" s="99"/>
      <c r="AJ364" s="95">
        <f t="shared" si="632"/>
        <v>0</v>
      </c>
      <c r="AK364" s="96">
        <f t="shared" si="633"/>
        <v>0</v>
      </c>
    </row>
    <row r="365" spans="1:38" ht="15.6" hidden="1" thickBot="1">
      <c r="A365" s="91"/>
      <c r="B365" s="100"/>
      <c r="C365" s="92"/>
      <c r="D365" s="101">
        <v>2020</v>
      </c>
      <c r="E365" s="102"/>
      <c r="F365" s="124"/>
      <c r="G365" s="124"/>
      <c r="H365" s="124"/>
      <c r="I365" s="124"/>
      <c r="J365" s="124"/>
      <c r="K365" s="124"/>
      <c r="L365" s="124"/>
      <c r="M365" s="125"/>
      <c r="N365" s="125"/>
      <c r="O365" s="125"/>
      <c r="P365" s="126"/>
      <c r="Q365" s="103">
        <f t="shared" si="629"/>
        <v>0</v>
      </c>
      <c r="R365" s="104">
        <f t="shared" si="576"/>
        <v>0</v>
      </c>
      <c r="S365" s="105"/>
      <c r="T365" s="91"/>
      <c r="U365" s="100"/>
      <c r="V365" s="92"/>
      <c r="W365" s="101">
        <v>2020</v>
      </c>
      <c r="X365" s="102"/>
      <c r="Y365" s="124"/>
      <c r="Z365" s="124"/>
      <c r="AA365" s="124"/>
      <c r="AB365" s="124"/>
      <c r="AC365" s="124"/>
      <c r="AD365" s="124"/>
      <c r="AE365" s="124"/>
      <c r="AF365" s="125"/>
      <c r="AG365" s="125"/>
      <c r="AH365" s="125"/>
      <c r="AI365" s="126"/>
      <c r="AJ365" s="103">
        <f t="shared" si="632"/>
        <v>0</v>
      </c>
      <c r="AK365" s="104">
        <f t="shared" si="633"/>
        <v>0</v>
      </c>
      <c r="AL365" s="105"/>
    </row>
    <row r="366" spans="1:38" ht="15.6" hidden="1" thickBot="1">
      <c r="A366" s="91"/>
      <c r="B366" s="100"/>
      <c r="C366" s="92"/>
      <c r="D366" s="101" t="s">
        <v>102</v>
      </c>
      <c r="E366" s="106" t="e">
        <f t="shared" ref="E366:R366" si="634">E365/E364</f>
        <v>#DIV/0!</v>
      </c>
      <c r="F366" s="106" t="e">
        <f t="shared" si="634"/>
        <v>#DIV/0!</v>
      </c>
      <c r="G366" s="106" t="e">
        <f t="shared" si="634"/>
        <v>#DIV/0!</v>
      </c>
      <c r="H366" s="106" t="e">
        <f t="shared" si="634"/>
        <v>#DIV/0!</v>
      </c>
      <c r="I366" s="106" t="e">
        <f t="shared" si="634"/>
        <v>#DIV/0!</v>
      </c>
      <c r="J366" s="106" t="e">
        <f t="shared" si="634"/>
        <v>#DIV/0!</v>
      </c>
      <c r="K366" s="106" t="e">
        <f t="shared" si="634"/>
        <v>#DIV/0!</v>
      </c>
      <c r="L366" s="106" t="e">
        <f t="shared" si="634"/>
        <v>#DIV/0!</v>
      </c>
      <c r="M366" s="107" t="e">
        <f t="shared" si="634"/>
        <v>#DIV/0!</v>
      </c>
      <c r="N366" s="107" t="e">
        <f t="shared" si="634"/>
        <v>#DIV/0!</v>
      </c>
      <c r="O366" s="107" t="e">
        <f t="shared" si="634"/>
        <v>#DIV/0!</v>
      </c>
      <c r="P366" s="108" t="e">
        <f t="shared" si="634"/>
        <v>#DIV/0!</v>
      </c>
      <c r="Q366" s="109" t="e">
        <f t="shared" si="634"/>
        <v>#DIV/0!</v>
      </c>
      <c r="R366" s="110" t="e">
        <f t="shared" si="634"/>
        <v>#DIV/0!</v>
      </c>
      <c r="S366" s="105"/>
      <c r="T366" s="91"/>
      <c r="U366" s="100"/>
      <c r="V366" s="92"/>
      <c r="W366" s="101" t="s">
        <v>102</v>
      </c>
      <c r="X366" s="106" t="e">
        <f t="shared" ref="X366:AK366" si="635">X365/X364</f>
        <v>#DIV/0!</v>
      </c>
      <c r="Y366" s="106" t="e">
        <f t="shared" si="635"/>
        <v>#DIV/0!</v>
      </c>
      <c r="Z366" s="106" t="e">
        <f t="shared" si="635"/>
        <v>#DIV/0!</v>
      </c>
      <c r="AA366" s="106" t="e">
        <f t="shared" si="635"/>
        <v>#DIV/0!</v>
      </c>
      <c r="AB366" s="106" t="e">
        <f t="shared" si="635"/>
        <v>#DIV/0!</v>
      </c>
      <c r="AC366" s="106" t="e">
        <f t="shared" si="635"/>
        <v>#DIV/0!</v>
      </c>
      <c r="AD366" s="106" t="e">
        <f t="shared" si="635"/>
        <v>#DIV/0!</v>
      </c>
      <c r="AE366" s="106" t="e">
        <f t="shared" si="635"/>
        <v>#DIV/0!</v>
      </c>
      <c r="AF366" s="107" t="e">
        <f t="shared" si="635"/>
        <v>#DIV/0!</v>
      </c>
      <c r="AG366" s="107" t="e">
        <f t="shared" si="635"/>
        <v>#DIV/0!</v>
      </c>
      <c r="AH366" s="107" t="e">
        <f t="shared" si="635"/>
        <v>#DIV/0!</v>
      </c>
      <c r="AI366" s="108" t="e">
        <f t="shared" si="635"/>
        <v>#DIV/0!</v>
      </c>
      <c r="AJ366" s="109" t="e">
        <f t="shared" si="635"/>
        <v>#DIV/0!</v>
      </c>
      <c r="AK366" s="110" t="e">
        <f t="shared" si="635"/>
        <v>#DIV/0!</v>
      </c>
      <c r="AL366" s="105"/>
    </row>
    <row r="367" spans="1:38" ht="15.6" hidden="1" thickBot="1">
      <c r="A367" s="91"/>
      <c r="B367" s="100"/>
      <c r="C367" s="111"/>
      <c r="D367" s="112" t="s">
        <v>103</v>
      </c>
      <c r="E367" s="113" t="e">
        <f t="shared" ref="E367:R367" si="636">E365/E363</f>
        <v>#DIV/0!</v>
      </c>
      <c r="F367" s="113" t="e">
        <f t="shared" si="636"/>
        <v>#DIV/0!</v>
      </c>
      <c r="G367" s="113" t="e">
        <f t="shared" si="636"/>
        <v>#DIV/0!</v>
      </c>
      <c r="H367" s="113" t="e">
        <f t="shared" si="636"/>
        <v>#DIV/0!</v>
      </c>
      <c r="I367" s="113" t="e">
        <f t="shared" si="636"/>
        <v>#DIV/0!</v>
      </c>
      <c r="J367" s="113" t="e">
        <f t="shared" si="636"/>
        <v>#DIV/0!</v>
      </c>
      <c r="K367" s="113" t="e">
        <f t="shared" si="636"/>
        <v>#DIV/0!</v>
      </c>
      <c r="L367" s="113" t="e">
        <f t="shared" si="636"/>
        <v>#DIV/0!</v>
      </c>
      <c r="M367" s="113" t="e">
        <f t="shared" si="636"/>
        <v>#DIV/0!</v>
      </c>
      <c r="N367" s="113" t="e">
        <f t="shared" si="636"/>
        <v>#DIV/0!</v>
      </c>
      <c r="O367" s="113" t="e">
        <f t="shared" si="636"/>
        <v>#DIV/0!</v>
      </c>
      <c r="P367" s="114" t="e">
        <f t="shared" si="636"/>
        <v>#DIV/0!</v>
      </c>
      <c r="Q367" s="115" t="e">
        <f t="shared" si="636"/>
        <v>#DIV/0!</v>
      </c>
      <c r="R367" s="116" t="e">
        <f t="shared" si="636"/>
        <v>#DIV/0!</v>
      </c>
      <c r="T367" s="91"/>
      <c r="U367" s="100"/>
      <c r="V367" s="111"/>
      <c r="W367" s="112" t="s">
        <v>103</v>
      </c>
      <c r="X367" s="113" t="e">
        <f t="shared" ref="X367:AK367" si="637">X365/X363</f>
        <v>#DIV/0!</v>
      </c>
      <c r="Y367" s="113" t="e">
        <f t="shared" si="637"/>
        <v>#DIV/0!</v>
      </c>
      <c r="Z367" s="113" t="e">
        <f t="shared" si="637"/>
        <v>#DIV/0!</v>
      </c>
      <c r="AA367" s="113" t="e">
        <f t="shared" si="637"/>
        <v>#DIV/0!</v>
      </c>
      <c r="AB367" s="113" t="e">
        <f t="shared" si="637"/>
        <v>#DIV/0!</v>
      </c>
      <c r="AC367" s="113" t="e">
        <f t="shared" si="637"/>
        <v>#DIV/0!</v>
      </c>
      <c r="AD367" s="113" t="e">
        <f t="shared" si="637"/>
        <v>#DIV/0!</v>
      </c>
      <c r="AE367" s="113" t="e">
        <f t="shared" si="637"/>
        <v>#DIV/0!</v>
      </c>
      <c r="AF367" s="113" t="e">
        <f t="shared" si="637"/>
        <v>#DIV/0!</v>
      </c>
      <c r="AG367" s="113" t="e">
        <f t="shared" si="637"/>
        <v>#DIV/0!</v>
      </c>
      <c r="AH367" s="113" t="e">
        <f t="shared" si="637"/>
        <v>#DIV/0!</v>
      </c>
      <c r="AI367" s="114" t="e">
        <f t="shared" si="637"/>
        <v>#DIV/0!</v>
      </c>
      <c r="AJ367" s="115" t="e">
        <f t="shared" si="637"/>
        <v>#DIV/0!</v>
      </c>
      <c r="AK367" s="116" t="e">
        <f t="shared" si="637"/>
        <v>#DIV/0!</v>
      </c>
    </row>
    <row r="368" spans="1:38" ht="15.6" hidden="1" thickBot="1">
      <c r="A368" s="91"/>
      <c r="B368" s="100"/>
      <c r="C368" s="86" t="s">
        <v>116</v>
      </c>
      <c r="D368" s="87">
        <v>2019</v>
      </c>
      <c r="E368" s="88"/>
      <c r="F368" s="121"/>
      <c r="G368" s="121"/>
      <c r="H368" s="121"/>
      <c r="I368" s="121"/>
      <c r="J368" s="121"/>
      <c r="K368" s="121"/>
      <c r="L368" s="121"/>
      <c r="M368" s="122"/>
      <c r="N368" s="122"/>
      <c r="O368" s="122"/>
      <c r="P368" s="123"/>
      <c r="Q368" s="89">
        <f t="shared" ref="Q368:Q370" si="638">SUM(E368:P368)</f>
        <v>0</v>
      </c>
      <c r="R368" s="90">
        <f t="shared" ref="R368" si="639">SUM(E368:M368)</f>
        <v>0</v>
      </c>
      <c r="T368" s="91"/>
      <c r="U368" s="100"/>
      <c r="V368" s="86" t="str">
        <f t="shared" ref="V368:V369" si="640">C368</f>
        <v>その他</v>
      </c>
      <c r="W368" s="87">
        <v>2019</v>
      </c>
      <c r="X368" s="88"/>
      <c r="Y368" s="121"/>
      <c r="Z368" s="121"/>
      <c r="AA368" s="121"/>
      <c r="AB368" s="121"/>
      <c r="AC368" s="121"/>
      <c r="AD368" s="121"/>
      <c r="AE368" s="121"/>
      <c r="AF368" s="122"/>
      <c r="AG368" s="122"/>
      <c r="AH368" s="122"/>
      <c r="AI368" s="123"/>
      <c r="AJ368" s="89">
        <f t="shared" ref="AJ368:AJ370" si="641">SUM(X368:AI368)</f>
        <v>0</v>
      </c>
      <c r="AK368" s="90">
        <f t="shared" ref="AK368:AK370" si="642">SUM(X368:AF368)</f>
        <v>0</v>
      </c>
    </row>
    <row r="369" spans="1:38" ht="15.6" hidden="1" thickBot="1">
      <c r="A369" s="91"/>
      <c r="B369" s="100"/>
      <c r="C369" s="92" t="s">
        <v>129</v>
      </c>
      <c r="D369" s="93" t="s">
        <v>92</v>
      </c>
      <c r="E369" s="94"/>
      <c r="F369" s="97"/>
      <c r="G369" s="97"/>
      <c r="H369" s="97"/>
      <c r="I369" s="97"/>
      <c r="J369" s="97"/>
      <c r="K369" s="97"/>
      <c r="L369" s="97"/>
      <c r="M369" s="98"/>
      <c r="N369" s="98"/>
      <c r="O369" s="98"/>
      <c r="P369" s="99"/>
      <c r="Q369" s="95">
        <f t="shared" si="638"/>
        <v>0</v>
      </c>
      <c r="R369" s="96">
        <f t="shared" si="576"/>
        <v>0</v>
      </c>
      <c r="T369" s="91"/>
      <c r="U369" s="100"/>
      <c r="V369" s="92" t="str">
        <f t="shared" si="640"/>
        <v>Others</v>
      </c>
      <c r="W369" s="93" t="s">
        <v>92</v>
      </c>
      <c r="X369" s="94"/>
      <c r="Y369" s="97"/>
      <c r="Z369" s="97"/>
      <c r="AA369" s="97"/>
      <c r="AB369" s="97"/>
      <c r="AC369" s="97"/>
      <c r="AD369" s="97"/>
      <c r="AE369" s="97"/>
      <c r="AF369" s="98"/>
      <c r="AG369" s="98"/>
      <c r="AH369" s="98"/>
      <c r="AI369" s="99"/>
      <c r="AJ369" s="95">
        <f t="shared" si="641"/>
        <v>0</v>
      </c>
      <c r="AK369" s="96">
        <f t="shared" si="642"/>
        <v>0</v>
      </c>
    </row>
    <row r="370" spans="1:38" ht="15.6" hidden="1" thickBot="1">
      <c r="A370" s="91"/>
      <c r="B370" s="100"/>
      <c r="C370" s="92"/>
      <c r="D370" s="101">
        <v>2020</v>
      </c>
      <c r="E370" s="102"/>
      <c r="F370" s="124"/>
      <c r="G370" s="124"/>
      <c r="H370" s="124"/>
      <c r="I370" s="124"/>
      <c r="J370" s="124"/>
      <c r="K370" s="124"/>
      <c r="L370" s="124"/>
      <c r="M370" s="125"/>
      <c r="N370" s="125"/>
      <c r="O370" s="125"/>
      <c r="P370" s="126"/>
      <c r="Q370" s="103">
        <f t="shared" si="638"/>
        <v>0</v>
      </c>
      <c r="R370" s="104">
        <f t="shared" si="576"/>
        <v>0</v>
      </c>
      <c r="S370" s="105"/>
      <c r="T370" s="91"/>
      <c r="U370" s="100"/>
      <c r="V370" s="92"/>
      <c r="W370" s="101">
        <v>2020</v>
      </c>
      <c r="X370" s="102"/>
      <c r="Y370" s="124"/>
      <c r="Z370" s="124"/>
      <c r="AA370" s="124"/>
      <c r="AB370" s="124"/>
      <c r="AC370" s="124"/>
      <c r="AD370" s="124"/>
      <c r="AE370" s="124"/>
      <c r="AF370" s="125"/>
      <c r="AG370" s="125"/>
      <c r="AH370" s="125"/>
      <c r="AI370" s="126"/>
      <c r="AJ370" s="103">
        <f t="shared" si="641"/>
        <v>0</v>
      </c>
      <c r="AK370" s="104">
        <f t="shared" si="642"/>
        <v>0</v>
      </c>
      <c r="AL370" s="105"/>
    </row>
    <row r="371" spans="1:38" ht="15.6" hidden="1" thickBot="1">
      <c r="A371" s="91"/>
      <c r="B371" s="100"/>
      <c r="C371" s="92"/>
      <c r="D371" s="101" t="s">
        <v>102</v>
      </c>
      <c r="E371" s="106" t="e">
        <f t="shared" ref="E371:R371" si="643">E370/E369</f>
        <v>#DIV/0!</v>
      </c>
      <c r="F371" s="106" t="e">
        <f t="shared" si="643"/>
        <v>#DIV/0!</v>
      </c>
      <c r="G371" s="106" t="e">
        <f t="shared" si="643"/>
        <v>#DIV/0!</v>
      </c>
      <c r="H371" s="106" t="e">
        <f t="shared" si="643"/>
        <v>#DIV/0!</v>
      </c>
      <c r="I371" s="106" t="e">
        <f t="shared" si="643"/>
        <v>#DIV/0!</v>
      </c>
      <c r="J371" s="106" t="e">
        <f t="shared" si="643"/>
        <v>#DIV/0!</v>
      </c>
      <c r="K371" s="106" t="e">
        <f t="shared" si="643"/>
        <v>#DIV/0!</v>
      </c>
      <c r="L371" s="106" t="e">
        <f t="shared" si="643"/>
        <v>#DIV/0!</v>
      </c>
      <c r="M371" s="107" t="e">
        <f t="shared" si="643"/>
        <v>#DIV/0!</v>
      </c>
      <c r="N371" s="107" t="e">
        <f t="shared" si="643"/>
        <v>#DIV/0!</v>
      </c>
      <c r="O371" s="107" t="e">
        <f t="shared" si="643"/>
        <v>#DIV/0!</v>
      </c>
      <c r="P371" s="108" t="e">
        <f t="shared" si="643"/>
        <v>#DIV/0!</v>
      </c>
      <c r="Q371" s="109" t="e">
        <f t="shared" si="643"/>
        <v>#DIV/0!</v>
      </c>
      <c r="R371" s="110" t="e">
        <f t="shared" si="643"/>
        <v>#DIV/0!</v>
      </c>
      <c r="S371" s="105"/>
      <c r="T371" s="91"/>
      <c r="U371" s="100"/>
      <c r="V371" s="92"/>
      <c r="W371" s="101" t="s">
        <v>102</v>
      </c>
      <c r="X371" s="106" t="e">
        <f t="shared" ref="X371:AK371" si="644">X370/X369</f>
        <v>#DIV/0!</v>
      </c>
      <c r="Y371" s="106" t="e">
        <f t="shared" si="644"/>
        <v>#DIV/0!</v>
      </c>
      <c r="Z371" s="106" t="e">
        <f t="shared" si="644"/>
        <v>#DIV/0!</v>
      </c>
      <c r="AA371" s="106" t="e">
        <f t="shared" si="644"/>
        <v>#DIV/0!</v>
      </c>
      <c r="AB371" s="106" t="e">
        <f t="shared" si="644"/>
        <v>#DIV/0!</v>
      </c>
      <c r="AC371" s="106" t="e">
        <f t="shared" si="644"/>
        <v>#DIV/0!</v>
      </c>
      <c r="AD371" s="106" t="e">
        <f t="shared" si="644"/>
        <v>#DIV/0!</v>
      </c>
      <c r="AE371" s="106" t="e">
        <f t="shared" si="644"/>
        <v>#DIV/0!</v>
      </c>
      <c r="AF371" s="107" t="e">
        <f t="shared" si="644"/>
        <v>#DIV/0!</v>
      </c>
      <c r="AG371" s="107" t="e">
        <f t="shared" si="644"/>
        <v>#DIV/0!</v>
      </c>
      <c r="AH371" s="107" t="e">
        <f t="shared" si="644"/>
        <v>#DIV/0!</v>
      </c>
      <c r="AI371" s="108" t="e">
        <f t="shared" si="644"/>
        <v>#DIV/0!</v>
      </c>
      <c r="AJ371" s="109" t="e">
        <f t="shared" si="644"/>
        <v>#DIV/0!</v>
      </c>
      <c r="AK371" s="110" t="e">
        <f t="shared" si="644"/>
        <v>#DIV/0!</v>
      </c>
      <c r="AL371" s="105"/>
    </row>
    <row r="372" spans="1:38" ht="15.6" hidden="1" thickBot="1">
      <c r="A372" s="91"/>
      <c r="B372" s="100"/>
      <c r="C372" s="111"/>
      <c r="D372" s="112" t="s">
        <v>103</v>
      </c>
      <c r="E372" s="113" t="e">
        <f t="shared" ref="E372:R372" si="645">E370/E368</f>
        <v>#DIV/0!</v>
      </c>
      <c r="F372" s="113" t="e">
        <f t="shared" si="645"/>
        <v>#DIV/0!</v>
      </c>
      <c r="G372" s="113" t="e">
        <f t="shared" si="645"/>
        <v>#DIV/0!</v>
      </c>
      <c r="H372" s="113" t="e">
        <f t="shared" si="645"/>
        <v>#DIV/0!</v>
      </c>
      <c r="I372" s="113" t="e">
        <f t="shared" si="645"/>
        <v>#DIV/0!</v>
      </c>
      <c r="J372" s="113" t="e">
        <f t="shared" si="645"/>
        <v>#DIV/0!</v>
      </c>
      <c r="K372" s="113" t="e">
        <f t="shared" si="645"/>
        <v>#DIV/0!</v>
      </c>
      <c r="L372" s="113" t="e">
        <f t="shared" si="645"/>
        <v>#DIV/0!</v>
      </c>
      <c r="M372" s="113" t="e">
        <f t="shared" si="645"/>
        <v>#DIV/0!</v>
      </c>
      <c r="N372" s="113" t="e">
        <f t="shared" si="645"/>
        <v>#DIV/0!</v>
      </c>
      <c r="O372" s="113" t="e">
        <f t="shared" si="645"/>
        <v>#DIV/0!</v>
      </c>
      <c r="P372" s="114" t="e">
        <f t="shared" si="645"/>
        <v>#DIV/0!</v>
      </c>
      <c r="Q372" s="115" t="e">
        <f t="shared" si="645"/>
        <v>#DIV/0!</v>
      </c>
      <c r="R372" s="116" t="e">
        <f t="shared" si="645"/>
        <v>#DIV/0!</v>
      </c>
      <c r="T372" s="91"/>
      <c r="U372" s="100"/>
      <c r="V372" s="111"/>
      <c r="W372" s="112" t="s">
        <v>103</v>
      </c>
      <c r="X372" s="113" t="e">
        <f t="shared" ref="X372:AK372" si="646">X370/X368</f>
        <v>#DIV/0!</v>
      </c>
      <c r="Y372" s="113" t="e">
        <f t="shared" si="646"/>
        <v>#DIV/0!</v>
      </c>
      <c r="Z372" s="113" t="e">
        <f t="shared" si="646"/>
        <v>#DIV/0!</v>
      </c>
      <c r="AA372" s="113" t="e">
        <f t="shared" si="646"/>
        <v>#DIV/0!</v>
      </c>
      <c r="AB372" s="113" t="e">
        <f t="shared" si="646"/>
        <v>#DIV/0!</v>
      </c>
      <c r="AC372" s="113" t="e">
        <f t="shared" si="646"/>
        <v>#DIV/0!</v>
      </c>
      <c r="AD372" s="113" t="e">
        <f t="shared" si="646"/>
        <v>#DIV/0!</v>
      </c>
      <c r="AE372" s="113" t="e">
        <f t="shared" si="646"/>
        <v>#DIV/0!</v>
      </c>
      <c r="AF372" s="113" t="e">
        <f t="shared" si="646"/>
        <v>#DIV/0!</v>
      </c>
      <c r="AG372" s="113" t="e">
        <f t="shared" si="646"/>
        <v>#DIV/0!</v>
      </c>
      <c r="AH372" s="113" t="e">
        <f t="shared" si="646"/>
        <v>#DIV/0!</v>
      </c>
      <c r="AI372" s="114" t="e">
        <f t="shared" si="646"/>
        <v>#DIV/0!</v>
      </c>
      <c r="AJ372" s="115" t="e">
        <f t="shared" si="646"/>
        <v>#DIV/0!</v>
      </c>
      <c r="AK372" s="116" t="e">
        <f t="shared" si="646"/>
        <v>#DIV/0!</v>
      </c>
    </row>
    <row r="373" spans="1:38" ht="15.6" hidden="1" thickBot="1">
      <c r="A373" s="91"/>
      <c r="B373" s="303" t="s">
        <v>145</v>
      </c>
      <c r="C373" s="304"/>
      <c r="D373" s="127">
        <v>2019</v>
      </c>
      <c r="E373" s="128">
        <f>SUM(E368,E363,E358,E353,E348,E343,E338,E333,E328,E323,E318,E313,E308,E303)</f>
        <v>0</v>
      </c>
      <c r="F373" s="129">
        <f t="shared" ref="F373:P373" si="647">SUM(F368,F363,F358,F353,F348,F343,F338,F333,F328,F323,F318,F313,F308,F303)</f>
        <v>0</v>
      </c>
      <c r="G373" s="129">
        <f t="shared" si="647"/>
        <v>0</v>
      </c>
      <c r="H373" s="129">
        <f t="shared" si="647"/>
        <v>0</v>
      </c>
      <c r="I373" s="129">
        <f t="shared" si="647"/>
        <v>0</v>
      </c>
      <c r="J373" s="129">
        <f t="shared" si="647"/>
        <v>0</v>
      </c>
      <c r="K373" s="129">
        <f t="shared" si="647"/>
        <v>0</v>
      </c>
      <c r="L373" s="129">
        <f t="shared" si="647"/>
        <v>0</v>
      </c>
      <c r="M373" s="129">
        <f t="shared" si="647"/>
        <v>0</v>
      </c>
      <c r="N373" s="129">
        <f t="shared" si="647"/>
        <v>0</v>
      </c>
      <c r="O373" s="129">
        <f t="shared" si="647"/>
        <v>0</v>
      </c>
      <c r="P373" s="130">
        <f t="shared" si="647"/>
        <v>0</v>
      </c>
      <c r="Q373" s="131">
        <f>SUM(E373:P373)</f>
        <v>0</v>
      </c>
      <c r="R373" s="90">
        <f t="shared" ref="R373" si="648">SUM(E373:M373)</f>
        <v>0</v>
      </c>
      <c r="T373" s="91"/>
      <c r="U373" s="309" t="s">
        <v>145</v>
      </c>
      <c r="V373" s="310"/>
      <c r="W373" s="132">
        <v>2019</v>
      </c>
      <c r="X373" s="133">
        <f>SUM(X368,X363,X358,X353,X348,X343,X338,X333,X328,X323,X318,X313,X308,X303)</f>
        <v>0</v>
      </c>
      <c r="Y373" s="134">
        <f t="shared" ref="Y373:AI373" si="649">SUM(Y368,Y363,Y358,Y353,Y348,Y343,Y338,Y333,Y328,Y323,Y318,Y313,Y308,Y303)</f>
        <v>0</v>
      </c>
      <c r="Z373" s="134">
        <f t="shared" si="649"/>
        <v>0</v>
      </c>
      <c r="AA373" s="134">
        <f t="shared" si="649"/>
        <v>0</v>
      </c>
      <c r="AB373" s="134">
        <f t="shared" si="649"/>
        <v>0</v>
      </c>
      <c r="AC373" s="134">
        <f t="shared" si="649"/>
        <v>0</v>
      </c>
      <c r="AD373" s="134">
        <f t="shared" si="649"/>
        <v>0</v>
      </c>
      <c r="AE373" s="134">
        <f t="shared" si="649"/>
        <v>0</v>
      </c>
      <c r="AF373" s="134">
        <f t="shared" si="649"/>
        <v>0</v>
      </c>
      <c r="AG373" s="134">
        <f t="shared" si="649"/>
        <v>0</v>
      </c>
      <c r="AH373" s="134">
        <f t="shared" si="649"/>
        <v>0</v>
      </c>
      <c r="AI373" s="135">
        <f t="shared" si="649"/>
        <v>0</v>
      </c>
      <c r="AJ373" s="136">
        <f>SUM(X373:AI373)</f>
        <v>0</v>
      </c>
      <c r="AK373" s="90">
        <f t="shared" ref="AK373:AK375" si="650">SUM(X373:AF373)</f>
        <v>0</v>
      </c>
    </row>
    <row r="374" spans="1:38" ht="15.6" hidden="1" thickBot="1">
      <c r="A374" s="91"/>
      <c r="B374" s="305"/>
      <c r="C374" s="306"/>
      <c r="D374" s="137" t="s">
        <v>92</v>
      </c>
      <c r="E374" s="138">
        <f t="shared" ref="E374:P375" si="651">SUM(E369,E364,E359,E354,E349,E344,E339,E334,E329,E324,E319,E314,E309,E304)</f>
        <v>0</v>
      </c>
      <c r="F374" s="138">
        <f t="shared" si="651"/>
        <v>0</v>
      </c>
      <c r="G374" s="138">
        <f t="shared" si="651"/>
        <v>0</v>
      </c>
      <c r="H374" s="138">
        <f t="shared" si="651"/>
        <v>0</v>
      </c>
      <c r="I374" s="138">
        <f t="shared" si="651"/>
        <v>0</v>
      </c>
      <c r="J374" s="138">
        <f t="shared" si="651"/>
        <v>0</v>
      </c>
      <c r="K374" s="138">
        <f t="shared" si="651"/>
        <v>0</v>
      </c>
      <c r="L374" s="138">
        <f t="shared" si="651"/>
        <v>0</v>
      </c>
      <c r="M374" s="138">
        <f t="shared" si="651"/>
        <v>0</v>
      </c>
      <c r="N374" s="138">
        <f t="shared" si="651"/>
        <v>0</v>
      </c>
      <c r="O374" s="138">
        <f t="shared" si="651"/>
        <v>0</v>
      </c>
      <c r="P374" s="138">
        <f t="shared" si="651"/>
        <v>0</v>
      </c>
      <c r="Q374" s="139">
        <f t="shared" ref="Q374:Q375" si="652">SUM(E374:P374)</f>
        <v>0</v>
      </c>
      <c r="R374" s="96">
        <f t="shared" si="576"/>
        <v>0</v>
      </c>
      <c r="T374" s="91"/>
      <c r="U374" s="311"/>
      <c r="V374" s="312"/>
      <c r="W374" s="140" t="s">
        <v>92</v>
      </c>
      <c r="X374" s="141">
        <f t="shared" ref="X374:AI375" si="653">SUM(X369,X364,X359,X354,X349,X344,X339,X334,X329,X324,X319,X314,X309,X304)</f>
        <v>0</v>
      </c>
      <c r="Y374" s="141">
        <f t="shared" si="653"/>
        <v>0</v>
      </c>
      <c r="Z374" s="141">
        <f t="shared" si="653"/>
        <v>0</v>
      </c>
      <c r="AA374" s="141">
        <f t="shared" si="653"/>
        <v>0</v>
      </c>
      <c r="AB374" s="141">
        <f t="shared" si="653"/>
        <v>0</v>
      </c>
      <c r="AC374" s="141">
        <f t="shared" si="653"/>
        <v>0</v>
      </c>
      <c r="AD374" s="141">
        <f t="shared" si="653"/>
        <v>0</v>
      </c>
      <c r="AE374" s="141">
        <f t="shared" si="653"/>
        <v>0</v>
      </c>
      <c r="AF374" s="141">
        <f t="shared" si="653"/>
        <v>0</v>
      </c>
      <c r="AG374" s="141">
        <f t="shared" si="653"/>
        <v>0</v>
      </c>
      <c r="AH374" s="141">
        <f t="shared" si="653"/>
        <v>0</v>
      </c>
      <c r="AI374" s="141">
        <f t="shared" si="653"/>
        <v>0</v>
      </c>
      <c r="AJ374" s="142">
        <f t="shared" ref="AJ374:AJ375" si="654">SUM(X374:AI374)</f>
        <v>0</v>
      </c>
      <c r="AK374" s="96">
        <f t="shared" si="650"/>
        <v>0</v>
      </c>
    </row>
    <row r="375" spans="1:38" ht="15.6" hidden="1" thickBot="1">
      <c r="A375" s="91"/>
      <c r="B375" s="305"/>
      <c r="C375" s="306"/>
      <c r="D375" s="143">
        <v>2020</v>
      </c>
      <c r="E375" s="144">
        <f>SUM(E370,E365,E360,E355,E350,E345,E340,E335,E330,E325,E320,E315,E310,E305)</f>
        <v>0</v>
      </c>
      <c r="F375" s="144">
        <f t="shared" si="651"/>
        <v>0</v>
      </c>
      <c r="G375" s="144">
        <f t="shared" si="651"/>
        <v>0</v>
      </c>
      <c r="H375" s="144">
        <f t="shared" si="651"/>
        <v>0</v>
      </c>
      <c r="I375" s="144">
        <f t="shared" si="651"/>
        <v>0</v>
      </c>
      <c r="J375" s="144">
        <f t="shared" si="651"/>
        <v>0</v>
      </c>
      <c r="K375" s="144">
        <f t="shared" si="651"/>
        <v>0</v>
      </c>
      <c r="L375" s="144">
        <f t="shared" si="651"/>
        <v>0</v>
      </c>
      <c r="M375" s="144">
        <f t="shared" si="651"/>
        <v>0</v>
      </c>
      <c r="N375" s="144">
        <f t="shared" si="651"/>
        <v>0</v>
      </c>
      <c r="O375" s="144">
        <f t="shared" si="651"/>
        <v>0</v>
      </c>
      <c r="P375" s="144">
        <f t="shared" si="651"/>
        <v>0</v>
      </c>
      <c r="Q375" s="145">
        <f t="shared" si="652"/>
        <v>0</v>
      </c>
      <c r="R375" s="104">
        <f t="shared" si="576"/>
        <v>0</v>
      </c>
      <c r="S375" s="105"/>
      <c r="T375" s="91"/>
      <c r="U375" s="311"/>
      <c r="V375" s="312"/>
      <c r="W375" s="146">
        <v>2020</v>
      </c>
      <c r="X375" s="147">
        <f>SUM(X370,X365,X360,X355,X350,X345,X340,X335,X330,X325,X320,X315,X310,X305)</f>
        <v>0</v>
      </c>
      <c r="Y375" s="147">
        <f t="shared" si="653"/>
        <v>0</v>
      </c>
      <c r="Z375" s="147">
        <f t="shared" si="653"/>
        <v>0</v>
      </c>
      <c r="AA375" s="147">
        <f t="shared" si="653"/>
        <v>0</v>
      </c>
      <c r="AB375" s="147">
        <f t="shared" si="653"/>
        <v>0</v>
      </c>
      <c r="AC375" s="147">
        <f t="shared" si="653"/>
        <v>0</v>
      </c>
      <c r="AD375" s="147">
        <f t="shared" si="653"/>
        <v>0</v>
      </c>
      <c r="AE375" s="147">
        <f t="shared" si="653"/>
        <v>0</v>
      </c>
      <c r="AF375" s="147">
        <f t="shared" si="653"/>
        <v>0</v>
      </c>
      <c r="AG375" s="147">
        <f t="shared" si="653"/>
        <v>0</v>
      </c>
      <c r="AH375" s="147">
        <f t="shared" si="653"/>
        <v>0</v>
      </c>
      <c r="AI375" s="147">
        <f t="shared" si="653"/>
        <v>0</v>
      </c>
      <c r="AJ375" s="148">
        <f t="shared" si="654"/>
        <v>0</v>
      </c>
      <c r="AK375" s="104">
        <f t="shared" si="650"/>
        <v>0</v>
      </c>
      <c r="AL375" s="105"/>
    </row>
    <row r="376" spans="1:38" ht="15.6" hidden="1" thickBot="1">
      <c r="A376" s="91"/>
      <c r="B376" s="305"/>
      <c r="C376" s="306"/>
      <c r="D376" s="143" t="s">
        <v>102</v>
      </c>
      <c r="E376" s="149" t="e">
        <f t="shared" ref="E376:R376" si="655">E375/E374</f>
        <v>#DIV/0!</v>
      </c>
      <c r="F376" s="149" t="e">
        <f t="shared" si="655"/>
        <v>#DIV/0!</v>
      </c>
      <c r="G376" s="149" t="e">
        <f t="shared" si="655"/>
        <v>#DIV/0!</v>
      </c>
      <c r="H376" s="149" t="e">
        <f t="shared" si="655"/>
        <v>#DIV/0!</v>
      </c>
      <c r="I376" s="149" t="e">
        <f t="shared" si="655"/>
        <v>#DIV/0!</v>
      </c>
      <c r="J376" s="149" t="e">
        <f t="shared" si="655"/>
        <v>#DIV/0!</v>
      </c>
      <c r="K376" s="149" t="e">
        <f t="shared" si="655"/>
        <v>#DIV/0!</v>
      </c>
      <c r="L376" s="149" t="e">
        <f t="shared" si="655"/>
        <v>#DIV/0!</v>
      </c>
      <c r="M376" s="149" t="e">
        <f t="shared" si="655"/>
        <v>#DIV/0!</v>
      </c>
      <c r="N376" s="149" t="e">
        <f t="shared" si="655"/>
        <v>#DIV/0!</v>
      </c>
      <c r="O376" s="149" t="e">
        <f t="shared" si="655"/>
        <v>#DIV/0!</v>
      </c>
      <c r="P376" s="150" t="e">
        <f t="shared" si="655"/>
        <v>#DIV/0!</v>
      </c>
      <c r="Q376" s="151" t="e">
        <f t="shared" si="655"/>
        <v>#DIV/0!</v>
      </c>
      <c r="R376" s="104" t="e">
        <f t="shared" si="655"/>
        <v>#DIV/0!</v>
      </c>
      <c r="S376" s="105"/>
      <c r="T376" s="91"/>
      <c r="U376" s="311"/>
      <c r="V376" s="312"/>
      <c r="W376" s="146" t="s">
        <v>102</v>
      </c>
      <c r="X376" s="152" t="e">
        <f t="shared" ref="X376:AK376" si="656">X375/X374</f>
        <v>#DIV/0!</v>
      </c>
      <c r="Y376" s="152" t="e">
        <f t="shared" si="656"/>
        <v>#DIV/0!</v>
      </c>
      <c r="Z376" s="152" t="e">
        <f t="shared" si="656"/>
        <v>#DIV/0!</v>
      </c>
      <c r="AA376" s="152" t="e">
        <f t="shared" si="656"/>
        <v>#DIV/0!</v>
      </c>
      <c r="AB376" s="152" t="e">
        <f t="shared" si="656"/>
        <v>#DIV/0!</v>
      </c>
      <c r="AC376" s="152" t="e">
        <f t="shared" si="656"/>
        <v>#DIV/0!</v>
      </c>
      <c r="AD376" s="152" t="e">
        <f t="shared" si="656"/>
        <v>#DIV/0!</v>
      </c>
      <c r="AE376" s="152" t="e">
        <f t="shared" si="656"/>
        <v>#DIV/0!</v>
      </c>
      <c r="AF376" s="152" t="e">
        <f t="shared" si="656"/>
        <v>#DIV/0!</v>
      </c>
      <c r="AG376" s="152" t="e">
        <f t="shared" si="656"/>
        <v>#DIV/0!</v>
      </c>
      <c r="AH376" s="152" t="e">
        <f t="shared" si="656"/>
        <v>#DIV/0!</v>
      </c>
      <c r="AI376" s="153" t="e">
        <f t="shared" si="656"/>
        <v>#DIV/0!</v>
      </c>
      <c r="AJ376" s="154" t="e">
        <f t="shared" si="656"/>
        <v>#DIV/0!</v>
      </c>
      <c r="AK376" s="104" t="e">
        <f t="shared" si="656"/>
        <v>#DIV/0!</v>
      </c>
      <c r="AL376" s="105"/>
    </row>
    <row r="377" spans="1:38" ht="15.6" hidden="1" thickBot="1">
      <c r="A377" s="155"/>
      <c r="B377" s="307"/>
      <c r="C377" s="308"/>
      <c r="D377" s="156" t="s">
        <v>103</v>
      </c>
      <c r="E377" s="165" t="e">
        <f t="shared" ref="E377:R377" si="657">E375/E373</f>
        <v>#DIV/0!</v>
      </c>
      <c r="F377" s="165" t="e">
        <f t="shared" si="657"/>
        <v>#DIV/0!</v>
      </c>
      <c r="G377" s="165" t="e">
        <f t="shared" si="657"/>
        <v>#DIV/0!</v>
      </c>
      <c r="H377" s="165" t="e">
        <f t="shared" si="657"/>
        <v>#DIV/0!</v>
      </c>
      <c r="I377" s="165" t="e">
        <f t="shared" si="657"/>
        <v>#DIV/0!</v>
      </c>
      <c r="J377" s="165" t="e">
        <f t="shared" si="657"/>
        <v>#DIV/0!</v>
      </c>
      <c r="K377" s="165" t="e">
        <f t="shared" si="657"/>
        <v>#DIV/0!</v>
      </c>
      <c r="L377" s="165" t="e">
        <f t="shared" si="657"/>
        <v>#DIV/0!</v>
      </c>
      <c r="M377" s="165" t="e">
        <f t="shared" si="657"/>
        <v>#DIV/0!</v>
      </c>
      <c r="N377" s="165" t="e">
        <f t="shared" si="657"/>
        <v>#DIV/0!</v>
      </c>
      <c r="O377" s="165" t="e">
        <f t="shared" si="657"/>
        <v>#DIV/0!</v>
      </c>
      <c r="P377" s="166" t="e">
        <f t="shared" si="657"/>
        <v>#DIV/0!</v>
      </c>
      <c r="Q377" s="167" t="e">
        <f t="shared" si="657"/>
        <v>#DIV/0!</v>
      </c>
      <c r="R377" s="168" t="e">
        <f t="shared" si="657"/>
        <v>#DIV/0!</v>
      </c>
      <c r="T377" s="155"/>
      <c r="U377" s="313"/>
      <c r="V377" s="314"/>
      <c r="W377" s="160" t="s">
        <v>103</v>
      </c>
      <c r="X377" s="169" t="e">
        <f t="shared" ref="X377:AK377" si="658">X375/X373</f>
        <v>#DIV/0!</v>
      </c>
      <c r="Y377" s="169" t="e">
        <f t="shared" si="658"/>
        <v>#DIV/0!</v>
      </c>
      <c r="Z377" s="169" t="e">
        <f t="shared" si="658"/>
        <v>#DIV/0!</v>
      </c>
      <c r="AA377" s="169" t="e">
        <f t="shared" si="658"/>
        <v>#DIV/0!</v>
      </c>
      <c r="AB377" s="169" t="e">
        <f t="shared" si="658"/>
        <v>#DIV/0!</v>
      </c>
      <c r="AC377" s="169" t="e">
        <f t="shared" si="658"/>
        <v>#DIV/0!</v>
      </c>
      <c r="AD377" s="169" t="e">
        <f t="shared" si="658"/>
        <v>#DIV/0!</v>
      </c>
      <c r="AE377" s="169" t="e">
        <f t="shared" si="658"/>
        <v>#DIV/0!</v>
      </c>
      <c r="AF377" s="169" t="e">
        <f t="shared" si="658"/>
        <v>#DIV/0!</v>
      </c>
      <c r="AG377" s="169" t="e">
        <f t="shared" si="658"/>
        <v>#DIV/0!</v>
      </c>
      <c r="AH377" s="169" t="e">
        <f t="shared" si="658"/>
        <v>#DIV/0!</v>
      </c>
      <c r="AI377" s="170" t="e">
        <f t="shared" si="658"/>
        <v>#DIV/0!</v>
      </c>
      <c r="AJ377" s="171" t="e">
        <f t="shared" si="658"/>
        <v>#DIV/0!</v>
      </c>
      <c r="AK377" s="168" t="e">
        <f t="shared" si="658"/>
        <v>#DIV/0!</v>
      </c>
    </row>
    <row r="378" spans="1:38" ht="15.6" hidden="1" thickBot="1">
      <c r="A378" s="84" t="s">
        <v>120</v>
      </c>
      <c r="B378" s="85" t="s">
        <v>146</v>
      </c>
      <c r="C378" s="86" t="s">
        <v>122</v>
      </c>
      <c r="D378" s="87">
        <v>2019</v>
      </c>
      <c r="E378" s="88"/>
      <c r="F378" s="121"/>
      <c r="G378" s="121"/>
      <c r="H378" s="121"/>
      <c r="I378" s="121"/>
      <c r="J378" s="121"/>
      <c r="K378" s="121"/>
      <c r="L378" s="121"/>
      <c r="M378" s="122"/>
      <c r="N378" s="122"/>
      <c r="O378" s="122"/>
      <c r="P378" s="123"/>
      <c r="Q378" s="89">
        <f>SUM(E378:P378)</f>
        <v>0</v>
      </c>
      <c r="R378" s="90">
        <f t="shared" ref="R378" si="659">SUM(E378:M378)</f>
        <v>0</v>
      </c>
      <c r="T378" s="84" t="s">
        <v>120</v>
      </c>
      <c r="U378" s="85" t="s">
        <v>146</v>
      </c>
      <c r="V378" s="86" t="str">
        <f>C378</f>
        <v>得意先名</v>
      </c>
      <c r="W378" s="87">
        <v>2019</v>
      </c>
      <c r="X378" s="88"/>
      <c r="Y378" s="121"/>
      <c r="Z378" s="121"/>
      <c r="AA378" s="121"/>
      <c r="AB378" s="121"/>
      <c r="AC378" s="121"/>
      <c r="AD378" s="121"/>
      <c r="AE378" s="121"/>
      <c r="AF378" s="122"/>
      <c r="AG378" s="122"/>
      <c r="AH378" s="122"/>
      <c r="AI378" s="123"/>
      <c r="AJ378" s="89">
        <f>SUM(X378:AI378)</f>
        <v>0</v>
      </c>
      <c r="AK378" s="90">
        <f t="shared" ref="AK378:AK380" si="660">SUM(X378:AF378)</f>
        <v>0</v>
      </c>
    </row>
    <row r="379" spans="1:38" ht="15.6" hidden="1" thickBot="1">
      <c r="A379" s="91"/>
      <c r="B379" s="85" t="s">
        <v>147</v>
      </c>
      <c r="C379" s="92" t="s">
        <v>124</v>
      </c>
      <c r="D379" s="93" t="s">
        <v>92</v>
      </c>
      <c r="E379" s="94"/>
      <c r="F379" s="97"/>
      <c r="G379" s="97"/>
      <c r="H379" s="97"/>
      <c r="I379" s="97"/>
      <c r="J379" s="97"/>
      <c r="K379" s="97"/>
      <c r="L379" s="97"/>
      <c r="M379" s="98"/>
      <c r="N379" s="98"/>
      <c r="O379" s="98"/>
      <c r="P379" s="99"/>
      <c r="Q379" s="95">
        <f>SUM(E379:P379)</f>
        <v>0</v>
      </c>
      <c r="R379" s="96">
        <f t="shared" si="576"/>
        <v>0</v>
      </c>
      <c r="T379" s="91"/>
      <c r="U379" s="85" t="s">
        <v>147</v>
      </c>
      <c r="V379" s="92" t="str">
        <f>C379</f>
        <v>得意先名（英語）</v>
      </c>
      <c r="W379" s="93" t="s">
        <v>92</v>
      </c>
      <c r="X379" s="94"/>
      <c r="Y379" s="97"/>
      <c r="Z379" s="97"/>
      <c r="AA379" s="97"/>
      <c r="AB379" s="97"/>
      <c r="AC379" s="97"/>
      <c r="AD379" s="97"/>
      <c r="AE379" s="97"/>
      <c r="AF379" s="98"/>
      <c r="AG379" s="98"/>
      <c r="AH379" s="98"/>
      <c r="AI379" s="99"/>
      <c r="AJ379" s="95">
        <f>SUM(X379:AI379)</f>
        <v>0</v>
      </c>
      <c r="AK379" s="96">
        <f t="shared" si="660"/>
        <v>0</v>
      </c>
    </row>
    <row r="380" spans="1:38" ht="15.6" hidden="1" thickBot="1">
      <c r="A380" s="91"/>
      <c r="B380" s="100"/>
      <c r="C380" s="92"/>
      <c r="D380" s="101">
        <v>2020</v>
      </c>
      <c r="E380" s="102"/>
      <c r="F380" s="124"/>
      <c r="G380" s="124"/>
      <c r="H380" s="124"/>
      <c r="I380" s="124"/>
      <c r="J380" s="124"/>
      <c r="K380" s="124"/>
      <c r="L380" s="124"/>
      <c r="M380" s="125"/>
      <c r="N380" s="125"/>
      <c r="O380" s="125"/>
      <c r="P380" s="126"/>
      <c r="Q380" s="103">
        <f>SUM(E380:P380)</f>
        <v>0</v>
      </c>
      <c r="R380" s="104">
        <f t="shared" si="576"/>
        <v>0</v>
      </c>
      <c r="S380" s="105"/>
      <c r="T380" s="91"/>
      <c r="U380" s="100"/>
      <c r="V380" s="92"/>
      <c r="W380" s="101">
        <v>2020</v>
      </c>
      <c r="X380" s="102"/>
      <c r="Y380" s="124"/>
      <c r="Z380" s="124"/>
      <c r="AA380" s="124"/>
      <c r="AB380" s="124"/>
      <c r="AC380" s="124"/>
      <c r="AD380" s="124"/>
      <c r="AE380" s="124"/>
      <c r="AF380" s="125"/>
      <c r="AG380" s="125"/>
      <c r="AH380" s="125"/>
      <c r="AI380" s="126"/>
      <c r="AJ380" s="103">
        <f>SUM(X380:AI380)</f>
        <v>0</v>
      </c>
      <c r="AK380" s="104">
        <f t="shared" si="660"/>
        <v>0</v>
      </c>
      <c r="AL380" s="105"/>
    </row>
    <row r="381" spans="1:38" ht="15.6" hidden="1" thickBot="1">
      <c r="A381" s="91"/>
      <c r="B381" s="100"/>
      <c r="C381" s="92"/>
      <c r="D381" s="101" t="s">
        <v>102</v>
      </c>
      <c r="E381" s="106" t="e">
        <f>E380/E379</f>
        <v>#DIV/0!</v>
      </c>
      <c r="F381" s="106" t="e">
        <f t="shared" ref="F381:R381" si="661">F380/F379</f>
        <v>#DIV/0!</v>
      </c>
      <c r="G381" s="106" t="e">
        <f t="shared" si="661"/>
        <v>#DIV/0!</v>
      </c>
      <c r="H381" s="106" t="e">
        <f t="shared" si="661"/>
        <v>#DIV/0!</v>
      </c>
      <c r="I381" s="106" t="e">
        <f t="shared" si="661"/>
        <v>#DIV/0!</v>
      </c>
      <c r="J381" s="106" t="e">
        <f t="shared" si="661"/>
        <v>#DIV/0!</v>
      </c>
      <c r="K381" s="106" t="e">
        <f t="shared" si="661"/>
        <v>#DIV/0!</v>
      </c>
      <c r="L381" s="106" t="e">
        <f t="shared" si="661"/>
        <v>#DIV/0!</v>
      </c>
      <c r="M381" s="107" t="e">
        <f t="shared" si="661"/>
        <v>#DIV/0!</v>
      </c>
      <c r="N381" s="107" t="e">
        <f t="shared" si="661"/>
        <v>#DIV/0!</v>
      </c>
      <c r="O381" s="107" t="e">
        <f t="shared" si="661"/>
        <v>#DIV/0!</v>
      </c>
      <c r="P381" s="108" t="e">
        <f t="shared" si="661"/>
        <v>#DIV/0!</v>
      </c>
      <c r="Q381" s="109" t="e">
        <f t="shared" si="661"/>
        <v>#DIV/0!</v>
      </c>
      <c r="R381" s="110" t="e">
        <f t="shared" si="661"/>
        <v>#DIV/0!</v>
      </c>
      <c r="S381" s="105"/>
      <c r="T381" s="91"/>
      <c r="U381" s="100"/>
      <c r="V381" s="92"/>
      <c r="W381" s="101" t="s">
        <v>102</v>
      </c>
      <c r="X381" s="106" t="e">
        <f>X380/X379</f>
        <v>#DIV/0!</v>
      </c>
      <c r="Y381" s="106" t="e">
        <f t="shared" ref="Y381:AK381" si="662">Y380/Y379</f>
        <v>#DIV/0!</v>
      </c>
      <c r="Z381" s="106" t="e">
        <f t="shared" si="662"/>
        <v>#DIV/0!</v>
      </c>
      <c r="AA381" s="106" t="e">
        <f t="shared" si="662"/>
        <v>#DIV/0!</v>
      </c>
      <c r="AB381" s="106" t="e">
        <f t="shared" si="662"/>
        <v>#DIV/0!</v>
      </c>
      <c r="AC381" s="106" t="e">
        <f t="shared" si="662"/>
        <v>#DIV/0!</v>
      </c>
      <c r="AD381" s="106" t="e">
        <f t="shared" si="662"/>
        <v>#DIV/0!</v>
      </c>
      <c r="AE381" s="106" t="e">
        <f t="shared" si="662"/>
        <v>#DIV/0!</v>
      </c>
      <c r="AF381" s="107" t="e">
        <f t="shared" si="662"/>
        <v>#DIV/0!</v>
      </c>
      <c r="AG381" s="107" t="e">
        <f t="shared" si="662"/>
        <v>#DIV/0!</v>
      </c>
      <c r="AH381" s="107" t="e">
        <f t="shared" si="662"/>
        <v>#DIV/0!</v>
      </c>
      <c r="AI381" s="108" t="e">
        <f t="shared" si="662"/>
        <v>#DIV/0!</v>
      </c>
      <c r="AJ381" s="109" t="e">
        <f t="shared" si="662"/>
        <v>#DIV/0!</v>
      </c>
      <c r="AK381" s="110" t="e">
        <f t="shared" si="662"/>
        <v>#DIV/0!</v>
      </c>
      <c r="AL381" s="105"/>
    </row>
    <row r="382" spans="1:38" ht="15.6" hidden="1" thickBot="1">
      <c r="A382" s="91"/>
      <c r="B382" s="100"/>
      <c r="C382" s="111"/>
      <c r="D382" s="112" t="s">
        <v>103</v>
      </c>
      <c r="E382" s="113" t="e">
        <f>E380/E378</f>
        <v>#DIV/0!</v>
      </c>
      <c r="F382" s="113" t="e">
        <f t="shared" ref="F382:R382" si="663">F380/F378</f>
        <v>#DIV/0!</v>
      </c>
      <c r="G382" s="113" t="e">
        <f t="shared" si="663"/>
        <v>#DIV/0!</v>
      </c>
      <c r="H382" s="113" t="e">
        <f t="shared" si="663"/>
        <v>#DIV/0!</v>
      </c>
      <c r="I382" s="113" t="e">
        <f t="shared" si="663"/>
        <v>#DIV/0!</v>
      </c>
      <c r="J382" s="113" t="e">
        <f t="shared" si="663"/>
        <v>#DIV/0!</v>
      </c>
      <c r="K382" s="113" t="e">
        <f t="shared" si="663"/>
        <v>#DIV/0!</v>
      </c>
      <c r="L382" s="113" t="e">
        <f t="shared" si="663"/>
        <v>#DIV/0!</v>
      </c>
      <c r="M382" s="113" t="e">
        <f t="shared" si="663"/>
        <v>#DIV/0!</v>
      </c>
      <c r="N382" s="113" t="e">
        <f t="shared" si="663"/>
        <v>#DIV/0!</v>
      </c>
      <c r="O382" s="113" t="e">
        <f t="shared" si="663"/>
        <v>#DIV/0!</v>
      </c>
      <c r="P382" s="114" t="e">
        <f t="shared" si="663"/>
        <v>#DIV/0!</v>
      </c>
      <c r="Q382" s="115" t="e">
        <f t="shared" si="663"/>
        <v>#DIV/0!</v>
      </c>
      <c r="R382" s="116" t="e">
        <f t="shared" si="663"/>
        <v>#DIV/0!</v>
      </c>
      <c r="T382" s="91"/>
      <c r="U382" s="100"/>
      <c r="V382" s="111"/>
      <c r="W382" s="112" t="s">
        <v>103</v>
      </c>
      <c r="X382" s="113" t="e">
        <f>X380/X378</f>
        <v>#DIV/0!</v>
      </c>
      <c r="Y382" s="113" t="e">
        <f t="shared" ref="Y382:AK382" si="664">Y380/Y378</f>
        <v>#DIV/0!</v>
      </c>
      <c r="Z382" s="113" t="e">
        <f t="shared" si="664"/>
        <v>#DIV/0!</v>
      </c>
      <c r="AA382" s="113" t="e">
        <f t="shared" si="664"/>
        <v>#DIV/0!</v>
      </c>
      <c r="AB382" s="113" t="e">
        <f t="shared" si="664"/>
        <v>#DIV/0!</v>
      </c>
      <c r="AC382" s="113" t="e">
        <f t="shared" si="664"/>
        <v>#DIV/0!</v>
      </c>
      <c r="AD382" s="113" t="e">
        <f t="shared" si="664"/>
        <v>#DIV/0!</v>
      </c>
      <c r="AE382" s="113" t="e">
        <f t="shared" si="664"/>
        <v>#DIV/0!</v>
      </c>
      <c r="AF382" s="113" t="e">
        <f t="shared" si="664"/>
        <v>#DIV/0!</v>
      </c>
      <c r="AG382" s="113" t="e">
        <f t="shared" si="664"/>
        <v>#DIV/0!</v>
      </c>
      <c r="AH382" s="113" t="e">
        <f t="shared" si="664"/>
        <v>#DIV/0!</v>
      </c>
      <c r="AI382" s="114" t="e">
        <f t="shared" si="664"/>
        <v>#DIV/0!</v>
      </c>
      <c r="AJ382" s="115" t="e">
        <f t="shared" si="664"/>
        <v>#DIV/0!</v>
      </c>
      <c r="AK382" s="116" t="e">
        <f t="shared" si="664"/>
        <v>#DIV/0!</v>
      </c>
    </row>
    <row r="383" spans="1:38" ht="15.6" hidden="1" thickBot="1">
      <c r="A383" s="91"/>
      <c r="B383" s="100"/>
      <c r="C383" s="86"/>
      <c r="D383" s="87">
        <v>2019</v>
      </c>
      <c r="E383" s="88"/>
      <c r="F383" s="121"/>
      <c r="G383" s="121"/>
      <c r="H383" s="121"/>
      <c r="I383" s="121"/>
      <c r="J383" s="121"/>
      <c r="K383" s="121"/>
      <c r="L383" s="121"/>
      <c r="M383" s="122"/>
      <c r="N383" s="122"/>
      <c r="O383" s="122"/>
      <c r="P383" s="123"/>
      <c r="Q383" s="89">
        <f t="shared" ref="Q383:Q385" si="665">SUM(E383:P383)</f>
        <v>0</v>
      </c>
      <c r="R383" s="90">
        <f t="shared" ref="R383" si="666">SUM(E383:M383)</f>
        <v>0</v>
      </c>
      <c r="T383" s="91"/>
      <c r="U383" s="100"/>
      <c r="V383" s="86">
        <f t="shared" ref="V383:V384" si="667">C383</f>
        <v>0</v>
      </c>
      <c r="W383" s="87">
        <v>2019</v>
      </c>
      <c r="X383" s="88"/>
      <c r="Y383" s="121"/>
      <c r="Z383" s="121"/>
      <c r="AA383" s="121"/>
      <c r="AB383" s="121"/>
      <c r="AC383" s="121"/>
      <c r="AD383" s="121"/>
      <c r="AE383" s="121"/>
      <c r="AF383" s="122"/>
      <c r="AG383" s="122"/>
      <c r="AH383" s="122"/>
      <c r="AI383" s="123"/>
      <c r="AJ383" s="89">
        <f t="shared" ref="AJ383:AJ385" si="668">SUM(X383:AI383)</f>
        <v>0</v>
      </c>
      <c r="AK383" s="90">
        <f t="shared" ref="AK383:AK385" si="669">SUM(X383:AF383)</f>
        <v>0</v>
      </c>
    </row>
    <row r="384" spans="1:38" ht="15.6" hidden="1" thickBot="1">
      <c r="A384" s="91"/>
      <c r="B384" s="100"/>
      <c r="C384" s="92"/>
      <c r="D384" s="93" t="s">
        <v>92</v>
      </c>
      <c r="E384" s="94"/>
      <c r="F384" s="97"/>
      <c r="G384" s="97"/>
      <c r="H384" s="97"/>
      <c r="I384" s="97"/>
      <c r="J384" s="97"/>
      <c r="K384" s="97"/>
      <c r="L384" s="97"/>
      <c r="M384" s="98"/>
      <c r="N384" s="98"/>
      <c r="O384" s="98"/>
      <c r="P384" s="99"/>
      <c r="Q384" s="95">
        <f t="shared" si="665"/>
        <v>0</v>
      </c>
      <c r="R384" s="96">
        <f t="shared" si="576"/>
        <v>0</v>
      </c>
      <c r="T384" s="91"/>
      <c r="U384" s="100"/>
      <c r="V384" s="92">
        <f t="shared" si="667"/>
        <v>0</v>
      </c>
      <c r="W384" s="93" t="s">
        <v>92</v>
      </c>
      <c r="X384" s="94"/>
      <c r="Y384" s="97"/>
      <c r="Z384" s="97"/>
      <c r="AA384" s="97"/>
      <c r="AB384" s="97"/>
      <c r="AC384" s="97"/>
      <c r="AD384" s="97"/>
      <c r="AE384" s="97"/>
      <c r="AF384" s="98"/>
      <c r="AG384" s="98"/>
      <c r="AH384" s="98"/>
      <c r="AI384" s="99"/>
      <c r="AJ384" s="95">
        <f t="shared" si="668"/>
        <v>0</v>
      </c>
      <c r="AK384" s="96">
        <f t="shared" si="669"/>
        <v>0</v>
      </c>
    </row>
    <row r="385" spans="1:38" ht="15.6" hidden="1" thickBot="1">
      <c r="A385" s="91"/>
      <c r="B385" s="100"/>
      <c r="C385" s="92"/>
      <c r="D385" s="101">
        <v>2020</v>
      </c>
      <c r="E385" s="102"/>
      <c r="F385" s="124"/>
      <c r="G385" s="124"/>
      <c r="H385" s="124"/>
      <c r="I385" s="124"/>
      <c r="J385" s="124"/>
      <c r="K385" s="124"/>
      <c r="L385" s="124"/>
      <c r="M385" s="125"/>
      <c r="N385" s="125"/>
      <c r="O385" s="125"/>
      <c r="P385" s="126"/>
      <c r="Q385" s="103">
        <f t="shared" si="665"/>
        <v>0</v>
      </c>
      <c r="R385" s="104">
        <f t="shared" si="576"/>
        <v>0</v>
      </c>
      <c r="S385" s="105"/>
      <c r="T385" s="91"/>
      <c r="U385" s="100"/>
      <c r="V385" s="92"/>
      <c r="W385" s="101">
        <v>2020</v>
      </c>
      <c r="X385" s="102"/>
      <c r="Y385" s="124"/>
      <c r="Z385" s="124"/>
      <c r="AA385" s="124"/>
      <c r="AB385" s="124"/>
      <c r="AC385" s="124"/>
      <c r="AD385" s="124"/>
      <c r="AE385" s="124"/>
      <c r="AF385" s="125"/>
      <c r="AG385" s="125"/>
      <c r="AH385" s="125"/>
      <c r="AI385" s="126"/>
      <c r="AJ385" s="103">
        <f t="shared" si="668"/>
        <v>0</v>
      </c>
      <c r="AK385" s="104">
        <f t="shared" si="669"/>
        <v>0</v>
      </c>
      <c r="AL385" s="105"/>
    </row>
    <row r="386" spans="1:38" ht="15.6" hidden="1" thickBot="1">
      <c r="A386" s="91"/>
      <c r="B386" s="100"/>
      <c r="C386" s="92"/>
      <c r="D386" s="101" t="s">
        <v>102</v>
      </c>
      <c r="E386" s="106" t="e">
        <f t="shared" ref="E386:R386" si="670">E385/E384</f>
        <v>#DIV/0!</v>
      </c>
      <c r="F386" s="106" t="e">
        <f t="shared" si="670"/>
        <v>#DIV/0!</v>
      </c>
      <c r="G386" s="106" t="e">
        <f t="shared" si="670"/>
        <v>#DIV/0!</v>
      </c>
      <c r="H386" s="106" t="e">
        <f t="shared" si="670"/>
        <v>#DIV/0!</v>
      </c>
      <c r="I386" s="106" t="e">
        <f t="shared" si="670"/>
        <v>#DIV/0!</v>
      </c>
      <c r="J386" s="106" t="e">
        <f t="shared" si="670"/>
        <v>#DIV/0!</v>
      </c>
      <c r="K386" s="106" t="e">
        <f t="shared" si="670"/>
        <v>#DIV/0!</v>
      </c>
      <c r="L386" s="106" t="e">
        <f t="shared" si="670"/>
        <v>#DIV/0!</v>
      </c>
      <c r="M386" s="107" t="e">
        <f t="shared" si="670"/>
        <v>#DIV/0!</v>
      </c>
      <c r="N386" s="107" t="e">
        <f t="shared" si="670"/>
        <v>#DIV/0!</v>
      </c>
      <c r="O386" s="107" t="e">
        <f t="shared" si="670"/>
        <v>#DIV/0!</v>
      </c>
      <c r="P386" s="108" t="e">
        <f t="shared" si="670"/>
        <v>#DIV/0!</v>
      </c>
      <c r="Q386" s="109" t="e">
        <f t="shared" si="670"/>
        <v>#DIV/0!</v>
      </c>
      <c r="R386" s="110" t="e">
        <f t="shared" si="670"/>
        <v>#DIV/0!</v>
      </c>
      <c r="S386" s="105"/>
      <c r="T386" s="91"/>
      <c r="U386" s="100"/>
      <c r="V386" s="92"/>
      <c r="W386" s="101" t="s">
        <v>102</v>
      </c>
      <c r="X386" s="106" t="e">
        <f t="shared" ref="X386:AK386" si="671">X385/X384</f>
        <v>#DIV/0!</v>
      </c>
      <c r="Y386" s="106" t="e">
        <f t="shared" si="671"/>
        <v>#DIV/0!</v>
      </c>
      <c r="Z386" s="106" t="e">
        <f t="shared" si="671"/>
        <v>#DIV/0!</v>
      </c>
      <c r="AA386" s="106" t="e">
        <f t="shared" si="671"/>
        <v>#DIV/0!</v>
      </c>
      <c r="AB386" s="106" t="e">
        <f t="shared" si="671"/>
        <v>#DIV/0!</v>
      </c>
      <c r="AC386" s="106" t="e">
        <f t="shared" si="671"/>
        <v>#DIV/0!</v>
      </c>
      <c r="AD386" s="106" t="e">
        <f t="shared" si="671"/>
        <v>#DIV/0!</v>
      </c>
      <c r="AE386" s="106" t="e">
        <f t="shared" si="671"/>
        <v>#DIV/0!</v>
      </c>
      <c r="AF386" s="107" t="e">
        <f t="shared" si="671"/>
        <v>#DIV/0!</v>
      </c>
      <c r="AG386" s="107" t="e">
        <f t="shared" si="671"/>
        <v>#DIV/0!</v>
      </c>
      <c r="AH386" s="107" t="e">
        <f t="shared" si="671"/>
        <v>#DIV/0!</v>
      </c>
      <c r="AI386" s="108" t="e">
        <f t="shared" si="671"/>
        <v>#DIV/0!</v>
      </c>
      <c r="AJ386" s="109" t="e">
        <f t="shared" si="671"/>
        <v>#DIV/0!</v>
      </c>
      <c r="AK386" s="110" t="e">
        <f t="shared" si="671"/>
        <v>#DIV/0!</v>
      </c>
      <c r="AL386" s="105"/>
    </row>
    <row r="387" spans="1:38" ht="15.6" hidden="1" thickBot="1">
      <c r="A387" s="91"/>
      <c r="B387" s="100"/>
      <c r="C387" s="111"/>
      <c r="D387" s="112" t="s">
        <v>103</v>
      </c>
      <c r="E387" s="113" t="e">
        <f t="shared" ref="E387:R387" si="672">E385/E383</f>
        <v>#DIV/0!</v>
      </c>
      <c r="F387" s="113" t="e">
        <f t="shared" si="672"/>
        <v>#DIV/0!</v>
      </c>
      <c r="G387" s="113" t="e">
        <f t="shared" si="672"/>
        <v>#DIV/0!</v>
      </c>
      <c r="H387" s="113" t="e">
        <f t="shared" si="672"/>
        <v>#DIV/0!</v>
      </c>
      <c r="I387" s="113" t="e">
        <f t="shared" si="672"/>
        <v>#DIV/0!</v>
      </c>
      <c r="J387" s="113" t="e">
        <f t="shared" si="672"/>
        <v>#DIV/0!</v>
      </c>
      <c r="K387" s="113" t="e">
        <f t="shared" si="672"/>
        <v>#DIV/0!</v>
      </c>
      <c r="L387" s="113" t="e">
        <f t="shared" si="672"/>
        <v>#DIV/0!</v>
      </c>
      <c r="M387" s="113" t="e">
        <f t="shared" si="672"/>
        <v>#DIV/0!</v>
      </c>
      <c r="N387" s="113" t="e">
        <f t="shared" si="672"/>
        <v>#DIV/0!</v>
      </c>
      <c r="O387" s="113" t="e">
        <f t="shared" si="672"/>
        <v>#DIV/0!</v>
      </c>
      <c r="P387" s="114" t="e">
        <f t="shared" si="672"/>
        <v>#DIV/0!</v>
      </c>
      <c r="Q387" s="115" t="e">
        <f t="shared" si="672"/>
        <v>#DIV/0!</v>
      </c>
      <c r="R387" s="116" t="e">
        <f t="shared" si="672"/>
        <v>#DIV/0!</v>
      </c>
      <c r="T387" s="91"/>
      <c r="U387" s="100"/>
      <c r="V387" s="111"/>
      <c r="W387" s="112" t="s">
        <v>103</v>
      </c>
      <c r="X387" s="113" t="e">
        <f t="shared" ref="X387:AK387" si="673">X385/X383</f>
        <v>#DIV/0!</v>
      </c>
      <c r="Y387" s="113" t="e">
        <f t="shared" si="673"/>
        <v>#DIV/0!</v>
      </c>
      <c r="Z387" s="113" t="e">
        <f t="shared" si="673"/>
        <v>#DIV/0!</v>
      </c>
      <c r="AA387" s="113" t="e">
        <f t="shared" si="673"/>
        <v>#DIV/0!</v>
      </c>
      <c r="AB387" s="113" t="e">
        <f t="shared" si="673"/>
        <v>#DIV/0!</v>
      </c>
      <c r="AC387" s="113" t="e">
        <f t="shared" si="673"/>
        <v>#DIV/0!</v>
      </c>
      <c r="AD387" s="113" t="e">
        <f t="shared" si="673"/>
        <v>#DIV/0!</v>
      </c>
      <c r="AE387" s="113" t="e">
        <f t="shared" si="673"/>
        <v>#DIV/0!</v>
      </c>
      <c r="AF387" s="113" t="e">
        <f t="shared" si="673"/>
        <v>#DIV/0!</v>
      </c>
      <c r="AG387" s="113" t="e">
        <f t="shared" si="673"/>
        <v>#DIV/0!</v>
      </c>
      <c r="AH387" s="113" t="e">
        <f t="shared" si="673"/>
        <v>#DIV/0!</v>
      </c>
      <c r="AI387" s="114" t="e">
        <f t="shared" si="673"/>
        <v>#DIV/0!</v>
      </c>
      <c r="AJ387" s="115" t="e">
        <f t="shared" si="673"/>
        <v>#DIV/0!</v>
      </c>
      <c r="AK387" s="116" t="e">
        <f t="shared" si="673"/>
        <v>#DIV/0!</v>
      </c>
    </row>
    <row r="388" spans="1:38" ht="15.6" hidden="1" thickBot="1">
      <c r="A388" s="91"/>
      <c r="B388" s="100"/>
      <c r="C388" s="86"/>
      <c r="D388" s="87">
        <v>2019</v>
      </c>
      <c r="E388" s="88"/>
      <c r="F388" s="121"/>
      <c r="G388" s="121"/>
      <c r="H388" s="121"/>
      <c r="I388" s="121"/>
      <c r="J388" s="121"/>
      <c r="K388" s="121"/>
      <c r="L388" s="121"/>
      <c r="M388" s="122"/>
      <c r="N388" s="122"/>
      <c r="O388" s="122"/>
      <c r="P388" s="123"/>
      <c r="Q388" s="89">
        <f t="shared" ref="Q388:Q390" si="674">SUM(E388:P388)</f>
        <v>0</v>
      </c>
      <c r="R388" s="90">
        <f t="shared" ref="R388" si="675">SUM(E388:M388)</f>
        <v>0</v>
      </c>
      <c r="T388" s="91"/>
      <c r="U388" s="100"/>
      <c r="V388" s="86">
        <f t="shared" ref="V388:V389" si="676">C388</f>
        <v>0</v>
      </c>
      <c r="W388" s="87">
        <v>2019</v>
      </c>
      <c r="X388" s="88"/>
      <c r="Y388" s="121"/>
      <c r="Z388" s="121"/>
      <c r="AA388" s="121"/>
      <c r="AB388" s="121"/>
      <c r="AC388" s="121"/>
      <c r="AD388" s="121"/>
      <c r="AE388" s="121"/>
      <c r="AF388" s="122"/>
      <c r="AG388" s="122"/>
      <c r="AH388" s="122"/>
      <c r="AI388" s="123"/>
      <c r="AJ388" s="89">
        <f t="shared" ref="AJ388:AJ390" si="677">SUM(X388:AI388)</f>
        <v>0</v>
      </c>
      <c r="AK388" s="90">
        <f t="shared" ref="AK388:AK390" si="678">SUM(X388:AF388)</f>
        <v>0</v>
      </c>
    </row>
    <row r="389" spans="1:38" ht="15.6" hidden="1" thickBot="1">
      <c r="A389" s="91"/>
      <c r="B389" s="100"/>
      <c r="C389" s="92"/>
      <c r="D389" s="93" t="s">
        <v>92</v>
      </c>
      <c r="E389" s="94"/>
      <c r="F389" s="97"/>
      <c r="G389" s="97"/>
      <c r="H389" s="97"/>
      <c r="I389" s="97"/>
      <c r="J389" s="97"/>
      <c r="K389" s="97"/>
      <c r="L389" s="97"/>
      <c r="M389" s="98"/>
      <c r="N389" s="98"/>
      <c r="O389" s="98"/>
      <c r="P389" s="99"/>
      <c r="Q389" s="95">
        <f t="shared" si="674"/>
        <v>0</v>
      </c>
      <c r="R389" s="96">
        <f t="shared" si="576"/>
        <v>0</v>
      </c>
      <c r="T389" s="91"/>
      <c r="U389" s="100"/>
      <c r="V389" s="92">
        <f t="shared" si="676"/>
        <v>0</v>
      </c>
      <c r="W389" s="93" t="s">
        <v>92</v>
      </c>
      <c r="X389" s="94"/>
      <c r="Y389" s="97"/>
      <c r="Z389" s="97"/>
      <c r="AA389" s="97"/>
      <c r="AB389" s="97"/>
      <c r="AC389" s="97"/>
      <c r="AD389" s="97"/>
      <c r="AE389" s="97"/>
      <c r="AF389" s="98"/>
      <c r="AG389" s="98"/>
      <c r="AH389" s="98"/>
      <c r="AI389" s="99"/>
      <c r="AJ389" s="95">
        <f t="shared" si="677"/>
        <v>0</v>
      </c>
      <c r="AK389" s="96">
        <f t="shared" si="678"/>
        <v>0</v>
      </c>
    </row>
    <row r="390" spans="1:38" ht="15.6" hidden="1" thickBot="1">
      <c r="A390" s="91"/>
      <c r="B390" s="100"/>
      <c r="C390" s="92"/>
      <c r="D390" s="101">
        <v>2020</v>
      </c>
      <c r="E390" s="102"/>
      <c r="F390" s="124"/>
      <c r="G390" s="124"/>
      <c r="H390" s="124"/>
      <c r="I390" s="124"/>
      <c r="J390" s="124"/>
      <c r="K390" s="124"/>
      <c r="L390" s="124"/>
      <c r="M390" s="125"/>
      <c r="N390" s="125"/>
      <c r="O390" s="125"/>
      <c r="P390" s="126"/>
      <c r="Q390" s="103">
        <f t="shared" si="674"/>
        <v>0</v>
      </c>
      <c r="R390" s="104">
        <f t="shared" si="576"/>
        <v>0</v>
      </c>
      <c r="S390" s="105"/>
      <c r="T390" s="91"/>
      <c r="U390" s="100"/>
      <c r="V390" s="92"/>
      <c r="W390" s="101">
        <v>2020</v>
      </c>
      <c r="X390" s="102"/>
      <c r="Y390" s="124"/>
      <c r="Z390" s="124"/>
      <c r="AA390" s="124"/>
      <c r="AB390" s="124"/>
      <c r="AC390" s="124"/>
      <c r="AD390" s="124"/>
      <c r="AE390" s="124"/>
      <c r="AF390" s="125"/>
      <c r="AG390" s="125"/>
      <c r="AH390" s="125"/>
      <c r="AI390" s="126"/>
      <c r="AJ390" s="103">
        <f t="shared" si="677"/>
        <v>0</v>
      </c>
      <c r="AK390" s="104">
        <f t="shared" si="678"/>
        <v>0</v>
      </c>
      <c r="AL390" s="105"/>
    </row>
    <row r="391" spans="1:38" ht="15.6" hidden="1" thickBot="1">
      <c r="A391" s="91"/>
      <c r="B391" s="100"/>
      <c r="C391" s="92"/>
      <c r="D391" s="101" t="s">
        <v>102</v>
      </c>
      <c r="E391" s="106" t="e">
        <f t="shared" ref="E391:R391" si="679">E390/E389</f>
        <v>#DIV/0!</v>
      </c>
      <c r="F391" s="106" t="e">
        <f t="shared" si="679"/>
        <v>#DIV/0!</v>
      </c>
      <c r="G391" s="106" t="e">
        <f t="shared" si="679"/>
        <v>#DIV/0!</v>
      </c>
      <c r="H391" s="106" t="e">
        <f t="shared" si="679"/>
        <v>#DIV/0!</v>
      </c>
      <c r="I391" s="106" t="e">
        <f t="shared" si="679"/>
        <v>#DIV/0!</v>
      </c>
      <c r="J391" s="106" t="e">
        <f t="shared" si="679"/>
        <v>#DIV/0!</v>
      </c>
      <c r="K391" s="106" t="e">
        <f t="shared" si="679"/>
        <v>#DIV/0!</v>
      </c>
      <c r="L391" s="106" t="e">
        <f t="shared" si="679"/>
        <v>#DIV/0!</v>
      </c>
      <c r="M391" s="107" t="e">
        <f t="shared" si="679"/>
        <v>#DIV/0!</v>
      </c>
      <c r="N391" s="107" t="e">
        <f t="shared" si="679"/>
        <v>#DIV/0!</v>
      </c>
      <c r="O391" s="107" t="e">
        <f t="shared" si="679"/>
        <v>#DIV/0!</v>
      </c>
      <c r="P391" s="108" t="e">
        <f t="shared" si="679"/>
        <v>#DIV/0!</v>
      </c>
      <c r="Q391" s="109" t="e">
        <f t="shared" si="679"/>
        <v>#DIV/0!</v>
      </c>
      <c r="R391" s="110" t="e">
        <f t="shared" si="679"/>
        <v>#DIV/0!</v>
      </c>
      <c r="S391" s="105"/>
      <c r="T391" s="91"/>
      <c r="U391" s="100"/>
      <c r="V391" s="92"/>
      <c r="W391" s="101" t="s">
        <v>102</v>
      </c>
      <c r="X391" s="106" t="e">
        <f t="shared" ref="X391:AK391" si="680">X390/X389</f>
        <v>#DIV/0!</v>
      </c>
      <c r="Y391" s="106" t="e">
        <f t="shared" si="680"/>
        <v>#DIV/0!</v>
      </c>
      <c r="Z391" s="106" t="e">
        <f t="shared" si="680"/>
        <v>#DIV/0!</v>
      </c>
      <c r="AA391" s="106" t="e">
        <f t="shared" si="680"/>
        <v>#DIV/0!</v>
      </c>
      <c r="AB391" s="106" t="e">
        <f t="shared" si="680"/>
        <v>#DIV/0!</v>
      </c>
      <c r="AC391" s="106" t="e">
        <f t="shared" si="680"/>
        <v>#DIV/0!</v>
      </c>
      <c r="AD391" s="106" t="e">
        <f t="shared" si="680"/>
        <v>#DIV/0!</v>
      </c>
      <c r="AE391" s="106" t="e">
        <f t="shared" si="680"/>
        <v>#DIV/0!</v>
      </c>
      <c r="AF391" s="107" t="e">
        <f t="shared" si="680"/>
        <v>#DIV/0!</v>
      </c>
      <c r="AG391" s="107" t="e">
        <f t="shared" si="680"/>
        <v>#DIV/0!</v>
      </c>
      <c r="AH391" s="107" t="e">
        <f t="shared" si="680"/>
        <v>#DIV/0!</v>
      </c>
      <c r="AI391" s="108" t="e">
        <f t="shared" si="680"/>
        <v>#DIV/0!</v>
      </c>
      <c r="AJ391" s="109" t="e">
        <f t="shared" si="680"/>
        <v>#DIV/0!</v>
      </c>
      <c r="AK391" s="110" t="e">
        <f t="shared" si="680"/>
        <v>#DIV/0!</v>
      </c>
      <c r="AL391" s="105"/>
    </row>
    <row r="392" spans="1:38" ht="15.6" hidden="1" thickBot="1">
      <c r="A392" s="91"/>
      <c r="B392" s="100"/>
      <c r="C392" s="111"/>
      <c r="D392" s="112" t="s">
        <v>103</v>
      </c>
      <c r="E392" s="113" t="e">
        <f t="shared" ref="E392:R392" si="681">E390/E388</f>
        <v>#DIV/0!</v>
      </c>
      <c r="F392" s="113" t="e">
        <f t="shared" si="681"/>
        <v>#DIV/0!</v>
      </c>
      <c r="G392" s="113" t="e">
        <f t="shared" si="681"/>
        <v>#DIV/0!</v>
      </c>
      <c r="H392" s="113" t="e">
        <f t="shared" si="681"/>
        <v>#DIV/0!</v>
      </c>
      <c r="I392" s="113" t="e">
        <f t="shared" si="681"/>
        <v>#DIV/0!</v>
      </c>
      <c r="J392" s="113" t="e">
        <f t="shared" si="681"/>
        <v>#DIV/0!</v>
      </c>
      <c r="K392" s="113" t="e">
        <f t="shared" si="681"/>
        <v>#DIV/0!</v>
      </c>
      <c r="L392" s="113" t="e">
        <f t="shared" si="681"/>
        <v>#DIV/0!</v>
      </c>
      <c r="M392" s="113" t="e">
        <f t="shared" si="681"/>
        <v>#DIV/0!</v>
      </c>
      <c r="N392" s="113" t="e">
        <f t="shared" si="681"/>
        <v>#DIV/0!</v>
      </c>
      <c r="O392" s="113" t="e">
        <f t="shared" si="681"/>
        <v>#DIV/0!</v>
      </c>
      <c r="P392" s="114" t="e">
        <f t="shared" si="681"/>
        <v>#DIV/0!</v>
      </c>
      <c r="Q392" s="115" t="e">
        <f t="shared" si="681"/>
        <v>#DIV/0!</v>
      </c>
      <c r="R392" s="116" t="e">
        <f t="shared" si="681"/>
        <v>#DIV/0!</v>
      </c>
      <c r="T392" s="91"/>
      <c r="U392" s="100"/>
      <c r="V392" s="111"/>
      <c r="W392" s="112" t="s">
        <v>103</v>
      </c>
      <c r="X392" s="113" t="e">
        <f t="shared" ref="X392:AK392" si="682">X390/X388</f>
        <v>#DIV/0!</v>
      </c>
      <c r="Y392" s="113" t="e">
        <f t="shared" si="682"/>
        <v>#DIV/0!</v>
      </c>
      <c r="Z392" s="113" t="e">
        <f t="shared" si="682"/>
        <v>#DIV/0!</v>
      </c>
      <c r="AA392" s="113" t="e">
        <f t="shared" si="682"/>
        <v>#DIV/0!</v>
      </c>
      <c r="AB392" s="113" t="e">
        <f t="shared" si="682"/>
        <v>#DIV/0!</v>
      </c>
      <c r="AC392" s="113" t="e">
        <f t="shared" si="682"/>
        <v>#DIV/0!</v>
      </c>
      <c r="AD392" s="113" t="e">
        <f t="shared" si="682"/>
        <v>#DIV/0!</v>
      </c>
      <c r="AE392" s="113" t="e">
        <f t="shared" si="682"/>
        <v>#DIV/0!</v>
      </c>
      <c r="AF392" s="113" t="e">
        <f t="shared" si="682"/>
        <v>#DIV/0!</v>
      </c>
      <c r="AG392" s="113" t="e">
        <f t="shared" si="682"/>
        <v>#DIV/0!</v>
      </c>
      <c r="AH392" s="113" t="e">
        <f t="shared" si="682"/>
        <v>#DIV/0!</v>
      </c>
      <c r="AI392" s="114" t="e">
        <f t="shared" si="682"/>
        <v>#DIV/0!</v>
      </c>
      <c r="AJ392" s="115" t="e">
        <f t="shared" si="682"/>
        <v>#DIV/0!</v>
      </c>
      <c r="AK392" s="116" t="e">
        <f t="shared" si="682"/>
        <v>#DIV/0!</v>
      </c>
    </row>
    <row r="393" spans="1:38" ht="15.6" hidden="1" thickBot="1">
      <c r="A393" s="91"/>
      <c r="B393" s="100"/>
      <c r="C393" s="86"/>
      <c r="D393" s="87">
        <v>2019</v>
      </c>
      <c r="E393" s="88"/>
      <c r="F393" s="121"/>
      <c r="G393" s="121"/>
      <c r="H393" s="121"/>
      <c r="I393" s="121"/>
      <c r="J393" s="121"/>
      <c r="K393" s="121"/>
      <c r="L393" s="121"/>
      <c r="M393" s="122"/>
      <c r="N393" s="122"/>
      <c r="O393" s="122"/>
      <c r="P393" s="123"/>
      <c r="Q393" s="89">
        <f t="shared" ref="Q393:Q395" si="683">SUM(E393:P393)</f>
        <v>0</v>
      </c>
      <c r="R393" s="90">
        <f t="shared" ref="R393" si="684">SUM(E393:M393)</f>
        <v>0</v>
      </c>
      <c r="T393" s="91"/>
      <c r="U393" s="100"/>
      <c r="V393" s="86">
        <f t="shared" ref="V393:V394" si="685">C393</f>
        <v>0</v>
      </c>
      <c r="W393" s="87">
        <v>2019</v>
      </c>
      <c r="X393" s="88"/>
      <c r="Y393" s="121"/>
      <c r="Z393" s="121"/>
      <c r="AA393" s="121"/>
      <c r="AB393" s="121"/>
      <c r="AC393" s="121"/>
      <c r="AD393" s="121"/>
      <c r="AE393" s="121"/>
      <c r="AF393" s="122"/>
      <c r="AG393" s="122"/>
      <c r="AH393" s="122"/>
      <c r="AI393" s="123"/>
      <c r="AJ393" s="89">
        <f t="shared" ref="AJ393:AJ395" si="686">SUM(X393:AI393)</f>
        <v>0</v>
      </c>
      <c r="AK393" s="90">
        <f t="shared" ref="AK393:AK395" si="687">SUM(X393:AF393)</f>
        <v>0</v>
      </c>
    </row>
    <row r="394" spans="1:38" ht="15.6" hidden="1" thickBot="1">
      <c r="A394" s="91"/>
      <c r="B394" s="100"/>
      <c r="C394" s="92"/>
      <c r="D394" s="93" t="s">
        <v>92</v>
      </c>
      <c r="E394" s="94"/>
      <c r="F394" s="97"/>
      <c r="G394" s="97"/>
      <c r="H394" s="97"/>
      <c r="I394" s="97"/>
      <c r="J394" s="97"/>
      <c r="K394" s="97"/>
      <c r="L394" s="97"/>
      <c r="M394" s="98"/>
      <c r="N394" s="98"/>
      <c r="O394" s="98"/>
      <c r="P394" s="99"/>
      <c r="Q394" s="95">
        <f t="shared" si="683"/>
        <v>0</v>
      </c>
      <c r="R394" s="96">
        <f t="shared" si="576"/>
        <v>0</v>
      </c>
      <c r="T394" s="91"/>
      <c r="U394" s="100"/>
      <c r="V394" s="92">
        <f t="shared" si="685"/>
        <v>0</v>
      </c>
      <c r="W394" s="93" t="s">
        <v>92</v>
      </c>
      <c r="X394" s="94"/>
      <c r="Y394" s="97"/>
      <c r="Z394" s="97"/>
      <c r="AA394" s="97"/>
      <c r="AB394" s="97"/>
      <c r="AC394" s="97"/>
      <c r="AD394" s="97"/>
      <c r="AE394" s="97"/>
      <c r="AF394" s="98"/>
      <c r="AG394" s="98"/>
      <c r="AH394" s="98"/>
      <c r="AI394" s="99"/>
      <c r="AJ394" s="95">
        <f t="shared" si="686"/>
        <v>0</v>
      </c>
      <c r="AK394" s="96">
        <f t="shared" si="687"/>
        <v>0</v>
      </c>
    </row>
    <row r="395" spans="1:38" ht="15.6" hidden="1" thickBot="1">
      <c r="A395" s="91"/>
      <c r="B395" s="100"/>
      <c r="C395" s="92"/>
      <c r="D395" s="101">
        <v>2020</v>
      </c>
      <c r="E395" s="102"/>
      <c r="F395" s="124"/>
      <c r="G395" s="124"/>
      <c r="H395" s="124"/>
      <c r="I395" s="124"/>
      <c r="J395" s="124"/>
      <c r="K395" s="124"/>
      <c r="L395" s="124"/>
      <c r="M395" s="125"/>
      <c r="N395" s="125"/>
      <c r="O395" s="125"/>
      <c r="P395" s="126"/>
      <c r="Q395" s="103">
        <f t="shared" si="683"/>
        <v>0</v>
      </c>
      <c r="R395" s="104">
        <f t="shared" si="576"/>
        <v>0</v>
      </c>
      <c r="S395" s="105"/>
      <c r="T395" s="91"/>
      <c r="U395" s="100"/>
      <c r="V395" s="92"/>
      <c r="W395" s="101">
        <v>2020</v>
      </c>
      <c r="X395" s="102"/>
      <c r="Y395" s="124"/>
      <c r="Z395" s="124"/>
      <c r="AA395" s="124"/>
      <c r="AB395" s="124"/>
      <c r="AC395" s="124"/>
      <c r="AD395" s="124"/>
      <c r="AE395" s="124"/>
      <c r="AF395" s="125"/>
      <c r="AG395" s="125"/>
      <c r="AH395" s="125"/>
      <c r="AI395" s="126"/>
      <c r="AJ395" s="103">
        <f t="shared" si="686"/>
        <v>0</v>
      </c>
      <c r="AK395" s="104">
        <f t="shared" si="687"/>
        <v>0</v>
      </c>
      <c r="AL395" s="105"/>
    </row>
    <row r="396" spans="1:38" ht="15.6" hidden="1" thickBot="1">
      <c r="A396" s="91"/>
      <c r="B396" s="100"/>
      <c r="C396" s="92"/>
      <c r="D396" s="101" t="s">
        <v>102</v>
      </c>
      <c r="E396" s="106" t="e">
        <f t="shared" ref="E396:R396" si="688">E395/E394</f>
        <v>#DIV/0!</v>
      </c>
      <c r="F396" s="106" t="e">
        <f t="shared" si="688"/>
        <v>#DIV/0!</v>
      </c>
      <c r="G396" s="106" t="e">
        <f t="shared" si="688"/>
        <v>#DIV/0!</v>
      </c>
      <c r="H396" s="106" t="e">
        <f t="shared" si="688"/>
        <v>#DIV/0!</v>
      </c>
      <c r="I396" s="106" t="e">
        <f t="shared" si="688"/>
        <v>#DIV/0!</v>
      </c>
      <c r="J396" s="106" t="e">
        <f t="shared" si="688"/>
        <v>#DIV/0!</v>
      </c>
      <c r="K396" s="106" t="e">
        <f t="shared" si="688"/>
        <v>#DIV/0!</v>
      </c>
      <c r="L396" s="106" t="e">
        <f t="shared" si="688"/>
        <v>#DIV/0!</v>
      </c>
      <c r="M396" s="107" t="e">
        <f t="shared" si="688"/>
        <v>#DIV/0!</v>
      </c>
      <c r="N396" s="107" t="e">
        <f t="shared" si="688"/>
        <v>#DIV/0!</v>
      </c>
      <c r="O396" s="107" t="e">
        <f t="shared" si="688"/>
        <v>#DIV/0!</v>
      </c>
      <c r="P396" s="108" t="e">
        <f t="shared" si="688"/>
        <v>#DIV/0!</v>
      </c>
      <c r="Q396" s="109" t="e">
        <f t="shared" si="688"/>
        <v>#DIV/0!</v>
      </c>
      <c r="R396" s="110" t="e">
        <f t="shared" si="688"/>
        <v>#DIV/0!</v>
      </c>
      <c r="S396" s="105"/>
      <c r="T396" s="91"/>
      <c r="U396" s="100"/>
      <c r="V396" s="92"/>
      <c r="W396" s="101" t="s">
        <v>102</v>
      </c>
      <c r="X396" s="106" t="e">
        <f t="shared" ref="X396:AK396" si="689">X395/X394</f>
        <v>#DIV/0!</v>
      </c>
      <c r="Y396" s="106" t="e">
        <f t="shared" si="689"/>
        <v>#DIV/0!</v>
      </c>
      <c r="Z396" s="106" t="e">
        <f t="shared" si="689"/>
        <v>#DIV/0!</v>
      </c>
      <c r="AA396" s="106" t="e">
        <f t="shared" si="689"/>
        <v>#DIV/0!</v>
      </c>
      <c r="AB396" s="106" t="e">
        <f t="shared" si="689"/>
        <v>#DIV/0!</v>
      </c>
      <c r="AC396" s="106" t="e">
        <f t="shared" si="689"/>
        <v>#DIV/0!</v>
      </c>
      <c r="AD396" s="106" t="e">
        <f t="shared" si="689"/>
        <v>#DIV/0!</v>
      </c>
      <c r="AE396" s="106" t="e">
        <f t="shared" si="689"/>
        <v>#DIV/0!</v>
      </c>
      <c r="AF396" s="107" t="e">
        <f t="shared" si="689"/>
        <v>#DIV/0!</v>
      </c>
      <c r="AG396" s="107" t="e">
        <f t="shared" si="689"/>
        <v>#DIV/0!</v>
      </c>
      <c r="AH396" s="107" t="e">
        <f t="shared" si="689"/>
        <v>#DIV/0!</v>
      </c>
      <c r="AI396" s="108" t="e">
        <f t="shared" si="689"/>
        <v>#DIV/0!</v>
      </c>
      <c r="AJ396" s="109" t="e">
        <f t="shared" si="689"/>
        <v>#DIV/0!</v>
      </c>
      <c r="AK396" s="110" t="e">
        <f t="shared" si="689"/>
        <v>#DIV/0!</v>
      </c>
      <c r="AL396" s="105"/>
    </row>
    <row r="397" spans="1:38" ht="15.6" hidden="1" thickBot="1">
      <c r="A397" s="91"/>
      <c r="B397" s="100"/>
      <c r="C397" s="111"/>
      <c r="D397" s="112" t="s">
        <v>103</v>
      </c>
      <c r="E397" s="113" t="e">
        <f t="shared" ref="E397:R397" si="690">E395/E393</f>
        <v>#DIV/0!</v>
      </c>
      <c r="F397" s="113" t="e">
        <f t="shared" si="690"/>
        <v>#DIV/0!</v>
      </c>
      <c r="G397" s="113" t="e">
        <f t="shared" si="690"/>
        <v>#DIV/0!</v>
      </c>
      <c r="H397" s="113" t="e">
        <f t="shared" si="690"/>
        <v>#DIV/0!</v>
      </c>
      <c r="I397" s="113" t="e">
        <f t="shared" si="690"/>
        <v>#DIV/0!</v>
      </c>
      <c r="J397" s="113" t="e">
        <f t="shared" si="690"/>
        <v>#DIV/0!</v>
      </c>
      <c r="K397" s="113" t="e">
        <f t="shared" si="690"/>
        <v>#DIV/0!</v>
      </c>
      <c r="L397" s="113" t="e">
        <f t="shared" si="690"/>
        <v>#DIV/0!</v>
      </c>
      <c r="M397" s="113" t="e">
        <f t="shared" si="690"/>
        <v>#DIV/0!</v>
      </c>
      <c r="N397" s="113" t="e">
        <f t="shared" si="690"/>
        <v>#DIV/0!</v>
      </c>
      <c r="O397" s="113" t="e">
        <f t="shared" si="690"/>
        <v>#DIV/0!</v>
      </c>
      <c r="P397" s="114" t="e">
        <f t="shared" si="690"/>
        <v>#DIV/0!</v>
      </c>
      <c r="Q397" s="115" t="e">
        <f t="shared" si="690"/>
        <v>#DIV/0!</v>
      </c>
      <c r="R397" s="116" t="e">
        <f t="shared" si="690"/>
        <v>#DIV/0!</v>
      </c>
      <c r="T397" s="91"/>
      <c r="U397" s="100"/>
      <c r="V397" s="111"/>
      <c r="W397" s="112" t="s">
        <v>103</v>
      </c>
      <c r="X397" s="113" t="e">
        <f t="shared" ref="X397:AK397" si="691">X395/X393</f>
        <v>#DIV/0!</v>
      </c>
      <c r="Y397" s="113" t="e">
        <f t="shared" si="691"/>
        <v>#DIV/0!</v>
      </c>
      <c r="Z397" s="113" t="e">
        <f t="shared" si="691"/>
        <v>#DIV/0!</v>
      </c>
      <c r="AA397" s="113" t="e">
        <f t="shared" si="691"/>
        <v>#DIV/0!</v>
      </c>
      <c r="AB397" s="113" t="e">
        <f t="shared" si="691"/>
        <v>#DIV/0!</v>
      </c>
      <c r="AC397" s="113" t="e">
        <f t="shared" si="691"/>
        <v>#DIV/0!</v>
      </c>
      <c r="AD397" s="113" t="e">
        <f t="shared" si="691"/>
        <v>#DIV/0!</v>
      </c>
      <c r="AE397" s="113" t="e">
        <f t="shared" si="691"/>
        <v>#DIV/0!</v>
      </c>
      <c r="AF397" s="113" t="e">
        <f t="shared" si="691"/>
        <v>#DIV/0!</v>
      </c>
      <c r="AG397" s="113" t="e">
        <f t="shared" si="691"/>
        <v>#DIV/0!</v>
      </c>
      <c r="AH397" s="113" t="e">
        <f t="shared" si="691"/>
        <v>#DIV/0!</v>
      </c>
      <c r="AI397" s="114" t="e">
        <f t="shared" si="691"/>
        <v>#DIV/0!</v>
      </c>
      <c r="AJ397" s="115" t="e">
        <f t="shared" si="691"/>
        <v>#DIV/0!</v>
      </c>
      <c r="AK397" s="116" t="e">
        <f t="shared" si="691"/>
        <v>#DIV/0!</v>
      </c>
    </row>
    <row r="398" spans="1:38" ht="15.6" hidden="1" thickBot="1">
      <c r="A398" s="91"/>
      <c r="B398" s="100"/>
      <c r="C398" s="86"/>
      <c r="D398" s="87">
        <v>2019</v>
      </c>
      <c r="E398" s="88"/>
      <c r="F398" s="121"/>
      <c r="G398" s="121"/>
      <c r="H398" s="121"/>
      <c r="I398" s="121"/>
      <c r="J398" s="121"/>
      <c r="K398" s="121"/>
      <c r="L398" s="121"/>
      <c r="M398" s="122"/>
      <c r="N398" s="122"/>
      <c r="O398" s="122"/>
      <c r="P398" s="123"/>
      <c r="Q398" s="89">
        <f t="shared" ref="Q398:Q400" si="692">SUM(E398:P398)</f>
        <v>0</v>
      </c>
      <c r="R398" s="90">
        <f t="shared" ref="R398:R460" si="693">SUM(E398:M398)</f>
        <v>0</v>
      </c>
      <c r="T398" s="91"/>
      <c r="U398" s="100"/>
      <c r="V398" s="86">
        <f t="shared" ref="V398:V399" si="694">C398</f>
        <v>0</v>
      </c>
      <c r="W398" s="87">
        <v>2019</v>
      </c>
      <c r="X398" s="88"/>
      <c r="Y398" s="121"/>
      <c r="Z398" s="121"/>
      <c r="AA398" s="121"/>
      <c r="AB398" s="121"/>
      <c r="AC398" s="121"/>
      <c r="AD398" s="121"/>
      <c r="AE398" s="121"/>
      <c r="AF398" s="122"/>
      <c r="AG398" s="122"/>
      <c r="AH398" s="122"/>
      <c r="AI398" s="123"/>
      <c r="AJ398" s="89">
        <f t="shared" ref="AJ398:AJ400" si="695">SUM(X398:AI398)</f>
        <v>0</v>
      </c>
      <c r="AK398" s="90">
        <f t="shared" ref="AK398:AK400" si="696">SUM(X398:AF398)</f>
        <v>0</v>
      </c>
    </row>
    <row r="399" spans="1:38" ht="15.6" hidden="1" thickBot="1">
      <c r="A399" s="91"/>
      <c r="B399" s="100"/>
      <c r="C399" s="92"/>
      <c r="D399" s="93" t="s">
        <v>92</v>
      </c>
      <c r="E399" s="94"/>
      <c r="F399" s="97"/>
      <c r="G399" s="97"/>
      <c r="H399" s="97"/>
      <c r="I399" s="97"/>
      <c r="J399" s="97"/>
      <c r="K399" s="97"/>
      <c r="L399" s="97"/>
      <c r="M399" s="98"/>
      <c r="N399" s="98"/>
      <c r="O399" s="98"/>
      <c r="P399" s="99"/>
      <c r="Q399" s="95">
        <f t="shared" si="692"/>
        <v>0</v>
      </c>
      <c r="R399" s="96">
        <f t="shared" si="693"/>
        <v>0</v>
      </c>
      <c r="T399" s="91"/>
      <c r="U399" s="100"/>
      <c r="V399" s="92">
        <f t="shared" si="694"/>
        <v>0</v>
      </c>
      <c r="W399" s="93" t="s">
        <v>92</v>
      </c>
      <c r="X399" s="94"/>
      <c r="Y399" s="97"/>
      <c r="Z399" s="97"/>
      <c r="AA399" s="97"/>
      <c r="AB399" s="97"/>
      <c r="AC399" s="97"/>
      <c r="AD399" s="97"/>
      <c r="AE399" s="97"/>
      <c r="AF399" s="98"/>
      <c r="AG399" s="98"/>
      <c r="AH399" s="98"/>
      <c r="AI399" s="99"/>
      <c r="AJ399" s="95">
        <f t="shared" si="695"/>
        <v>0</v>
      </c>
      <c r="AK399" s="96">
        <f t="shared" si="696"/>
        <v>0</v>
      </c>
    </row>
    <row r="400" spans="1:38" ht="15.6" hidden="1" thickBot="1">
      <c r="A400" s="91"/>
      <c r="B400" s="100"/>
      <c r="C400" s="92"/>
      <c r="D400" s="101">
        <v>2020</v>
      </c>
      <c r="E400" s="102"/>
      <c r="F400" s="124"/>
      <c r="G400" s="124"/>
      <c r="H400" s="124"/>
      <c r="I400" s="124"/>
      <c r="J400" s="124"/>
      <c r="K400" s="124"/>
      <c r="L400" s="124"/>
      <c r="M400" s="125"/>
      <c r="N400" s="125"/>
      <c r="O400" s="125"/>
      <c r="P400" s="126"/>
      <c r="Q400" s="103">
        <f t="shared" si="692"/>
        <v>0</v>
      </c>
      <c r="R400" s="104">
        <f t="shared" si="693"/>
        <v>0</v>
      </c>
      <c r="S400" s="105"/>
      <c r="T400" s="91"/>
      <c r="U400" s="100"/>
      <c r="V400" s="92"/>
      <c r="W400" s="101">
        <v>2020</v>
      </c>
      <c r="X400" s="102"/>
      <c r="Y400" s="124"/>
      <c r="Z400" s="124"/>
      <c r="AA400" s="124"/>
      <c r="AB400" s="124"/>
      <c r="AC400" s="124"/>
      <c r="AD400" s="124"/>
      <c r="AE400" s="124"/>
      <c r="AF400" s="125"/>
      <c r="AG400" s="125"/>
      <c r="AH400" s="125"/>
      <c r="AI400" s="126"/>
      <c r="AJ400" s="103">
        <f t="shared" si="695"/>
        <v>0</v>
      </c>
      <c r="AK400" s="104">
        <f t="shared" si="696"/>
        <v>0</v>
      </c>
      <c r="AL400" s="105"/>
    </row>
    <row r="401" spans="1:38" ht="15.6" hidden="1" thickBot="1">
      <c r="A401" s="91"/>
      <c r="B401" s="100"/>
      <c r="C401" s="92"/>
      <c r="D401" s="101" t="s">
        <v>102</v>
      </c>
      <c r="E401" s="106" t="e">
        <f t="shared" ref="E401:R401" si="697">E400/E399</f>
        <v>#DIV/0!</v>
      </c>
      <c r="F401" s="106" t="e">
        <f t="shared" si="697"/>
        <v>#DIV/0!</v>
      </c>
      <c r="G401" s="106" t="e">
        <f t="shared" si="697"/>
        <v>#DIV/0!</v>
      </c>
      <c r="H401" s="106" t="e">
        <f t="shared" si="697"/>
        <v>#DIV/0!</v>
      </c>
      <c r="I401" s="106" t="e">
        <f t="shared" si="697"/>
        <v>#DIV/0!</v>
      </c>
      <c r="J401" s="106" t="e">
        <f t="shared" si="697"/>
        <v>#DIV/0!</v>
      </c>
      <c r="K401" s="106" t="e">
        <f t="shared" si="697"/>
        <v>#DIV/0!</v>
      </c>
      <c r="L401" s="106" t="e">
        <f t="shared" si="697"/>
        <v>#DIV/0!</v>
      </c>
      <c r="M401" s="107" t="e">
        <f t="shared" si="697"/>
        <v>#DIV/0!</v>
      </c>
      <c r="N401" s="107" t="e">
        <f t="shared" si="697"/>
        <v>#DIV/0!</v>
      </c>
      <c r="O401" s="107" t="e">
        <f t="shared" si="697"/>
        <v>#DIV/0!</v>
      </c>
      <c r="P401" s="108" t="e">
        <f t="shared" si="697"/>
        <v>#DIV/0!</v>
      </c>
      <c r="Q401" s="109" t="e">
        <f t="shared" si="697"/>
        <v>#DIV/0!</v>
      </c>
      <c r="R401" s="110" t="e">
        <f t="shared" si="697"/>
        <v>#DIV/0!</v>
      </c>
      <c r="S401" s="105"/>
      <c r="T401" s="91"/>
      <c r="U401" s="100"/>
      <c r="V401" s="92"/>
      <c r="W401" s="101" t="s">
        <v>102</v>
      </c>
      <c r="X401" s="106" t="e">
        <f t="shared" ref="X401:AK401" si="698">X400/X399</f>
        <v>#DIV/0!</v>
      </c>
      <c r="Y401" s="106" t="e">
        <f t="shared" si="698"/>
        <v>#DIV/0!</v>
      </c>
      <c r="Z401" s="106" t="e">
        <f t="shared" si="698"/>
        <v>#DIV/0!</v>
      </c>
      <c r="AA401" s="106" t="e">
        <f t="shared" si="698"/>
        <v>#DIV/0!</v>
      </c>
      <c r="AB401" s="106" t="e">
        <f t="shared" si="698"/>
        <v>#DIV/0!</v>
      </c>
      <c r="AC401" s="106" t="e">
        <f t="shared" si="698"/>
        <v>#DIV/0!</v>
      </c>
      <c r="AD401" s="106" t="e">
        <f t="shared" si="698"/>
        <v>#DIV/0!</v>
      </c>
      <c r="AE401" s="106" t="e">
        <f t="shared" si="698"/>
        <v>#DIV/0!</v>
      </c>
      <c r="AF401" s="107" t="e">
        <f t="shared" si="698"/>
        <v>#DIV/0!</v>
      </c>
      <c r="AG401" s="107" t="e">
        <f t="shared" si="698"/>
        <v>#DIV/0!</v>
      </c>
      <c r="AH401" s="107" t="e">
        <f t="shared" si="698"/>
        <v>#DIV/0!</v>
      </c>
      <c r="AI401" s="108" t="e">
        <f t="shared" si="698"/>
        <v>#DIV/0!</v>
      </c>
      <c r="AJ401" s="109" t="e">
        <f t="shared" si="698"/>
        <v>#DIV/0!</v>
      </c>
      <c r="AK401" s="110" t="e">
        <f t="shared" si="698"/>
        <v>#DIV/0!</v>
      </c>
      <c r="AL401" s="105"/>
    </row>
    <row r="402" spans="1:38" ht="15.6" hidden="1" thickBot="1">
      <c r="A402" s="91"/>
      <c r="B402" s="100"/>
      <c r="C402" s="111"/>
      <c r="D402" s="112" t="s">
        <v>103</v>
      </c>
      <c r="E402" s="113" t="e">
        <f t="shared" ref="E402:R402" si="699">E400/E398</f>
        <v>#DIV/0!</v>
      </c>
      <c r="F402" s="113" t="e">
        <f t="shared" si="699"/>
        <v>#DIV/0!</v>
      </c>
      <c r="G402" s="113" t="e">
        <f t="shared" si="699"/>
        <v>#DIV/0!</v>
      </c>
      <c r="H402" s="113" t="e">
        <f t="shared" si="699"/>
        <v>#DIV/0!</v>
      </c>
      <c r="I402" s="113" t="e">
        <f t="shared" si="699"/>
        <v>#DIV/0!</v>
      </c>
      <c r="J402" s="113" t="e">
        <f t="shared" si="699"/>
        <v>#DIV/0!</v>
      </c>
      <c r="K402" s="113" t="e">
        <f t="shared" si="699"/>
        <v>#DIV/0!</v>
      </c>
      <c r="L402" s="113" t="e">
        <f t="shared" si="699"/>
        <v>#DIV/0!</v>
      </c>
      <c r="M402" s="113" t="e">
        <f t="shared" si="699"/>
        <v>#DIV/0!</v>
      </c>
      <c r="N402" s="113" t="e">
        <f t="shared" si="699"/>
        <v>#DIV/0!</v>
      </c>
      <c r="O402" s="113" t="e">
        <f t="shared" si="699"/>
        <v>#DIV/0!</v>
      </c>
      <c r="P402" s="114" t="e">
        <f t="shared" si="699"/>
        <v>#DIV/0!</v>
      </c>
      <c r="Q402" s="115" t="e">
        <f t="shared" si="699"/>
        <v>#DIV/0!</v>
      </c>
      <c r="R402" s="116" t="e">
        <f t="shared" si="699"/>
        <v>#DIV/0!</v>
      </c>
      <c r="T402" s="91"/>
      <c r="U402" s="100"/>
      <c r="V402" s="111"/>
      <c r="W402" s="112" t="s">
        <v>103</v>
      </c>
      <c r="X402" s="113" t="e">
        <f t="shared" ref="X402:AK402" si="700">X400/X398</f>
        <v>#DIV/0!</v>
      </c>
      <c r="Y402" s="113" t="e">
        <f t="shared" si="700"/>
        <v>#DIV/0!</v>
      </c>
      <c r="Z402" s="113" t="e">
        <f t="shared" si="700"/>
        <v>#DIV/0!</v>
      </c>
      <c r="AA402" s="113" t="e">
        <f t="shared" si="700"/>
        <v>#DIV/0!</v>
      </c>
      <c r="AB402" s="113" t="e">
        <f t="shared" si="700"/>
        <v>#DIV/0!</v>
      </c>
      <c r="AC402" s="113" t="e">
        <f t="shared" si="700"/>
        <v>#DIV/0!</v>
      </c>
      <c r="AD402" s="113" t="e">
        <f t="shared" si="700"/>
        <v>#DIV/0!</v>
      </c>
      <c r="AE402" s="113" t="e">
        <f t="shared" si="700"/>
        <v>#DIV/0!</v>
      </c>
      <c r="AF402" s="113" t="e">
        <f t="shared" si="700"/>
        <v>#DIV/0!</v>
      </c>
      <c r="AG402" s="113" t="e">
        <f t="shared" si="700"/>
        <v>#DIV/0!</v>
      </c>
      <c r="AH402" s="113" t="e">
        <f t="shared" si="700"/>
        <v>#DIV/0!</v>
      </c>
      <c r="AI402" s="114" t="e">
        <f t="shared" si="700"/>
        <v>#DIV/0!</v>
      </c>
      <c r="AJ402" s="115" t="e">
        <f t="shared" si="700"/>
        <v>#DIV/0!</v>
      </c>
      <c r="AK402" s="116" t="e">
        <f t="shared" si="700"/>
        <v>#DIV/0!</v>
      </c>
    </row>
    <row r="403" spans="1:38" ht="15.6" hidden="1" thickBot="1">
      <c r="A403" s="91"/>
      <c r="B403" s="100"/>
      <c r="C403" s="86"/>
      <c r="D403" s="87">
        <v>2019</v>
      </c>
      <c r="E403" s="88"/>
      <c r="F403" s="121"/>
      <c r="G403" s="121"/>
      <c r="H403" s="121"/>
      <c r="I403" s="121"/>
      <c r="J403" s="121"/>
      <c r="K403" s="121"/>
      <c r="L403" s="121"/>
      <c r="M403" s="122"/>
      <c r="N403" s="122"/>
      <c r="O403" s="122"/>
      <c r="P403" s="123"/>
      <c r="Q403" s="89">
        <f t="shared" ref="Q403:Q405" si="701">SUM(E403:P403)</f>
        <v>0</v>
      </c>
      <c r="R403" s="90">
        <f t="shared" ref="R403" si="702">SUM(E403:M403)</f>
        <v>0</v>
      </c>
      <c r="T403" s="91"/>
      <c r="U403" s="100"/>
      <c r="V403" s="86">
        <f t="shared" ref="V403:V404" si="703">C403</f>
        <v>0</v>
      </c>
      <c r="W403" s="87">
        <v>2019</v>
      </c>
      <c r="X403" s="88"/>
      <c r="Y403" s="121"/>
      <c r="Z403" s="121"/>
      <c r="AA403" s="121"/>
      <c r="AB403" s="121"/>
      <c r="AC403" s="121"/>
      <c r="AD403" s="121"/>
      <c r="AE403" s="121"/>
      <c r="AF403" s="122"/>
      <c r="AG403" s="122"/>
      <c r="AH403" s="122"/>
      <c r="AI403" s="123"/>
      <c r="AJ403" s="89">
        <f t="shared" ref="AJ403:AJ405" si="704">SUM(X403:AI403)</f>
        <v>0</v>
      </c>
      <c r="AK403" s="90">
        <f t="shared" ref="AK403:AK405" si="705">SUM(X403:AF403)</f>
        <v>0</v>
      </c>
    </row>
    <row r="404" spans="1:38" ht="15.6" hidden="1" thickBot="1">
      <c r="A404" s="91"/>
      <c r="B404" s="100"/>
      <c r="C404" s="92"/>
      <c r="D404" s="93" t="s">
        <v>92</v>
      </c>
      <c r="E404" s="94"/>
      <c r="F404" s="97"/>
      <c r="G404" s="97"/>
      <c r="H404" s="97"/>
      <c r="I404" s="97"/>
      <c r="J404" s="97"/>
      <c r="K404" s="97"/>
      <c r="L404" s="97"/>
      <c r="M404" s="98"/>
      <c r="N404" s="98"/>
      <c r="O404" s="98"/>
      <c r="P404" s="99"/>
      <c r="Q404" s="95">
        <f t="shared" si="701"/>
        <v>0</v>
      </c>
      <c r="R404" s="96">
        <f t="shared" si="693"/>
        <v>0</v>
      </c>
      <c r="T404" s="91"/>
      <c r="U404" s="100"/>
      <c r="V404" s="92">
        <f t="shared" si="703"/>
        <v>0</v>
      </c>
      <c r="W404" s="93" t="s">
        <v>92</v>
      </c>
      <c r="X404" s="94"/>
      <c r="Y404" s="97"/>
      <c r="Z404" s="97"/>
      <c r="AA404" s="97"/>
      <c r="AB404" s="97"/>
      <c r="AC404" s="97"/>
      <c r="AD404" s="97"/>
      <c r="AE404" s="97"/>
      <c r="AF404" s="98"/>
      <c r="AG404" s="98"/>
      <c r="AH404" s="98"/>
      <c r="AI404" s="99"/>
      <c r="AJ404" s="95">
        <f t="shared" si="704"/>
        <v>0</v>
      </c>
      <c r="AK404" s="96">
        <f t="shared" si="705"/>
        <v>0</v>
      </c>
    </row>
    <row r="405" spans="1:38" ht="15.6" hidden="1" thickBot="1">
      <c r="A405" s="91"/>
      <c r="B405" s="100"/>
      <c r="C405" s="92"/>
      <c r="D405" s="101">
        <v>2020</v>
      </c>
      <c r="E405" s="102"/>
      <c r="F405" s="124"/>
      <c r="G405" s="124"/>
      <c r="H405" s="124"/>
      <c r="I405" s="124"/>
      <c r="J405" s="124"/>
      <c r="K405" s="124"/>
      <c r="L405" s="124"/>
      <c r="M405" s="125"/>
      <c r="N405" s="125"/>
      <c r="O405" s="125"/>
      <c r="P405" s="126"/>
      <c r="Q405" s="103">
        <f t="shared" si="701"/>
        <v>0</v>
      </c>
      <c r="R405" s="104">
        <f t="shared" si="693"/>
        <v>0</v>
      </c>
      <c r="S405" s="105"/>
      <c r="T405" s="91"/>
      <c r="U405" s="100"/>
      <c r="V405" s="92"/>
      <c r="W405" s="101">
        <v>2020</v>
      </c>
      <c r="X405" s="102"/>
      <c r="Y405" s="124"/>
      <c r="Z405" s="124"/>
      <c r="AA405" s="124"/>
      <c r="AB405" s="124"/>
      <c r="AC405" s="124"/>
      <c r="AD405" s="124"/>
      <c r="AE405" s="124"/>
      <c r="AF405" s="125"/>
      <c r="AG405" s="125"/>
      <c r="AH405" s="125"/>
      <c r="AI405" s="126"/>
      <c r="AJ405" s="103">
        <f t="shared" si="704"/>
        <v>0</v>
      </c>
      <c r="AK405" s="104">
        <f t="shared" si="705"/>
        <v>0</v>
      </c>
      <c r="AL405" s="105"/>
    </row>
    <row r="406" spans="1:38" ht="15.6" hidden="1" thickBot="1">
      <c r="A406" s="91"/>
      <c r="B406" s="100"/>
      <c r="C406" s="92"/>
      <c r="D406" s="101" t="s">
        <v>102</v>
      </c>
      <c r="E406" s="106" t="e">
        <f t="shared" ref="E406:R406" si="706">E405/E404</f>
        <v>#DIV/0!</v>
      </c>
      <c r="F406" s="106" t="e">
        <f t="shared" si="706"/>
        <v>#DIV/0!</v>
      </c>
      <c r="G406" s="106" t="e">
        <f t="shared" si="706"/>
        <v>#DIV/0!</v>
      </c>
      <c r="H406" s="106" t="e">
        <f t="shared" si="706"/>
        <v>#DIV/0!</v>
      </c>
      <c r="I406" s="106" t="e">
        <f t="shared" si="706"/>
        <v>#DIV/0!</v>
      </c>
      <c r="J406" s="106" t="e">
        <f t="shared" si="706"/>
        <v>#DIV/0!</v>
      </c>
      <c r="K406" s="106" t="e">
        <f t="shared" si="706"/>
        <v>#DIV/0!</v>
      </c>
      <c r="L406" s="106" t="e">
        <f t="shared" si="706"/>
        <v>#DIV/0!</v>
      </c>
      <c r="M406" s="107" t="e">
        <f t="shared" si="706"/>
        <v>#DIV/0!</v>
      </c>
      <c r="N406" s="107" t="e">
        <f t="shared" si="706"/>
        <v>#DIV/0!</v>
      </c>
      <c r="O406" s="107" t="e">
        <f t="shared" si="706"/>
        <v>#DIV/0!</v>
      </c>
      <c r="P406" s="108" t="e">
        <f t="shared" si="706"/>
        <v>#DIV/0!</v>
      </c>
      <c r="Q406" s="109" t="e">
        <f t="shared" si="706"/>
        <v>#DIV/0!</v>
      </c>
      <c r="R406" s="110" t="e">
        <f t="shared" si="706"/>
        <v>#DIV/0!</v>
      </c>
      <c r="S406" s="105"/>
      <c r="T406" s="91"/>
      <c r="U406" s="100"/>
      <c r="V406" s="92"/>
      <c r="W406" s="101" t="s">
        <v>102</v>
      </c>
      <c r="X406" s="106" t="e">
        <f t="shared" ref="X406:AK406" si="707">X405/X404</f>
        <v>#DIV/0!</v>
      </c>
      <c r="Y406" s="106" t="e">
        <f t="shared" si="707"/>
        <v>#DIV/0!</v>
      </c>
      <c r="Z406" s="106" t="e">
        <f t="shared" si="707"/>
        <v>#DIV/0!</v>
      </c>
      <c r="AA406" s="106" t="e">
        <f t="shared" si="707"/>
        <v>#DIV/0!</v>
      </c>
      <c r="AB406" s="106" t="e">
        <f t="shared" si="707"/>
        <v>#DIV/0!</v>
      </c>
      <c r="AC406" s="106" t="e">
        <f t="shared" si="707"/>
        <v>#DIV/0!</v>
      </c>
      <c r="AD406" s="106" t="e">
        <f t="shared" si="707"/>
        <v>#DIV/0!</v>
      </c>
      <c r="AE406" s="106" t="e">
        <f t="shared" si="707"/>
        <v>#DIV/0!</v>
      </c>
      <c r="AF406" s="107" t="e">
        <f t="shared" si="707"/>
        <v>#DIV/0!</v>
      </c>
      <c r="AG406" s="107" t="e">
        <f t="shared" si="707"/>
        <v>#DIV/0!</v>
      </c>
      <c r="AH406" s="107" t="e">
        <f t="shared" si="707"/>
        <v>#DIV/0!</v>
      </c>
      <c r="AI406" s="108" t="e">
        <f t="shared" si="707"/>
        <v>#DIV/0!</v>
      </c>
      <c r="AJ406" s="109" t="e">
        <f t="shared" si="707"/>
        <v>#DIV/0!</v>
      </c>
      <c r="AK406" s="110" t="e">
        <f t="shared" si="707"/>
        <v>#DIV/0!</v>
      </c>
      <c r="AL406" s="105"/>
    </row>
    <row r="407" spans="1:38" ht="15.6" hidden="1" thickBot="1">
      <c r="A407" s="91"/>
      <c r="B407" s="100"/>
      <c r="C407" s="111"/>
      <c r="D407" s="112" t="s">
        <v>103</v>
      </c>
      <c r="E407" s="113" t="e">
        <f t="shared" ref="E407:R407" si="708">E405/E403</f>
        <v>#DIV/0!</v>
      </c>
      <c r="F407" s="113" t="e">
        <f t="shared" si="708"/>
        <v>#DIV/0!</v>
      </c>
      <c r="G407" s="113" t="e">
        <f t="shared" si="708"/>
        <v>#DIV/0!</v>
      </c>
      <c r="H407" s="113" t="e">
        <f t="shared" si="708"/>
        <v>#DIV/0!</v>
      </c>
      <c r="I407" s="113" t="e">
        <f t="shared" si="708"/>
        <v>#DIV/0!</v>
      </c>
      <c r="J407" s="113" t="e">
        <f t="shared" si="708"/>
        <v>#DIV/0!</v>
      </c>
      <c r="K407" s="113" t="e">
        <f t="shared" si="708"/>
        <v>#DIV/0!</v>
      </c>
      <c r="L407" s="113" t="e">
        <f t="shared" si="708"/>
        <v>#DIV/0!</v>
      </c>
      <c r="M407" s="113" t="e">
        <f t="shared" si="708"/>
        <v>#DIV/0!</v>
      </c>
      <c r="N407" s="113" t="e">
        <f t="shared" si="708"/>
        <v>#DIV/0!</v>
      </c>
      <c r="O407" s="113" t="e">
        <f t="shared" si="708"/>
        <v>#DIV/0!</v>
      </c>
      <c r="P407" s="114" t="e">
        <f t="shared" si="708"/>
        <v>#DIV/0!</v>
      </c>
      <c r="Q407" s="115" t="e">
        <f t="shared" si="708"/>
        <v>#DIV/0!</v>
      </c>
      <c r="R407" s="116" t="e">
        <f t="shared" si="708"/>
        <v>#DIV/0!</v>
      </c>
      <c r="T407" s="91"/>
      <c r="U407" s="100"/>
      <c r="V407" s="111"/>
      <c r="W407" s="112" t="s">
        <v>103</v>
      </c>
      <c r="X407" s="113" t="e">
        <f t="shared" ref="X407:AK407" si="709">X405/X403</f>
        <v>#DIV/0!</v>
      </c>
      <c r="Y407" s="113" t="e">
        <f t="shared" si="709"/>
        <v>#DIV/0!</v>
      </c>
      <c r="Z407" s="113" t="e">
        <f t="shared" si="709"/>
        <v>#DIV/0!</v>
      </c>
      <c r="AA407" s="113" t="e">
        <f t="shared" si="709"/>
        <v>#DIV/0!</v>
      </c>
      <c r="AB407" s="113" t="e">
        <f t="shared" si="709"/>
        <v>#DIV/0!</v>
      </c>
      <c r="AC407" s="113" t="e">
        <f t="shared" si="709"/>
        <v>#DIV/0!</v>
      </c>
      <c r="AD407" s="113" t="e">
        <f t="shared" si="709"/>
        <v>#DIV/0!</v>
      </c>
      <c r="AE407" s="113" t="e">
        <f t="shared" si="709"/>
        <v>#DIV/0!</v>
      </c>
      <c r="AF407" s="113" t="e">
        <f t="shared" si="709"/>
        <v>#DIV/0!</v>
      </c>
      <c r="AG407" s="113" t="e">
        <f t="shared" si="709"/>
        <v>#DIV/0!</v>
      </c>
      <c r="AH407" s="113" t="e">
        <f t="shared" si="709"/>
        <v>#DIV/0!</v>
      </c>
      <c r="AI407" s="114" t="e">
        <f t="shared" si="709"/>
        <v>#DIV/0!</v>
      </c>
      <c r="AJ407" s="115" t="e">
        <f t="shared" si="709"/>
        <v>#DIV/0!</v>
      </c>
      <c r="AK407" s="116" t="e">
        <f t="shared" si="709"/>
        <v>#DIV/0!</v>
      </c>
    </row>
    <row r="408" spans="1:38" ht="15.6" hidden="1" thickBot="1">
      <c r="A408" s="91"/>
      <c r="B408" s="100"/>
      <c r="C408" s="86"/>
      <c r="D408" s="87">
        <v>2019</v>
      </c>
      <c r="E408" s="88"/>
      <c r="F408" s="121"/>
      <c r="G408" s="121"/>
      <c r="H408" s="121"/>
      <c r="I408" s="121"/>
      <c r="J408" s="121"/>
      <c r="K408" s="121"/>
      <c r="L408" s="121"/>
      <c r="M408" s="122"/>
      <c r="N408" s="122"/>
      <c r="O408" s="122"/>
      <c r="P408" s="123"/>
      <c r="Q408" s="89">
        <f t="shared" ref="Q408:Q410" si="710">SUM(E408:P408)</f>
        <v>0</v>
      </c>
      <c r="R408" s="90">
        <f t="shared" ref="R408" si="711">SUM(E408:M408)</f>
        <v>0</v>
      </c>
      <c r="T408" s="91"/>
      <c r="U408" s="100"/>
      <c r="V408" s="86">
        <f t="shared" ref="V408:V409" si="712">C408</f>
        <v>0</v>
      </c>
      <c r="W408" s="87">
        <v>2019</v>
      </c>
      <c r="X408" s="88"/>
      <c r="Y408" s="121"/>
      <c r="Z408" s="121"/>
      <c r="AA408" s="121"/>
      <c r="AB408" s="121"/>
      <c r="AC408" s="121"/>
      <c r="AD408" s="121"/>
      <c r="AE408" s="121"/>
      <c r="AF408" s="122"/>
      <c r="AG408" s="122"/>
      <c r="AH408" s="122"/>
      <c r="AI408" s="123"/>
      <c r="AJ408" s="89">
        <f t="shared" ref="AJ408:AJ410" si="713">SUM(X408:AI408)</f>
        <v>0</v>
      </c>
      <c r="AK408" s="90">
        <f t="shared" ref="AK408:AK410" si="714">SUM(X408:AF408)</f>
        <v>0</v>
      </c>
    </row>
    <row r="409" spans="1:38" ht="15.6" hidden="1" thickBot="1">
      <c r="A409" s="91"/>
      <c r="B409" s="100"/>
      <c r="C409" s="92"/>
      <c r="D409" s="93" t="s">
        <v>92</v>
      </c>
      <c r="E409" s="94"/>
      <c r="F409" s="97"/>
      <c r="G409" s="97"/>
      <c r="H409" s="97"/>
      <c r="I409" s="97"/>
      <c r="J409" s="97"/>
      <c r="K409" s="97"/>
      <c r="L409" s="97"/>
      <c r="M409" s="98"/>
      <c r="N409" s="98"/>
      <c r="O409" s="98"/>
      <c r="P409" s="99"/>
      <c r="Q409" s="95">
        <f t="shared" si="710"/>
        <v>0</v>
      </c>
      <c r="R409" s="96">
        <f t="shared" si="693"/>
        <v>0</v>
      </c>
      <c r="T409" s="91"/>
      <c r="U409" s="100"/>
      <c r="V409" s="92">
        <f t="shared" si="712"/>
        <v>0</v>
      </c>
      <c r="W409" s="93" t="s">
        <v>92</v>
      </c>
      <c r="X409" s="94"/>
      <c r="Y409" s="97"/>
      <c r="Z409" s="97"/>
      <c r="AA409" s="97"/>
      <c r="AB409" s="97"/>
      <c r="AC409" s="97"/>
      <c r="AD409" s="97"/>
      <c r="AE409" s="97"/>
      <c r="AF409" s="98"/>
      <c r="AG409" s="98"/>
      <c r="AH409" s="98"/>
      <c r="AI409" s="99"/>
      <c r="AJ409" s="95">
        <f t="shared" si="713"/>
        <v>0</v>
      </c>
      <c r="AK409" s="96">
        <f t="shared" si="714"/>
        <v>0</v>
      </c>
    </row>
    <row r="410" spans="1:38" ht="15.6" hidden="1" thickBot="1">
      <c r="A410" s="91"/>
      <c r="B410" s="100"/>
      <c r="C410" s="92"/>
      <c r="D410" s="101">
        <v>2020</v>
      </c>
      <c r="E410" s="102"/>
      <c r="F410" s="124"/>
      <c r="G410" s="124"/>
      <c r="H410" s="124"/>
      <c r="I410" s="124"/>
      <c r="J410" s="124"/>
      <c r="K410" s="124"/>
      <c r="L410" s="124"/>
      <c r="M410" s="125"/>
      <c r="N410" s="125"/>
      <c r="O410" s="125"/>
      <c r="P410" s="126"/>
      <c r="Q410" s="103">
        <f t="shared" si="710"/>
        <v>0</v>
      </c>
      <c r="R410" s="104">
        <f t="shared" si="693"/>
        <v>0</v>
      </c>
      <c r="S410" s="105"/>
      <c r="T410" s="91"/>
      <c r="U410" s="100"/>
      <c r="V410" s="92"/>
      <c r="W410" s="101">
        <v>2020</v>
      </c>
      <c r="X410" s="102"/>
      <c r="Y410" s="124"/>
      <c r="Z410" s="124"/>
      <c r="AA410" s="124"/>
      <c r="AB410" s="124"/>
      <c r="AC410" s="124"/>
      <c r="AD410" s="124"/>
      <c r="AE410" s="124"/>
      <c r="AF410" s="125"/>
      <c r="AG410" s="125"/>
      <c r="AH410" s="125"/>
      <c r="AI410" s="126"/>
      <c r="AJ410" s="103">
        <f t="shared" si="713"/>
        <v>0</v>
      </c>
      <c r="AK410" s="104">
        <f t="shared" si="714"/>
        <v>0</v>
      </c>
      <c r="AL410" s="105"/>
    </row>
    <row r="411" spans="1:38" ht="15.6" hidden="1" thickBot="1">
      <c r="A411" s="91"/>
      <c r="B411" s="100"/>
      <c r="C411" s="92"/>
      <c r="D411" s="101" t="s">
        <v>102</v>
      </c>
      <c r="E411" s="106" t="e">
        <f t="shared" ref="E411:R411" si="715">E410/E409</f>
        <v>#DIV/0!</v>
      </c>
      <c r="F411" s="106" t="e">
        <f t="shared" si="715"/>
        <v>#DIV/0!</v>
      </c>
      <c r="G411" s="106" t="e">
        <f t="shared" si="715"/>
        <v>#DIV/0!</v>
      </c>
      <c r="H411" s="106" t="e">
        <f t="shared" si="715"/>
        <v>#DIV/0!</v>
      </c>
      <c r="I411" s="106" t="e">
        <f t="shared" si="715"/>
        <v>#DIV/0!</v>
      </c>
      <c r="J411" s="106" t="e">
        <f t="shared" si="715"/>
        <v>#DIV/0!</v>
      </c>
      <c r="K411" s="106" t="e">
        <f t="shared" si="715"/>
        <v>#DIV/0!</v>
      </c>
      <c r="L411" s="106" t="e">
        <f t="shared" si="715"/>
        <v>#DIV/0!</v>
      </c>
      <c r="M411" s="107" t="e">
        <f t="shared" si="715"/>
        <v>#DIV/0!</v>
      </c>
      <c r="N411" s="107" t="e">
        <f t="shared" si="715"/>
        <v>#DIV/0!</v>
      </c>
      <c r="O411" s="107" t="e">
        <f t="shared" si="715"/>
        <v>#DIV/0!</v>
      </c>
      <c r="P411" s="108" t="e">
        <f t="shared" si="715"/>
        <v>#DIV/0!</v>
      </c>
      <c r="Q411" s="109" t="e">
        <f t="shared" si="715"/>
        <v>#DIV/0!</v>
      </c>
      <c r="R411" s="110" t="e">
        <f t="shared" si="715"/>
        <v>#DIV/0!</v>
      </c>
      <c r="S411" s="105"/>
      <c r="T411" s="91"/>
      <c r="U411" s="100"/>
      <c r="V411" s="92"/>
      <c r="W411" s="101" t="s">
        <v>102</v>
      </c>
      <c r="X411" s="106" t="e">
        <f t="shared" ref="X411:AK411" si="716">X410/X409</f>
        <v>#DIV/0!</v>
      </c>
      <c r="Y411" s="106" t="e">
        <f t="shared" si="716"/>
        <v>#DIV/0!</v>
      </c>
      <c r="Z411" s="106" t="e">
        <f t="shared" si="716"/>
        <v>#DIV/0!</v>
      </c>
      <c r="AA411" s="106" t="e">
        <f t="shared" si="716"/>
        <v>#DIV/0!</v>
      </c>
      <c r="AB411" s="106" t="e">
        <f t="shared" si="716"/>
        <v>#DIV/0!</v>
      </c>
      <c r="AC411" s="106" t="e">
        <f t="shared" si="716"/>
        <v>#DIV/0!</v>
      </c>
      <c r="AD411" s="106" t="e">
        <f t="shared" si="716"/>
        <v>#DIV/0!</v>
      </c>
      <c r="AE411" s="106" t="e">
        <f t="shared" si="716"/>
        <v>#DIV/0!</v>
      </c>
      <c r="AF411" s="107" t="e">
        <f t="shared" si="716"/>
        <v>#DIV/0!</v>
      </c>
      <c r="AG411" s="107" t="e">
        <f t="shared" si="716"/>
        <v>#DIV/0!</v>
      </c>
      <c r="AH411" s="107" t="e">
        <f t="shared" si="716"/>
        <v>#DIV/0!</v>
      </c>
      <c r="AI411" s="108" t="e">
        <f t="shared" si="716"/>
        <v>#DIV/0!</v>
      </c>
      <c r="AJ411" s="109" t="e">
        <f t="shared" si="716"/>
        <v>#DIV/0!</v>
      </c>
      <c r="AK411" s="110" t="e">
        <f t="shared" si="716"/>
        <v>#DIV/0!</v>
      </c>
      <c r="AL411" s="105"/>
    </row>
    <row r="412" spans="1:38" ht="15.6" hidden="1" thickBot="1">
      <c r="A412" s="91"/>
      <c r="B412" s="100"/>
      <c r="C412" s="111"/>
      <c r="D412" s="112" t="s">
        <v>103</v>
      </c>
      <c r="E412" s="113" t="e">
        <f t="shared" ref="E412:R412" si="717">E410/E408</f>
        <v>#DIV/0!</v>
      </c>
      <c r="F412" s="113" t="e">
        <f t="shared" si="717"/>
        <v>#DIV/0!</v>
      </c>
      <c r="G412" s="113" t="e">
        <f t="shared" si="717"/>
        <v>#DIV/0!</v>
      </c>
      <c r="H412" s="113" t="e">
        <f t="shared" si="717"/>
        <v>#DIV/0!</v>
      </c>
      <c r="I412" s="113" t="e">
        <f t="shared" si="717"/>
        <v>#DIV/0!</v>
      </c>
      <c r="J412" s="113" t="e">
        <f t="shared" si="717"/>
        <v>#DIV/0!</v>
      </c>
      <c r="K412" s="113" t="e">
        <f t="shared" si="717"/>
        <v>#DIV/0!</v>
      </c>
      <c r="L412" s="113" t="e">
        <f t="shared" si="717"/>
        <v>#DIV/0!</v>
      </c>
      <c r="M412" s="113" t="e">
        <f t="shared" si="717"/>
        <v>#DIV/0!</v>
      </c>
      <c r="N412" s="113" t="e">
        <f t="shared" si="717"/>
        <v>#DIV/0!</v>
      </c>
      <c r="O412" s="113" t="e">
        <f t="shared" si="717"/>
        <v>#DIV/0!</v>
      </c>
      <c r="P412" s="114" t="e">
        <f t="shared" si="717"/>
        <v>#DIV/0!</v>
      </c>
      <c r="Q412" s="115" t="e">
        <f t="shared" si="717"/>
        <v>#DIV/0!</v>
      </c>
      <c r="R412" s="116" t="e">
        <f t="shared" si="717"/>
        <v>#DIV/0!</v>
      </c>
      <c r="T412" s="91"/>
      <c r="U412" s="100"/>
      <c r="V412" s="111"/>
      <c r="W412" s="112" t="s">
        <v>103</v>
      </c>
      <c r="X412" s="113" t="e">
        <f t="shared" ref="X412:AK412" si="718">X410/X408</f>
        <v>#DIV/0!</v>
      </c>
      <c r="Y412" s="113" t="e">
        <f t="shared" si="718"/>
        <v>#DIV/0!</v>
      </c>
      <c r="Z412" s="113" t="e">
        <f t="shared" si="718"/>
        <v>#DIV/0!</v>
      </c>
      <c r="AA412" s="113" t="e">
        <f t="shared" si="718"/>
        <v>#DIV/0!</v>
      </c>
      <c r="AB412" s="113" t="e">
        <f t="shared" si="718"/>
        <v>#DIV/0!</v>
      </c>
      <c r="AC412" s="113" t="e">
        <f t="shared" si="718"/>
        <v>#DIV/0!</v>
      </c>
      <c r="AD412" s="113" t="e">
        <f t="shared" si="718"/>
        <v>#DIV/0!</v>
      </c>
      <c r="AE412" s="113" t="e">
        <f t="shared" si="718"/>
        <v>#DIV/0!</v>
      </c>
      <c r="AF412" s="113" t="e">
        <f t="shared" si="718"/>
        <v>#DIV/0!</v>
      </c>
      <c r="AG412" s="113" t="e">
        <f t="shared" si="718"/>
        <v>#DIV/0!</v>
      </c>
      <c r="AH412" s="113" t="e">
        <f t="shared" si="718"/>
        <v>#DIV/0!</v>
      </c>
      <c r="AI412" s="114" t="e">
        <f t="shared" si="718"/>
        <v>#DIV/0!</v>
      </c>
      <c r="AJ412" s="115" t="e">
        <f t="shared" si="718"/>
        <v>#DIV/0!</v>
      </c>
      <c r="AK412" s="116" t="e">
        <f t="shared" si="718"/>
        <v>#DIV/0!</v>
      </c>
    </row>
    <row r="413" spans="1:38" ht="15.6" hidden="1" thickBot="1">
      <c r="A413" s="91"/>
      <c r="B413" s="100"/>
      <c r="C413" s="86"/>
      <c r="D413" s="87">
        <v>2019</v>
      </c>
      <c r="E413" s="88"/>
      <c r="F413" s="121"/>
      <c r="G413" s="121"/>
      <c r="H413" s="121"/>
      <c r="I413" s="121"/>
      <c r="J413" s="121"/>
      <c r="K413" s="121"/>
      <c r="L413" s="121"/>
      <c r="M413" s="122"/>
      <c r="N413" s="122"/>
      <c r="O413" s="122"/>
      <c r="P413" s="123"/>
      <c r="Q413" s="89">
        <f t="shared" ref="Q413:Q415" si="719">SUM(E413:P413)</f>
        <v>0</v>
      </c>
      <c r="R413" s="90">
        <f t="shared" ref="R413" si="720">SUM(E413:M413)</f>
        <v>0</v>
      </c>
      <c r="T413" s="91"/>
      <c r="U413" s="100"/>
      <c r="V413" s="86">
        <f t="shared" ref="V413:V414" si="721">C413</f>
        <v>0</v>
      </c>
      <c r="W413" s="87">
        <v>2019</v>
      </c>
      <c r="X413" s="88"/>
      <c r="Y413" s="121"/>
      <c r="Z413" s="121"/>
      <c r="AA413" s="121"/>
      <c r="AB413" s="121"/>
      <c r="AC413" s="121"/>
      <c r="AD413" s="121"/>
      <c r="AE413" s="121"/>
      <c r="AF413" s="122"/>
      <c r="AG413" s="122"/>
      <c r="AH413" s="122"/>
      <c r="AI413" s="123"/>
      <c r="AJ413" s="89">
        <f t="shared" ref="AJ413:AJ415" si="722">SUM(X413:AI413)</f>
        <v>0</v>
      </c>
      <c r="AK413" s="90">
        <f t="shared" ref="AK413:AK415" si="723">SUM(X413:AF413)</f>
        <v>0</v>
      </c>
    </row>
    <row r="414" spans="1:38" ht="15.6" hidden="1" thickBot="1">
      <c r="A414" s="91"/>
      <c r="B414" s="100"/>
      <c r="C414" s="92"/>
      <c r="D414" s="93" t="s">
        <v>92</v>
      </c>
      <c r="E414" s="94"/>
      <c r="F414" s="97"/>
      <c r="G414" s="97"/>
      <c r="H414" s="97"/>
      <c r="I414" s="97"/>
      <c r="J414" s="97"/>
      <c r="K414" s="97"/>
      <c r="L414" s="97"/>
      <c r="M414" s="98"/>
      <c r="N414" s="98"/>
      <c r="O414" s="98"/>
      <c r="P414" s="99"/>
      <c r="Q414" s="95">
        <f t="shared" si="719"/>
        <v>0</v>
      </c>
      <c r="R414" s="96">
        <f t="shared" si="693"/>
        <v>0</v>
      </c>
      <c r="T414" s="91"/>
      <c r="U414" s="100"/>
      <c r="V414" s="92">
        <f t="shared" si="721"/>
        <v>0</v>
      </c>
      <c r="W414" s="93" t="s">
        <v>92</v>
      </c>
      <c r="X414" s="94"/>
      <c r="Y414" s="97"/>
      <c r="Z414" s="97"/>
      <c r="AA414" s="97"/>
      <c r="AB414" s="97"/>
      <c r="AC414" s="97"/>
      <c r="AD414" s="97"/>
      <c r="AE414" s="97"/>
      <c r="AF414" s="98"/>
      <c r="AG414" s="98"/>
      <c r="AH414" s="98"/>
      <c r="AI414" s="99"/>
      <c r="AJ414" s="95">
        <f t="shared" si="722"/>
        <v>0</v>
      </c>
      <c r="AK414" s="96">
        <f t="shared" si="723"/>
        <v>0</v>
      </c>
    </row>
    <row r="415" spans="1:38" ht="15.6" hidden="1" thickBot="1">
      <c r="A415" s="91"/>
      <c r="B415" s="100"/>
      <c r="C415" s="92"/>
      <c r="D415" s="101">
        <v>2020</v>
      </c>
      <c r="E415" s="102"/>
      <c r="F415" s="124"/>
      <c r="G415" s="124"/>
      <c r="H415" s="124"/>
      <c r="I415" s="124"/>
      <c r="J415" s="124"/>
      <c r="K415" s="124"/>
      <c r="L415" s="124"/>
      <c r="M415" s="125"/>
      <c r="N415" s="125"/>
      <c r="O415" s="125"/>
      <c r="P415" s="126"/>
      <c r="Q415" s="103">
        <f t="shared" si="719"/>
        <v>0</v>
      </c>
      <c r="R415" s="104">
        <f t="shared" si="693"/>
        <v>0</v>
      </c>
      <c r="S415" s="105"/>
      <c r="T415" s="91"/>
      <c r="U415" s="100"/>
      <c r="V415" s="92"/>
      <c r="W415" s="101">
        <v>2020</v>
      </c>
      <c r="X415" s="102"/>
      <c r="Y415" s="124"/>
      <c r="Z415" s="124"/>
      <c r="AA415" s="124"/>
      <c r="AB415" s="124"/>
      <c r="AC415" s="124"/>
      <c r="AD415" s="124"/>
      <c r="AE415" s="124"/>
      <c r="AF415" s="125"/>
      <c r="AG415" s="125"/>
      <c r="AH415" s="125"/>
      <c r="AI415" s="126"/>
      <c r="AJ415" s="103">
        <f t="shared" si="722"/>
        <v>0</v>
      </c>
      <c r="AK415" s="104">
        <f t="shared" si="723"/>
        <v>0</v>
      </c>
      <c r="AL415" s="105"/>
    </row>
    <row r="416" spans="1:38" ht="15.6" hidden="1" thickBot="1">
      <c r="A416" s="91"/>
      <c r="B416" s="100"/>
      <c r="C416" s="92"/>
      <c r="D416" s="101" t="s">
        <v>102</v>
      </c>
      <c r="E416" s="106" t="e">
        <f t="shared" ref="E416:R416" si="724">E415/E414</f>
        <v>#DIV/0!</v>
      </c>
      <c r="F416" s="106" t="e">
        <f t="shared" si="724"/>
        <v>#DIV/0!</v>
      </c>
      <c r="G416" s="106" t="e">
        <f t="shared" si="724"/>
        <v>#DIV/0!</v>
      </c>
      <c r="H416" s="106" t="e">
        <f t="shared" si="724"/>
        <v>#DIV/0!</v>
      </c>
      <c r="I416" s="106" t="e">
        <f t="shared" si="724"/>
        <v>#DIV/0!</v>
      </c>
      <c r="J416" s="106" t="e">
        <f t="shared" si="724"/>
        <v>#DIV/0!</v>
      </c>
      <c r="K416" s="106" t="e">
        <f t="shared" si="724"/>
        <v>#DIV/0!</v>
      </c>
      <c r="L416" s="106" t="e">
        <f t="shared" si="724"/>
        <v>#DIV/0!</v>
      </c>
      <c r="M416" s="107" t="e">
        <f t="shared" si="724"/>
        <v>#DIV/0!</v>
      </c>
      <c r="N416" s="107" t="e">
        <f t="shared" si="724"/>
        <v>#DIV/0!</v>
      </c>
      <c r="O416" s="107" t="e">
        <f t="shared" si="724"/>
        <v>#DIV/0!</v>
      </c>
      <c r="P416" s="108" t="e">
        <f t="shared" si="724"/>
        <v>#DIV/0!</v>
      </c>
      <c r="Q416" s="109" t="e">
        <f t="shared" si="724"/>
        <v>#DIV/0!</v>
      </c>
      <c r="R416" s="110" t="e">
        <f t="shared" si="724"/>
        <v>#DIV/0!</v>
      </c>
      <c r="S416" s="105"/>
      <c r="T416" s="91"/>
      <c r="U416" s="100"/>
      <c r="V416" s="92"/>
      <c r="W416" s="101" t="s">
        <v>102</v>
      </c>
      <c r="X416" s="106" t="e">
        <f t="shared" ref="X416:AK416" si="725">X415/X414</f>
        <v>#DIV/0!</v>
      </c>
      <c r="Y416" s="106" t="e">
        <f t="shared" si="725"/>
        <v>#DIV/0!</v>
      </c>
      <c r="Z416" s="106" t="e">
        <f t="shared" si="725"/>
        <v>#DIV/0!</v>
      </c>
      <c r="AA416" s="106" t="e">
        <f t="shared" si="725"/>
        <v>#DIV/0!</v>
      </c>
      <c r="AB416" s="106" t="e">
        <f t="shared" si="725"/>
        <v>#DIV/0!</v>
      </c>
      <c r="AC416" s="106" t="e">
        <f t="shared" si="725"/>
        <v>#DIV/0!</v>
      </c>
      <c r="AD416" s="106" t="e">
        <f t="shared" si="725"/>
        <v>#DIV/0!</v>
      </c>
      <c r="AE416" s="106" t="e">
        <f t="shared" si="725"/>
        <v>#DIV/0!</v>
      </c>
      <c r="AF416" s="107" t="e">
        <f t="shared" si="725"/>
        <v>#DIV/0!</v>
      </c>
      <c r="AG416" s="107" t="e">
        <f t="shared" si="725"/>
        <v>#DIV/0!</v>
      </c>
      <c r="AH416" s="107" t="e">
        <f t="shared" si="725"/>
        <v>#DIV/0!</v>
      </c>
      <c r="AI416" s="108" t="e">
        <f t="shared" si="725"/>
        <v>#DIV/0!</v>
      </c>
      <c r="AJ416" s="109" t="e">
        <f t="shared" si="725"/>
        <v>#DIV/0!</v>
      </c>
      <c r="AK416" s="110" t="e">
        <f t="shared" si="725"/>
        <v>#DIV/0!</v>
      </c>
      <c r="AL416" s="105"/>
    </row>
    <row r="417" spans="1:38" ht="15.6" hidden="1" thickBot="1">
      <c r="A417" s="91"/>
      <c r="B417" s="100"/>
      <c r="C417" s="111"/>
      <c r="D417" s="112" t="s">
        <v>103</v>
      </c>
      <c r="E417" s="113" t="e">
        <f t="shared" ref="E417:R417" si="726">E415/E413</f>
        <v>#DIV/0!</v>
      </c>
      <c r="F417" s="113" t="e">
        <f t="shared" si="726"/>
        <v>#DIV/0!</v>
      </c>
      <c r="G417" s="113" t="e">
        <f t="shared" si="726"/>
        <v>#DIV/0!</v>
      </c>
      <c r="H417" s="113" t="e">
        <f t="shared" si="726"/>
        <v>#DIV/0!</v>
      </c>
      <c r="I417" s="113" t="e">
        <f t="shared" si="726"/>
        <v>#DIV/0!</v>
      </c>
      <c r="J417" s="113" t="e">
        <f t="shared" si="726"/>
        <v>#DIV/0!</v>
      </c>
      <c r="K417" s="113" t="e">
        <f t="shared" si="726"/>
        <v>#DIV/0!</v>
      </c>
      <c r="L417" s="113" t="e">
        <f t="shared" si="726"/>
        <v>#DIV/0!</v>
      </c>
      <c r="M417" s="113" t="e">
        <f t="shared" si="726"/>
        <v>#DIV/0!</v>
      </c>
      <c r="N417" s="113" t="e">
        <f t="shared" si="726"/>
        <v>#DIV/0!</v>
      </c>
      <c r="O417" s="113" t="e">
        <f t="shared" si="726"/>
        <v>#DIV/0!</v>
      </c>
      <c r="P417" s="114" t="e">
        <f t="shared" si="726"/>
        <v>#DIV/0!</v>
      </c>
      <c r="Q417" s="115" t="e">
        <f t="shared" si="726"/>
        <v>#DIV/0!</v>
      </c>
      <c r="R417" s="116" t="e">
        <f t="shared" si="726"/>
        <v>#DIV/0!</v>
      </c>
      <c r="T417" s="91"/>
      <c r="U417" s="100"/>
      <c r="V417" s="111"/>
      <c r="W417" s="112" t="s">
        <v>103</v>
      </c>
      <c r="X417" s="113" t="e">
        <f t="shared" ref="X417:AK417" si="727">X415/X413</f>
        <v>#DIV/0!</v>
      </c>
      <c r="Y417" s="113" t="e">
        <f t="shared" si="727"/>
        <v>#DIV/0!</v>
      </c>
      <c r="Z417" s="113" t="e">
        <f t="shared" si="727"/>
        <v>#DIV/0!</v>
      </c>
      <c r="AA417" s="113" t="e">
        <f t="shared" si="727"/>
        <v>#DIV/0!</v>
      </c>
      <c r="AB417" s="113" t="e">
        <f t="shared" si="727"/>
        <v>#DIV/0!</v>
      </c>
      <c r="AC417" s="113" t="e">
        <f t="shared" si="727"/>
        <v>#DIV/0!</v>
      </c>
      <c r="AD417" s="113" t="e">
        <f t="shared" si="727"/>
        <v>#DIV/0!</v>
      </c>
      <c r="AE417" s="113" t="e">
        <f t="shared" si="727"/>
        <v>#DIV/0!</v>
      </c>
      <c r="AF417" s="113" t="e">
        <f t="shared" si="727"/>
        <v>#DIV/0!</v>
      </c>
      <c r="AG417" s="113" t="e">
        <f t="shared" si="727"/>
        <v>#DIV/0!</v>
      </c>
      <c r="AH417" s="113" t="e">
        <f t="shared" si="727"/>
        <v>#DIV/0!</v>
      </c>
      <c r="AI417" s="114" t="e">
        <f t="shared" si="727"/>
        <v>#DIV/0!</v>
      </c>
      <c r="AJ417" s="115" t="e">
        <f t="shared" si="727"/>
        <v>#DIV/0!</v>
      </c>
      <c r="AK417" s="116" t="e">
        <f t="shared" si="727"/>
        <v>#DIV/0!</v>
      </c>
    </row>
    <row r="418" spans="1:38" ht="15.6" hidden="1" thickBot="1">
      <c r="A418" s="91"/>
      <c r="B418" s="100"/>
      <c r="C418" s="86"/>
      <c r="D418" s="87">
        <v>2019</v>
      </c>
      <c r="E418" s="88"/>
      <c r="F418" s="121"/>
      <c r="G418" s="121"/>
      <c r="H418" s="121"/>
      <c r="I418" s="121"/>
      <c r="J418" s="121"/>
      <c r="K418" s="121"/>
      <c r="L418" s="121"/>
      <c r="M418" s="122"/>
      <c r="N418" s="122"/>
      <c r="O418" s="122"/>
      <c r="P418" s="123"/>
      <c r="Q418" s="89">
        <f t="shared" ref="Q418:Q420" si="728">SUM(E418:P418)</f>
        <v>0</v>
      </c>
      <c r="R418" s="90">
        <f t="shared" ref="R418" si="729">SUM(E418:M418)</f>
        <v>0</v>
      </c>
      <c r="T418" s="91"/>
      <c r="U418" s="100"/>
      <c r="V418" s="86">
        <f t="shared" ref="V418:V419" si="730">C418</f>
        <v>0</v>
      </c>
      <c r="W418" s="87">
        <v>2019</v>
      </c>
      <c r="X418" s="88"/>
      <c r="Y418" s="121"/>
      <c r="Z418" s="121"/>
      <c r="AA418" s="121"/>
      <c r="AB418" s="121"/>
      <c r="AC418" s="121"/>
      <c r="AD418" s="121"/>
      <c r="AE418" s="121"/>
      <c r="AF418" s="122"/>
      <c r="AG418" s="122"/>
      <c r="AH418" s="122"/>
      <c r="AI418" s="123"/>
      <c r="AJ418" s="89">
        <f t="shared" ref="AJ418:AJ420" si="731">SUM(X418:AI418)</f>
        <v>0</v>
      </c>
      <c r="AK418" s="90">
        <f t="shared" ref="AK418:AK420" si="732">SUM(X418:AF418)</f>
        <v>0</v>
      </c>
    </row>
    <row r="419" spans="1:38" ht="15.6" hidden="1" thickBot="1">
      <c r="A419" s="91"/>
      <c r="B419" s="100"/>
      <c r="C419" s="92"/>
      <c r="D419" s="93" t="s">
        <v>92</v>
      </c>
      <c r="E419" s="94"/>
      <c r="F419" s="97"/>
      <c r="G419" s="97"/>
      <c r="H419" s="97"/>
      <c r="I419" s="97"/>
      <c r="J419" s="97"/>
      <c r="K419" s="97"/>
      <c r="L419" s="97"/>
      <c r="M419" s="98"/>
      <c r="N419" s="98"/>
      <c r="O419" s="98"/>
      <c r="P419" s="99"/>
      <c r="Q419" s="95">
        <f t="shared" si="728"/>
        <v>0</v>
      </c>
      <c r="R419" s="96">
        <f t="shared" si="693"/>
        <v>0</v>
      </c>
      <c r="T419" s="91"/>
      <c r="U419" s="100"/>
      <c r="V419" s="92">
        <f t="shared" si="730"/>
        <v>0</v>
      </c>
      <c r="W419" s="93" t="s">
        <v>92</v>
      </c>
      <c r="X419" s="94"/>
      <c r="Y419" s="97"/>
      <c r="Z419" s="97"/>
      <c r="AA419" s="97"/>
      <c r="AB419" s="97"/>
      <c r="AC419" s="97"/>
      <c r="AD419" s="97"/>
      <c r="AE419" s="97"/>
      <c r="AF419" s="98"/>
      <c r="AG419" s="98"/>
      <c r="AH419" s="98"/>
      <c r="AI419" s="99"/>
      <c r="AJ419" s="95">
        <f t="shared" si="731"/>
        <v>0</v>
      </c>
      <c r="AK419" s="96">
        <f t="shared" si="732"/>
        <v>0</v>
      </c>
    </row>
    <row r="420" spans="1:38" ht="15.6" hidden="1" thickBot="1">
      <c r="A420" s="91"/>
      <c r="B420" s="100"/>
      <c r="C420" s="92"/>
      <c r="D420" s="101">
        <v>2020</v>
      </c>
      <c r="E420" s="102"/>
      <c r="F420" s="124"/>
      <c r="G420" s="124"/>
      <c r="H420" s="124"/>
      <c r="I420" s="124"/>
      <c r="J420" s="124"/>
      <c r="K420" s="124"/>
      <c r="L420" s="124"/>
      <c r="M420" s="125"/>
      <c r="N420" s="125"/>
      <c r="O420" s="125"/>
      <c r="P420" s="126"/>
      <c r="Q420" s="103">
        <f t="shared" si="728"/>
        <v>0</v>
      </c>
      <c r="R420" s="104">
        <f t="shared" si="693"/>
        <v>0</v>
      </c>
      <c r="S420" s="105"/>
      <c r="T420" s="91"/>
      <c r="U420" s="100"/>
      <c r="V420" s="92"/>
      <c r="W420" s="101">
        <v>2020</v>
      </c>
      <c r="X420" s="102"/>
      <c r="Y420" s="124"/>
      <c r="Z420" s="124"/>
      <c r="AA420" s="124"/>
      <c r="AB420" s="124"/>
      <c r="AC420" s="124"/>
      <c r="AD420" s="124"/>
      <c r="AE420" s="124"/>
      <c r="AF420" s="125"/>
      <c r="AG420" s="125"/>
      <c r="AH420" s="125"/>
      <c r="AI420" s="126"/>
      <c r="AJ420" s="103">
        <f t="shared" si="731"/>
        <v>0</v>
      </c>
      <c r="AK420" s="104">
        <f t="shared" si="732"/>
        <v>0</v>
      </c>
      <c r="AL420" s="105"/>
    </row>
    <row r="421" spans="1:38" ht="15.6" hidden="1" thickBot="1">
      <c r="A421" s="91"/>
      <c r="B421" s="100"/>
      <c r="C421" s="92"/>
      <c r="D421" s="101" t="s">
        <v>102</v>
      </c>
      <c r="E421" s="106" t="e">
        <f t="shared" ref="E421:R421" si="733">E420/E419</f>
        <v>#DIV/0!</v>
      </c>
      <c r="F421" s="106" t="e">
        <f t="shared" si="733"/>
        <v>#DIV/0!</v>
      </c>
      <c r="G421" s="106" t="e">
        <f t="shared" si="733"/>
        <v>#DIV/0!</v>
      </c>
      <c r="H421" s="106" t="e">
        <f t="shared" si="733"/>
        <v>#DIV/0!</v>
      </c>
      <c r="I421" s="106" t="e">
        <f t="shared" si="733"/>
        <v>#DIV/0!</v>
      </c>
      <c r="J421" s="106" t="e">
        <f t="shared" si="733"/>
        <v>#DIV/0!</v>
      </c>
      <c r="K421" s="106" t="e">
        <f t="shared" si="733"/>
        <v>#DIV/0!</v>
      </c>
      <c r="L421" s="106" t="e">
        <f t="shared" si="733"/>
        <v>#DIV/0!</v>
      </c>
      <c r="M421" s="107" t="e">
        <f t="shared" si="733"/>
        <v>#DIV/0!</v>
      </c>
      <c r="N421" s="107" t="e">
        <f t="shared" si="733"/>
        <v>#DIV/0!</v>
      </c>
      <c r="O421" s="107" t="e">
        <f t="shared" si="733"/>
        <v>#DIV/0!</v>
      </c>
      <c r="P421" s="108" t="e">
        <f t="shared" si="733"/>
        <v>#DIV/0!</v>
      </c>
      <c r="Q421" s="109" t="e">
        <f t="shared" si="733"/>
        <v>#DIV/0!</v>
      </c>
      <c r="R421" s="110" t="e">
        <f t="shared" si="733"/>
        <v>#DIV/0!</v>
      </c>
      <c r="S421" s="105"/>
      <c r="T421" s="91"/>
      <c r="U421" s="100"/>
      <c r="V421" s="92"/>
      <c r="W421" s="101" t="s">
        <v>102</v>
      </c>
      <c r="X421" s="106" t="e">
        <f t="shared" ref="X421:AK421" si="734">X420/X419</f>
        <v>#DIV/0!</v>
      </c>
      <c r="Y421" s="106" t="e">
        <f t="shared" si="734"/>
        <v>#DIV/0!</v>
      </c>
      <c r="Z421" s="106" t="e">
        <f t="shared" si="734"/>
        <v>#DIV/0!</v>
      </c>
      <c r="AA421" s="106" t="e">
        <f t="shared" si="734"/>
        <v>#DIV/0!</v>
      </c>
      <c r="AB421" s="106" t="e">
        <f t="shared" si="734"/>
        <v>#DIV/0!</v>
      </c>
      <c r="AC421" s="106" t="e">
        <f t="shared" si="734"/>
        <v>#DIV/0!</v>
      </c>
      <c r="AD421" s="106" t="e">
        <f t="shared" si="734"/>
        <v>#DIV/0!</v>
      </c>
      <c r="AE421" s="106" t="e">
        <f t="shared" si="734"/>
        <v>#DIV/0!</v>
      </c>
      <c r="AF421" s="107" t="e">
        <f t="shared" si="734"/>
        <v>#DIV/0!</v>
      </c>
      <c r="AG421" s="107" t="e">
        <f t="shared" si="734"/>
        <v>#DIV/0!</v>
      </c>
      <c r="AH421" s="107" t="e">
        <f t="shared" si="734"/>
        <v>#DIV/0!</v>
      </c>
      <c r="AI421" s="108" t="e">
        <f t="shared" si="734"/>
        <v>#DIV/0!</v>
      </c>
      <c r="AJ421" s="109" t="e">
        <f t="shared" si="734"/>
        <v>#DIV/0!</v>
      </c>
      <c r="AK421" s="110" t="e">
        <f t="shared" si="734"/>
        <v>#DIV/0!</v>
      </c>
      <c r="AL421" s="105"/>
    </row>
    <row r="422" spans="1:38" ht="15.6" hidden="1" thickBot="1">
      <c r="A422" s="91"/>
      <c r="B422" s="100"/>
      <c r="C422" s="111"/>
      <c r="D422" s="112" t="s">
        <v>103</v>
      </c>
      <c r="E422" s="113" t="e">
        <f t="shared" ref="E422:R422" si="735">E420/E418</f>
        <v>#DIV/0!</v>
      </c>
      <c r="F422" s="113" t="e">
        <f t="shared" si="735"/>
        <v>#DIV/0!</v>
      </c>
      <c r="G422" s="113" t="e">
        <f t="shared" si="735"/>
        <v>#DIV/0!</v>
      </c>
      <c r="H422" s="113" t="e">
        <f t="shared" si="735"/>
        <v>#DIV/0!</v>
      </c>
      <c r="I422" s="113" t="e">
        <f t="shared" si="735"/>
        <v>#DIV/0!</v>
      </c>
      <c r="J422" s="113" t="e">
        <f t="shared" si="735"/>
        <v>#DIV/0!</v>
      </c>
      <c r="K422" s="113" t="e">
        <f t="shared" si="735"/>
        <v>#DIV/0!</v>
      </c>
      <c r="L422" s="113" t="e">
        <f t="shared" si="735"/>
        <v>#DIV/0!</v>
      </c>
      <c r="M422" s="113" t="e">
        <f t="shared" si="735"/>
        <v>#DIV/0!</v>
      </c>
      <c r="N422" s="113" t="e">
        <f t="shared" si="735"/>
        <v>#DIV/0!</v>
      </c>
      <c r="O422" s="113" t="e">
        <f t="shared" si="735"/>
        <v>#DIV/0!</v>
      </c>
      <c r="P422" s="114" t="e">
        <f t="shared" si="735"/>
        <v>#DIV/0!</v>
      </c>
      <c r="Q422" s="115" t="e">
        <f t="shared" si="735"/>
        <v>#DIV/0!</v>
      </c>
      <c r="R422" s="116" t="e">
        <f t="shared" si="735"/>
        <v>#DIV/0!</v>
      </c>
      <c r="T422" s="91"/>
      <c r="U422" s="100"/>
      <c r="V422" s="111"/>
      <c r="W422" s="112" t="s">
        <v>103</v>
      </c>
      <c r="X422" s="113" t="e">
        <f t="shared" ref="X422:AK422" si="736">X420/X418</f>
        <v>#DIV/0!</v>
      </c>
      <c r="Y422" s="113" t="e">
        <f t="shared" si="736"/>
        <v>#DIV/0!</v>
      </c>
      <c r="Z422" s="113" t="e">
        <f t="shared" si="736"/>
        <v>#DIV/0!</v>
      </c>
      <c r="AA422" s="113" t="e">
        <f t="shared" si="736"/>
        <v>#DIV/0!</v>
      </c>
      <c r="AB422" s="113" t="e">
        <f t="shared" si="736"/>
        <v>#DIV/0!</v>
      </c>
      <c r="AC422" s="113" t="e">
        <f t="shared" si="736"/>
        <v>#DIV/0!</v>
      </c>
      <c r="AD422" s="113" t="e">
        <f t="shared" si="736"/>
        <v>#DIV/0!</v>
      </c>
      <c r="AE422" s="113" t="e">
        <f t="shared" si="736"/>
        <v>#DIV/0!</v>
      </c>
      <c r="AF422" s="113" t="e">
        <f t="shared" si="736"/>
        <v>#DIV/0!</v>
      </c>
      <c r="AG422" s="113" t="e">
        <f t="shared" si="736"/>
        <v>#DIV/0!</v>
      </c>
      <c r="AH422" s="113" t="e">
        <f t="shared" si="736"/>
        <v>#DIV/0!</v>
      </c>
      <c r="AI422" s="114" t="e">
        <f t="shared" si="736"/>
        <v>#DIV/0!</v>
      </c>
      <c r="AJ422" s="115" t="e">
        <f t="shared" si="736"/>
        <v>#DIV/0!</v>
      </c>
      <c r="AK422" s="116" t="e">
        <f t="shared" si="736"/>
        <v>#DIV/0!</v>
      </c>
    </row>
    <row r="423" spans="1:38" ht="15.6" hidden="1" thickBot="1">
      <c r="A423" s="91"/>
      <c r="B423" s="100"/>
      <c r="C423" s="86"/>
      <c r="D423" s="87">
        <v>2019</v>
      </c>
      <c r="E423" s="88"/>
      <c r="F423" s="121"/>
      <c r="G423" s="121"/>
      <c r="H423" s="121"/>
      <c r="I423" s="121"/>
      <c r="J423" s="121"/>
      <c r="K423" s="121"/>
      <c r="L423" s="121"/>
      <c r="M423" s="122"/>
      <c r="N423" s="122"/>
      <c r="O423" s="122"/>
      <c r="P423" s="123"/>
      <c r="Q423" s="89">
        <f t="shared" ref="Q423:Q425" si="737">SUM(E423:P423)</f>
        <v>0</v>
      </c>
      <c r="R423" s="90">
        <f t="shared" ref="R423" si="738">SUM(E423:M423)</f>
        <v>0</v>
      </c>
      <c r="T423" s="91"/>
      <c r="U423" s="100"/>
      <c r="V423" s="86">
        <f t="shared" ref="V423:V424" si="739">C423</f>
        <v>0</v>
      </c>
      <c r="W423" s="87">
        <v>2019</v>
      </c>
      <c r="X423" s="88"/>
      <c r="Y423" s="121"/>
      <c r="Z423" s="121"/>
      <c r="AA423" s="121"/>
      <c r="AB423" s="121"/>
      <c r="AC423" s="121"/>
      <c r="AD423" s="121"/>
      <c r="AE423" s="121"/>
      <c r="AF423" s="122"/>
      <c r="AG423" s="122"/>
      <c r="AH423" s="122"/>
      <c r="AI423" s="123"/>
      <c r="AJ423" s="89">
        <f t="shared" ref="AJ423:AJ425" si="740">SUM(X423:AI423)</f>
        <v>0</v>
      </c>
      <c r="AK423" s="90">
        <f t="shared" ref="AK423:AK425" si="741">SUM(X423:AF423)</f>
        <v>0</v>
      </c>
    </row>
    <row r="424" spans="1:38" ht="15.6" hidden="1" thickBot="1">
      <c r="A424" s="91"/>
      <c r="B424" s="100"/>
      <c r="C424" s="92"/>
      <c r="D424" s="93" t="s">
        <v>92</v>
      </c>
      <c r="E424" s="94"/>
      <c r="F424" s="97"/>
      <c r="G424" s="97"/>
      <c r="H424" s="97"/>
      <c r="I424" s="97"/>
      <c r="J424" s="97"/>
      <c r="K424" s="97"/>
      <c r="L424" s="97"/>
      <c r="M424" s="98"/>
      <c r="N424" s="98"/>
      <c r="O424" s="98"/>
      <c r="P424" s="99"/>
      <c r="Q424" s="95">
        <f t="shared" si="737"/>
        <v>0</v>
      </c>
      <c r="R424" s="96">
        <f t="shared" si="693"/>
        <v>0</v>
      </c>
      <c r="T424" s="91"/>
      <c r="U424" s="100"/>
      <c r="V424" s="92">
        <f t="shared" si="739"/>
        <v>0</v>
      </c>
      <c r="W424" s="93" t="s">
        <v>92</v>
      </c>
      <c r="X424" s="94"/>
      <c r="Y424" s="97"/>
      <c r="Z424" s="97"/>
      <c r="AA424" s="97"/>
      <c r="AB424" s="97"/>
      <c r="AC424" s="97"/>
      <c r="AD424" s="97"/>
      <c r="AE424" s="97"/>
      <c r="AF424" s="98"/>
      <c r="AG424" s="98"/>
      <c r="AH424" s="98"/>
      <c r="AI424" s="99"/>
      <c r="AJ424" s="95">
        <f t="shared" si="740"/>
        <v>0</v>
      </c>
      <c r="AK424" s="96">
        <f t="shared" si="741"/>
        <v>0</v>
      </c>
    </row>
    <row r="425" spans="1:38" ht="15.6" hidden="1" thickBot="1">
      <c r="A425" s="91"/>
      <c r="B425" s="100"/>
      <c r="C425" s="92"/>
      <c r="D425" s="101">
        <v>2020</v>
      </c>
      <c r="E425" s="102"/>
      <c r="F425" s="124"/>
      <c r="G425" s="124"/>
      <c r="H425" s="124"/>
      <c r="I425" s="124"/>
      <c r="J425" s="124"/>
      <c r="K425" s="124"/>
      <c r="L425" s="124"/>
      <c r="M425" s="125"/>
      <c r="N425" s="125"/>
      <c r="O425" s="125"/>
      <c r="P425" s="126"/>
      <c r="Q425" s="103">
        <f t="shared" si="737"/>
        <v>0</v>
      </c>
      <c r="R425" s="104">
        <f t="shared" si="693"/>
        <v>0</v>
      </c>
      <c r="S425" s="105"/>
      <c r="T425" s="91"/>
      <c r="U425" s="100"/>
      <c r="V425" s="92"/>
      <c r="W425" s="101">
        <v>2020</v>
      </c>
      <c r="X425" s="102"/>
      <c r="Y425" s="124"/>
      <c r="Z425" s="124"/>
      <c r="AA425" s="124"/>
      <c r="AB425" s="124"/>
      <c r="AC425" s="124"/>
      <c r="AD425" s="124"/>
      <c r="AE425" s="124"/>
      <c r="AF425" s="125"/>
      <c r="AG425" s="125"/>
      <c r="AH425" s="125"/>
      <c r="AI425" s="126"/>
      <c r="AJ425" s="103">
        <f t="shared" si="740"/>
        <v>0</v>
      </c>
      <c r="AK425" s="104">
        <f t="shared" si="741"/>
        <v>0</v>
      </c>
      <c r="AL425" s="105"/>
    </row>
    <row r="426" spans="1:38" ht="15.6" hidden="1" thickBot="1">
      <c r="A426" s="91"/>
      <c r="B426" s="100"/>
      <c r="C426" s="92"/>
      <c r="D426" s="101" t="s">
        <v>102</v>
      </c>
      <c r="E426" s="106" t="e">
        <f t="shared" ref="E426:R426" si="742">E425/E424</f>
        <v>#DIV/0!</v>
      </c>
      <c r="F426" s="106" t="e">
        <f t="shared" si="742"/>
        <v>#DIV/0!</v>
      </c>
      <c r="G426" s="106" t="e">
        <f t="shared" si="742"/>
        <v>#DIV/0!</v>
      </c>
      <c r="H426" s="106" t="e">
        <f t="shared" si="742"/>
        <v>#DIV/0!</v>
      </c>
      <c r="I426" s="106" t="e">
        <f t="shared" si="742"/>
        <v>#DIV/0!</v>
      </c>
      <c r="J426" s="106" t="e">
        <f t="shared" si="742"/>
        <v>#DIV/0!</v>
      </c>
      <c r="K426" s="106" t="e">
        <f t="shared" si="742"/>
        <v>#DIV/0!</v>
      </c>
      <c r="L426" s="106" t="e">
        <f t="shared" si="742"/>
        <v>#DIV/0!</v>
      </c>
      <c r="M426" s="107" t="e">
        <f t="shared" si="742"/>
        <v>#DIV/0!</v>
      </c>
      <c r="N426" s="107" t="e">
        <f t="shared" si="742"/>
        <v>#DIV/0!</v>
      </c>
      <c r="O426" s="107" t="e">
        <f t="shared" si="742"/>
        <v>#DIV/0!</v>
      </c>
      <c r="P426" s="108" t="e">
        <f t="shared" si="742"/>
        <v>#DIV/0!</v>
      </c>
      <c r="Q426" s="109" t="e">
        <f t="shared" si="742"/>
        <v>#DIV/0!</v>
      </c>
      <c r="R426" s="110" t="e">
        <f t="shared" si="742"/>
        <v>#DIV/0!</v>
      </c>
      <c r="S426" s="105"/>
      <c r="T426" s="91"/>
      <c r="U426" s="100"/>
      <c r="V426" s="92"/>
      <c r="W426" s="101" t="s">
        <v>102</v>
      </c>
      <c r="X426" s="106" t="e">
        <f t="shared" ref="X426:AK426" si="743">X425/X424</f>
        <v>#DIV/0!</v>
      </c>
      <c r="Y426" s="106" t="e">
        <f t="shared" si="743"/>
        <v>#DIV/0!</v>
      </c>
      <c r="Z426" s="106" t="e">
        <f t="shared" si="743"/>
        <v>#DIV/0!</v>
      </c>
      <c r="AA426" s="106" t="e">
        <f t="shared" si="743"/>
        <v>#DIV/0!</v>
      </c>
      <c r="AB426" s="106" t="e">
        <f t="shared" si="743"/>
        <v>#DIV/0!</v>
      </c>
      <c r="AC426" s="106" t="e">
        <f t="shared" si="743"/>
        <v>#DIV/0!</v>
      </c>
      <c r="AD426" s="106" t="e">
        <f t="shared" si="743"/>
        <v>#DIV/0!</v>
      </c>
      <c r="AE426" s="106" t="e">
        <f t="shared" si="743"/>
        <v>#DIV/0!</v>
      </c>
      <c r="AF426" s="107" t="e">
        <f t="shared" si="743"/>
        <v>#DIV/0!</v>
      </c>
      <c r="AG426" s="107" t="e">
        <f t="shared" si="743"/>
        <v>#DIV/0!</v>
      </c>
      <c r="AH426" s="107" t="e">
        <f t="shared" si="743"/>
        <v>#DIV/0!</v>
      </c>
      <c r="AI426" s="108" t="e">
        <f t="shared" si="743"/>
        <v>#DIV/0!</v>
      </c>
      <c r="AJ426" s="109" t="e">
        <f t="shared" si="743"/>
        <v>#DIV/0!</v>
      </c>
      <c r="AK426" s="110" t="e">
        <f t="shared" si="743"/>
        <v>#DIV/0!</v>
      </c>
      <c r="AL426" s="105"/>
    </row>
    <row r="427" spans="1:38" ht="15.6" hidden="1" thickBot="1">
      <c r="A427" s="91"/>
      <c r="B427" s="100"/>
      <c r="C427" s="111"/>
      <c r="D427" s="112" t="s">
        <v>103</v>
      </c>
      <c r="E427" s="113" t="e">
        <f t="shared" ref="E427:R427" si="744">E425/E423</f>
        <v>#DIV/0!</v>
      </c>
      <c r="F427" s="113" t="e">
        <f t="shared" si="744"/>
        <v>#DIV/0!</v>
      </c>
      <c r="G427" s="113" t="e">
        <f t="shared" si="744"/>
        <v>#DIV/0!</v>
      </c>
      <c r="H427" s="113" t="e">
        <f t="shared" si="744"/>
        <v>#DIV/0!</v>
      </c>
      <c r="I427" s="113" t="e">
        <f t="shared" si="744"/>
        <v>#DIV/0!</v>
      </c>
      <c r="J427" s="113" t="e">
        <f t="shared" si="744"/>
        <v>#DIV/0!</v>
      </c>
      <c r="K427" s="113" t="e">
        <f t="shared" si="744"/>
        <v>#DIV/0!</v>
      </c>
      <c r="L427" s="113" t="e">
        <f t="shared" si="744"/>
        <v>#DIV/0!</v>
      </c>
      <c r="M427" s="113" t="e">
        <f t="shared" si="744"/>
        <v>#DIV/0!</v>
      </c>
      <c r="N427" s="113" t="e">
        <f t="shared" si="744"/>
        <v>#DIV/0!</v>
      </c>
      <c r="O427" s="113" t="e">
        <f t="shared" si="744"/>
        <v>#DIV/0!</v>
      </c>
      <c r="P427" s="114" t="e">
        <f t="shared" si="744"/>
        <v>#DIV/0!</v>
      </c>
      <c r="Q427" s="115" t="e">
        <f t="shared" si="744"/>
        <v>#DIV/0!</v>
      </c>
      <c r="R427" s="116" t="e">
        <f t="shared" si="744"/>
        <v>#DIV/0!</v>
      </c>
      <c r="T427" s="91"/>
      <c r="U427" s="100"/>
      <c r="V427" s="111"/>
      <c r="W427" s="112" t="s">
        <v>103</v>
      </c>
      <c r="X427" s="113" t="e">
        <f t="shared" ref="X427:AK427" si="745">X425/X423</f>
        <v>#DIV/0!</v>
      </c>
      <c r="Y427" s="113" t="e">
        <f t="shared" si="745"/>
        <v>#DIV/0!</v>
      </c>
      <c r="Z427" s="113" t="e">
        <f t="shared" si="745"/>
        <v>#DIV/0!</v>
      </c>
      <c r="AA427" s="113" t="e">
        <f t="shared" si="745"/>
        <v>#DIV/0!</v>
      </c>
      <c r="AB427" s="113" t="e">
        <f t="shared" si="745"/>
        <v>#DIV/0!</v>
      </c>
      <c r="AC427" s="113" t="e">
        <f t="shared" si="745"/>
        <v>#DIV/0!</v>
      </c>
      <c r="AD427" s="113" t="e">
        <f t="shared" si="745"/>
        <v>#DIV/0!</v>
      </c>
      <c r="AE427" s="113" t="e">
        <f t="shared" si="745"/>
        <v>#DIV/0!</v>
      </c>
      <c r="AF427" s="113" t="e">
        <f t="shared" si="745"/>
        <v>#DIV/0!</v>
      </c>
      <c r="AG427" s="113" t="e">
        <f t="shared" si="745"/>
        <v>#DIV/0!</v>
      </c>
      <c r="AH427" s="113" t="e">
        <f t="shared" si="745"/>
        <v>#DIV/0!</v>
      </c>
      <c r="AI427" s="114" t="e">
        <f t="shared" si="745"/>
        <v>#DIV/0!</v>
      </c>
      <c r="AJ427" s="115" t="e">
        <f t="shared" si="745"/>
        <v>#DIV/0!</v>
      </c>
      <c r="AK427" s="116" t="e">
        <f t="shared" si="745"/>
        <v>#DIV/0!</v>
      </c>
    </row>
    <row r="428" spans="1:38" ht="15.6" hidden="1" thickBot="1">
      <c r="A428" s="91"/>
      <c r="B428" s="100"/>
      <c r="C428" s="86"/>
      <c r="D428" s="87">
        <v>2019</v>
      </c>
      <c r="E428" s="88"/>
      <c r="F428" s="121"/>
      <c r="G428" s="121"/>
      <c r="H428" s="121"/>
      <c r="I428" s="121"/>
      <c r="J428" s="121"/>
      <c r="K428" s="121"/>
      <c r="L428" s="121"/>
      <c r="M428" s="122"/>
      <c r="N428" s="122"/>
      <c r="O428" s="122"/>
      <c r="P428" s="123"/>
      <c r="Q428" s="89">
        <f t="shared" ref="Q428:Q430" si="746">SUM(E428:P428)</f>
        <v>0</v>
      </c>
      <c r="R428" s="90">
        <f t="shared" ref="R428" si="747">SUM(E428:M428)</f>
        <v>0</v>
      </c>
      <c r="T428" s="91"/>
      <c r="U428" s="100"/>
      <c r="V428" s="86">
        <f t="shared" ref="V428:V429" si="748">C428</f>
        <v>0</v>
      </c>
      <c r="W428" s="87">
        <v>2019</v>
      </c>
      <c r="X428" s="88"/>
      <c r="Y428" s="121"/>
      <c r="Z428" s="121"/>
      <c r="AA428" s="121"/>
      <c r="AB428" s="121"/>
      <c r="AC428" s="121"/>
      <c r="AD428" s="121"/>
      <c r="AE428" s="121"/>
      <c r="AF428" s="122"/>
      <c r="AG428" s="122"/>
      <c r="AH428" s="122"/>
      <c r="AI428" s="123"/>
      <c r="AJ428" s="89">
        <f t="shared" ref="AJ428:AJ430" si="749">SUM(X428:AI428)</f>
        <v>0</v>
      </c>
      <c r="AK428" s="90">
        <f t="shared" ref="AK428:AK430" si="750">SUM(X428:AF428)</f>
        <v>0</v>
      </c>
    </row>
    <row r="429" spans="1:38" ht="15.6" hidden="1" thickBot="1">
      <c r="A429" s="91"/>
      <c r="B429" s="100"/>
      <c r="C429" s="92"/>
      <c r="D429" s="93" t="s">
        <v>92</v>
      </c>
      <c r="E429" s="94"/>
      <c r="F429" s="97"/>
      <c r="G429" s="97"/>
      <c r="H429" s="97"/>
      <c r="I429" s="97"/>
      <c r="J429" s="97"/>
      <c r="K429" s="97"/>
      <c r="L429" s="97"/>
      <c r="M429" s="98"/>
      <c r="N429" s="98"/>
      <c r="O429" s="98"/>
      <c r="P429" s="99"/>
      <c r="Q429" s="95">
        <f t="shared" si="746"/>
        <v>0</v>
      </c>
      <c r="R429" s="96">
        <f t="shared" si="693"/>
        <v>0</v>
      </c>
      <c r="T429" s="91"/>
      <c r="U429" s="100"/>
      <c r="V429" s="92">
        <f t="shared" si="748"/>
        <v>0</v>
      </c>
      <c r="W429" s="93" t="s">
        <v>92</v>
      </c>
      <c r="X429" s="94"/>
      <c r="Y429" s="97"/>
      <c r="Z429" s="97"/>
      <c r="AA429" s="97"/>
      <c r="AB429" s="97"/>
      <c r="AC429" s="97"/>
      <c r="AD429" s="97"/>
      <c r="AE429" s="97"/>
      <c r="AF429" s="98"/>
      <c r="AG429" s="98"/>
      <c r="AH429" s="98"/>
      <c r="AI429" s="99"/>
      <c r="AJ429" s="95">
        <f t="shared" si="749"/>
        <v>0</v>
      </c>
      <c r="AK429" s="96">
        <f t="shared" si="750"/>
        <v>0</v>
      </c>
    </row>
    <row r="430" spans="1:38" ht="15.6" hidden="1" thickBot="1">
      <c r="A430" s="91"/>
      <c r="B430" s="100"/>
      <c r="C430" s="92"/>
      <c r="D430" s="101">
        <v>2020</v>
      </c>
      <c r="E430" s="102"/>
      <c r="F430" s="124"/>
      <c r="G430" s="124"/>
      <c r="H430" s="124"/>
      <c r="I430" s="124"/>
      <c r="J430" s="124"/>
      <c r="K430" s="124"/>
      <c r="L430" s="124"/>
      <c r="M430" s="125"/>
      <c r="N430" s="125"/>
      <c r="O430" s="125"/>
      <c r="P430" s="126"/>
      <c r="Q430" s="103">
        <f t="shared" si="746"/>
        <v>0</v>
      </c>
      <c r="R430" s="104">
        <f t="shared" si="693"/>
        <v>0</v>
      </c>
      <c r="S430" s="105"/>
      <c r="T430" s="91"/>
      <c r="U430" s="100"/>
      <c r="V430" s="92"/>
      <c r="W430" s="101">
        <v>2020</v>
      </c>
      <c r="X430" s="102"/>
      <c r="Y430" s="124"/>
      <c r="Z430" s="124"/>
      <c r="AA430" s="124"/>
      <c r="AB430" s="124"/>
      <c r="AC430" s="124"/>
      <c r="AD430" s="124"/>
      <c r="AE430" s="124"/>
      <c r="AF430" s="125"/>
      <c r="AG430" s="125"/>
      <c r="AH430" s="125"/>
      <c r="AI430" s="126"/>
      <c r="AJ430" s="103">
        <f t="shared" si="749"/>
        <v>0</v>
      </c>
      <c r="AK430" s="104">
        <f t="shared" si="750"/>
        <v>0</v>
      </c>
      <c r="AL430" s="105"/>
    </row>
    <row r="431" spans="1:38" ht="15.6" hidden="1" thickBot="1">
      <c r="A431" s="91"/>
      <c r="B431" s="100"/>
      <c r="C431" s="92"/>
      <c r="D431" s="101" t="s">
        <v>102</v>
      </c>
      <c r="E431" s="106" t="e">
        <f t="shared" ref="E431:R431" si="751">E430/E429</f>
        <v>#DIV/0!</v>
      </c>
      <c r="F431" s="106" t="e">
        <f t="shared" si="751"/>
        <v>#DIV/0!</v>
      </c>
      <c r="G431" s="106" t="e">
        <f t="shared" si="751"/>
        <v>#DIV/0!</v>
      </c>
      <c r="H431" s="106" t="e">
        <f t="shared" si="751"/>
        <v>#DIV/0!</v>
      </c>
      <c r="I431" s="106" t="e">
        <f t="shared" si="751"/>
        <v>#DIV/0!</v>
      </c>
      <c r="J431" s="106" t="e">
        <f t="shared" si="751"/>
        <v>#DIV/0!</v>
      </c>
      <c r="K431" s="106" t="e">
        <f t="shared" si="751"/>
        <v>#DIV/0!</v>
      </c>
      <c r="L431" s="106" t="e">
        <f t="shared" si="751"/>
        <v>#DIV/0!</v>
      </c>
      <c r="M431" s="107" t="e">
        <f t="shared" si="751"/>
        <v>#DIV/0!</v>
      </c>
      <c r="N431" s="107" t="e">
        <f t="shared" si="751"/>
        <v>#DIV/0!</v>
      </c>
      <c r="O431" s="107" t="e">
        <f t="shared" si="751"/>
        <v>#DIV/0!</v>
      </c>
      <c r="P431" s="108" t="e">
        <f t="shared" si="751"/>
        <v>#DIV/0!</v>
      </c>
      <c r="Q431" s="109" t="e">
        <f t="shared" si="751"/>
        <v>#DIV/0!</v>
      </c>
      <c r="R431" s="110" t="e">
        <f t="shared" si="751"/>
        <v>#DIV/0!</v>
      </c>
      <c r="S431" s="105"/>
      <c r="T431" s="91"/>
      <c r="U431" s="100"/>
      <c r="V431" s="92"/>
      <c r="W431" s="101" t="s">
        <v>102</v>
      </c>
      <c r="X431" s="106" t="e">
        <f t="shared" ref="X431:AK431" si="752">X430/X429</f>
        <v>#DIV/0!</v>
      </c>
      <c r="Y431" s="106" t="e">
        <f t="shared" si="752"/>
        <v>#DIV/0!</v>
      </c>
      <c r="Z431" s="106" t="e">
        <f t="shared" si="752"/>
        <v>#DIV/0!</v>
      </c>
      <c r="AA431" s="106" t="e">
        <f t="shared" si="752"/>
        <v>#DIV/0!</v>
      </c>
      <c r="AB431" s="106" t="e">
        <f t="shared" si="752"/>
        <v>#DIV/0!</v>
      </c>
      <c r="AC431" s="106" t="e">
        <f t="shared" si="752"/>
        <v>#DIV/0!</v>
      </c>
      <c r="AD431" s="106" t="e">
        <f t="shared" si="752"/>
        <v>#DIV/0!</v>
      </c>
      <c r="AE431" s="106" t="e">
        <f t="shared" si="752"/>
        <v>#DIV/0!</v>
      </c>
      <c r="AF431" s="107" t="e">
        <f t="shared" si="752"/>
        <v>#DIV/0!</v>
      </c>
      <c r="AG431" s="107" t="e">
        <f t="shared" si="752"/>
        <v>#DIV/0!</v>
      </c>
      <c r="AH431" s="107" t="e">
        <f t="shared" si="752"/>
        <v>#DIV/0!</v>
      </c>
      <c r="AI431" s="108" t="e">
        <f t="shared" si="752"/>
        <v>#DIV/0!</v>
      </c>
      <c r="AJ431" s="109" t="e">
        <f t="shared" si="752"/>
        <v>#DIV/0!</v>
      </c>
      <c r="AK431" s="110" t="e">
        <f t="shared" si="752"/>
        <v>#DIV/0!</v>
      </c>
      <c r="AL431" s="105"/>
    </row>
    <row r="432" spans="1:38" ht="15.6" hidden="1" thickBot="1">
      <c r="A432" s="91"/>
      <c r="B432" s="100"/>
      <c r="C432" s="111"/>
      <c r="D432" s="112" t="s">
        <v>103</v>
      </c>
      <c r="E432" s="113" t="e">
        <f t="shared" ref="E432:R432" si="753">E430/E428</f>
        <v>#DIV/0!</v>
      </c>
      <c r="F432" s="113" t="e">
        <f t="shared" si="753"/>
        <v>#DIV/0!</v>
      </c>
      <c r="G432" s="113" t="e">
        <f t="shared" si="753"/>
        <v>#DIV/0!</v>
      </c>
      <c r="H432" s="113" t="e">
        <f t="shared" si="753"/>
        <v>#DIV/0!</v>
      </c>
      <c r="I432" s="113" t="e">
        <f t="shared" si="753"/>
        <v>#DIV/0!</v>
      </c>
      <c r="J432" s="113" t="e">
        <f t="shared" si="753"/>
        <v>#DIV/0!</v>
      </c>
      <c r="K432" s="113" t="e">
        <f t="shared" si="753"/>
        <v>#DIV/0!</v>
      </c>
      <c r="L432" s="113" t="e">
        <f t="shared" si="753"/>
        <v>#DIV/0!</v>
      </c>
      <c r="M432" s="113" t="e">
        <f t="shared" si="753"/>
        <v>#DIV/0!</v>
      </c>
      <c r="N432" s="113" t="e">
        <f t="shared" si="753"/>
        <v>#DIV/0!</v>
      </c>
      <c r="O432" s="113" t="e">
        <f t="shared" si="753"/>
        <v>#DIV/0!</v>
      </c>
      <c r="P432" s="114" t="e">
        <f t="shared" si="753"/>
        <v>#DIV/0!</v>
      </c>
      <c r="Q432" s="115" t="e">
        <f t="shared" si="753"/>
        <v>#DIV/0!</v>
      </c>
      <c r="R432" s="116" t="e">
        <f t="shared" si="753"/>
        <v>#DIV/0!</v>
      </c>
      <c r="T432" s="91"/>
      <c r="U432" s="100"/>
      <c r="V432" s="111"/>
      <c r="W432" s="112" t="s">
        <v>103</v>
      </c>
      <c r="X432" s="113" t="e">
        <f t="shared" ref="X432:AK432" si="754">X430/X428</f>
        <v>#DIV/0!</v>
      </c>
      <c r="Y432" s="113" t="e">
        <f t="shared" si="754"/>
        <v>#DIV/0!</v>
      </c>
      <c r="Z432" s="113" t="e">
        <f t="shared" si="754"/>
        <v>#DIV/0!</v>
      </c>
      <c r="AA432" s="113" t="e">
        <f t="shared" si="754"/>
        <v>#DIV/0!</v>
      </c>
      <c r="AB432" s="113" t="e">
        <f t="shared" si="754"/>
        <v>#DIV/0!</v>
      </c>
      <c r="AC432" s="113" t="e">
        <f t="shared" si="754"/>
        <v>#DIV/0!</v>
      </c>
      <c r="AD432" s="113" t="e">
        <f t="shared" si="754"/>
        <v>#DIV/0!</v>
      </c>
      <c r="AE432" s="113" t="e">
        <f t="shared" si="754"/>
        <v>#DIV/0!</v>
      </c>
      <c r="AF432" s="113" t="e">
        <f t="shared" si="754"/>
        <v>#DIV/0!</v>
      </c>
      <c r="AG432" s="113" t="e">
        <f t="shared" si="754"/>
        <v>#DIV/0!</v>
      </c>
      <c r="AH432" s="113" t="e">
        <f t="shared" si="754"/>
        <v>#DIV/0!</v>
      </c>
      <c r="AI432" s="114" t="e">
        <f t="shared" si="754"/>
        <v>#DIV/0!</v>
      </c>
      <c r="AJ432" s="115" t="e">
        <f t="shared" si="754"/>
        <v>#DIV/0!</v>
      </c>
      <c r="AK432" s="116" t="e">
        <f t="shared" si="754"/>
        <v>#DIV/0!</v>
      </c>
    </row>
    <row r="433" spans="1:39" ht="15.6" hidden="1" thickBot="1">
      <c r="A433" s="91"/>
      <c r="B433" s="100"/>
      <c r="C433" s="86"/>
      <c r="D433" s="87">
        <v>2019</v>
      </c>
      <c r="E433" s="88"/>
      <c r="F433" s="121"/>
      <c r="G433" s="121"/>
      <c r="H433" s="121"/>
      <c r="I433" s="121"/>
      <c r="J433" s="121"/>
      <c r="K433" s="121"/>
      <c r="L433" s="121"/>
      <c r="M433" s="122"/>
      <c r="N433" s="122"/>
      <c r="O433" s="122"/>
      <c r="P433" s="123"/>
      <c r="Q433" s="89">
        <f t="shared" ref="Q433:Q435" si="755">SUM(E433:P433)</f>
        <v>0</v>
      </c>
      <c r="R433" s="90">
        <f t="shared" ref="R433" si="756">SUM(E433:M433)</f>
        <v>0</v>
      </c>
      <c r="T433" s="91"/>
      <c r="U433" s="100"/>
      <c r="V433" s="86">
        <f t="shared" ref="V433:V434" si="757">C433</f>
        <v>0</v>
      </c>
      <c r="W433" s="87">
        <v>2019</v>
      </c>
      <c r="X433" s="88"/>
      <c r="Y433" s="121"/>
      <c r="Z433" s="121"/>
      <c r="AA433" s="121"/>
      <c r="AB433" s="121"/>
      <c r="AC433" s="121"/>
      <c r="AD433" s="121"/>
      <c r="AE433" s="121"/>
      <c r="AF433" s="122"/>
      <c r="AG433" s="122"/>
      <c r="AH433" s="122"/>
      <c r="AI433" s="123"/>
      <c r="AJ433" s="89">
        <f t="shared" ref="AJ433:AJ435" si="758">SUM(X433:AI433)</f>
        <v>0</v>
      </c>
      <c r="AK433" s="90">
        <f t="shared" ref="AK433:AK435" si="759">SUM(X433:AF433)</f>
        <v>0</v>
      </c>
    </row>
    <row r="434" spans="1:39" ht="15.6" hidden="1" thickBot="1">
      <c r="A434" s="91"/>
      <c r="B434" s="100"/>
      <c r="C434" s="92"/>
      <c r="D434" s="93" t="s">
        <v>92</v>
      </c>
      <c r="E434" s="94"/>
      <c r="F434" s="97"/>
      <c r="G434" s="97"/>
      <c r="H434" s="97"/>
      <c r="I434" s="97"/>
      <c r="J434" s="97"/>
      <c r="K434" s="97"/>
      <c r="L434" s="97"/>
      <c r="M434" s="98"/>
      <c r="N434" s="98"/>
      <c r="O434" s="98"/>
      <c r="P434" s="99"/>
      <c r="Q434" s="95">
        <f t="shared" si="755"/>
        <v>0</v>
      </c>
      <c r="R434" s="96">
        <f t="shared" si="693"/>
        <v>0</v>
      </c>
      <c r="T434" s="91"/>
      <c r="U434" s="100"/>
      <c r="V434" s="92">
        <f t="shared" si="757"/>
        <v>0</v>
      </c>
      <c r="W434" s="93" t="s">
        <v>92</v>
      </c>
      <c r="X434" s="94"/>
      <c r="Y434" s="97"/>
      <c r="Z434" s="97"/>
      <c r="AA434" s="97"/>
      <c r="AB434" s="97"/>
      <c r="AC434" s="97"/>
      <c r="AD434" s="97"/>
      <c r="AE434" s="97"/>
      <c r="AF434" s="98"/>
      <c r="AG434" s="98"/>
      <c r="AH434" s="98"/>
      <c r="AI434" s="99"/>
      <c r="AJ434" s="95">
        <f t="shared" si="758"/>
        <v>0</v>
      </c>
      <c r="AK434" s="96">
        <f t="shared" si="759"/>
        <v>0</v>
      </c>
    </row>
    <row r="435" spans="1:39" ht="15.6" hidden="1" thickBot="1">
      <c r="A435" s="91"/>
      <c r="B435" s="100"/>
      <c r="C435" s="92"/>
      <c r="D435" s="101">
        <v>2020</v>
      </c>
      <c r="E435" s="102"/>
      <c r="F435" s="124"/>
      <c r="G435" s="124"/>
      <c r="H435" s="124"/>
      <c r="I435" s="124"/>
      <c r="J435" s="124"/>
      <c r="K435" s="124"/>
      <c r="L435" s="124"/>
      <c r="M435" s="125"/>
      <c r="N435" s="125"/>
      <c r="O435" s="125"/>
      <c r="P435" s="126"/>
      <c r="Q435" s="103">
        <f t="shared" si="755"/>
        <v>0</v>
      </c>
      <c r="R435" s="104">
        <f t="shared" si="693"/>
        <v>0</v>
      </c>
      <c r="S435" s="105"/>
      <c r="T435" s="91"/>
      <c r="U435" s="100"/>
      <c r="V435" s="92"/>
      <c r="W435" s="101">
        <v>2020</v>
      </c>
      <c r="X435" s="102"/>
      <c r="Y435" s="124"/>
      <c r="Z435" s="124"/>
      <c r="AA435" s="124"/>
      <c r="AB435" s="124"/>
      <c r="AC435" s="124"/>
      <c r="AD435" s="124"/>
      <c r="AE435" s="124"/>
      <c r="AF435" s="125"/>
      <c r="AG435" s="125"/>
      <c r="AH435" s="125"/>
      <c r="AI435" s="126"/>
      <c r="AJ435" s="103">
        <f t="shared" si="758"/>
        <v>0</v>
      </c>
      <c r="AK435" s="104">
        <f t="shared" si="759"/>
        <v>0</v>
      </c>
      <c r="AL435" s="105"/>
    </row>
    <row r="436" spans="1:39" ht="15.6" hidden="1" thickBot="1">
      <c r="A436" s="91"/>
      <c r="B436" s="100"/>
      <c r="C436" s="92"/>
      <c r="D436" s="101" t="s">
        <v>102</v>
      </c>
      <c r="E436" s="106" t="e">
        <f t="shared" ref="E436:R436" si="760">E435/E434</f>
        <v>#DIV/0!</v>
      </c>
      <c r="F436" s="106" t="e">
        <f t="shared" si="760"/>
        <v>#DIV/0!</v>
      </c>
      <c r="G436" s="106" t="e">
        <f t="shared" si="760"/>
        <v>#DIV/0!</v>
      </c>
      <c r="H436" s="106" t="e">
        <f t="shared" si="760"/>
        <v>#DIV/0!</v>
      </c>
      <c r="I436" s="106" t="e">
        <f t="shared" si="760"/>
        <v>#DIV/0!</v>
      </c>
      <c r="J436" s="106" t="e">
        <f t="shared" si="760"/>
        <v>#DIV/0!</v>
      </c>
      <c r="K436" s="106" t="e">
        <f t="shared" si="760"/>
        <v>#DIV/0!</v>
      </c>
      <c r="L436" s="106" t="e">
        <f t="shared" si="760"/>
        <v>#DIV/0!</v>
      </c>
      <c r="M436" s="107" t="e">
        <f t="shared" si="760"/>
        <v>#DIV/0!</v>
      </c>
      <c r="N436" s="107" t="e">
        <f t="shared" si="760"/>
        <v>#DIV/0!</v>
      </c>
      <c r="O436" s="107" t="e">
        <f t="shared" si="760"/>
        <v>#DIV/0!</v>
      </c>
      <c r="P436" s="108" t="e">
        <f t="shared" si="760"/>
        <v>#DIV/0!</v>
      </c>
      <c r="Q436" s="109" t="e">
        <f t="shared" si="760"/>
        <v>#DIV/0!</v>
      </c>
      <c r="R436" s="110" t="e">
        <f t="shared" si="760"/>
        <v>#DIV/0!</v>
      </c>
      <c r="S436" s="105"/>
      <c r="T436" s="91"/>
      <c r="U436" s="100"/>
      <c r="V436" s="92"/>
      <c r="W436" s="101" t="s">
        <v>102</v>
      </c>
      <c r="X436" s="106" t="e">
        <f t="shared" ref="X436:AK436" si="761">X435/X434</f>
        <v>#DIV/0!</v>
      </c>
      <c r="Y436" s="106" t="e">
        <f t="shared" si="761"/>
        <v>#DIV/0!</v>
      </c>
      <c r="Z436" s="106" t="e">
        <f t="shared" si="761"/>
        <v>#DIV/0!</v>
      </c>
      <c r="AA436" s="106" t="e">
        <f t="shared" si="761"/>
        <v>#DIV/0!</v>
      </c>
      <c r="AB436" s="106" t="e">
        <f t="shared" si="761"/>
        <v>#DIV/0!</v>
      </c>
      <c r="AC436" s="106" t="e">
        <f t="shared" si="761"/>
        <v>#DIV/0!</v>
      </c>
      <c r="AD436" s="106" t="e">
        <f t="shared" si="761"/>
        <v>#DIV/0!</v>
      </c>
      <c r="AE436" s="106" t="e">
        <f t="shared" si="761"/>
        <v>#DIV/0!</v>
      </c>
      <c r="AF436" s="107" t="e">
        <f t="shared" si="761"/>
        <v>#DIV/0!</v>
      </c>
      <c r="AG436" s="107" t="e">
        <f t="shared" si="761"/>
        <v>#DIV/0!</v>
      </c>
      <c r="AH436" s="107" t="e">
        <f t="shared" si="761"/>
        <v>#DIV/0!</v>
      </c>
      <c r="AI436" s="108" t="e">
        <f t="shared" si="761"/>
        <v>#DIV/0!</v>
      </c>
      <c r="AJ436" s="109" t="e">
        <f t="shared" si="761"/>
        <v>#DIV/0!</v>
      </c>
      <c r="AK436" s="110" t="e">
        <f t="shared" si="761"/>
        <v>#DIV/0!</v>
      </c>
      <c r="AL436" s="105"/>
    </row>
    <row r="437" spans="1:39" ht="15.6" hidden="1" thickBot="1">
      <c r="A437" s="91"/>
      <c r="B437" s="100"/>
      <c r="C437" s="111"/>
      <c r="D437" s="112" t="s">
        <v>103</v>
      </c>
      <c r="E437" s="113" t="e">
        <f t="shared" ref="E437:R437" si="762">E435/E433</f>
        <v>#DIV/0!</v>
      </c>
      <c r="F437" s="113" t="e">
        <f t="shared" si="762"/>
        <v>#DIV/0!</v>
      </c>
      <c r="G437" s="113" t="e">
        <f t="shared" si="762"/>
        <v>#DIV/0!</v>
      </c>
      <c r="H437" s="113" t="e">
        <f t="shared" si="762"/>
        <v>#DIV/0!</v>
      </c>
      <c r="I437" s="113" t="e">
        <f t="shared" si="762"/>
        <v>#DIV/0!</v>
      </c>
      <c r="J437" s="113" t="e">
        <f t="shared" si="762"/>
        <v>#DIV/0!</v>
      </c>
      <c r="K437" s="113" t="e">
        <f t="shared" si="762"/>
        <v>#DIV/0!</v>
      </c>
      <c r="L437" s="113" t="e">
        <f t="shared" si="762"/>
        <v>#DIV/0!</v>
      </c>
      <c r="M437" s="113" t="e">
        <f t="shared" si="762"/>
        <v>#DIV/0!</v>
      </c>
      <c r="N437" s="113" t="e">
        <f t="shared" si="762"/>
        <v>#DIV/0!</v>
      </c>
      <c r="O437" s="113" t="e">
        <f t="shared" si="762"/>
        <v>#DIV/0!</v>
      </c>
      <c r="P437" s="114" t="e">
        <f t="shared" si="762"/>
        <v>#DIV/0!</v>
      </c>
      <c r="Q437" s="115" t="e">
        <f t="shared" si="762"/>
        <v>#DIV/0!</v>
      </c>
      <c r="R437" s="116" t="e">
        <f t="shared" si="762"/>
        <v>#DIV/0!</v>
      </c>
      <c r="T437" s="91"/>
      <c r="U437" s="100"/>
      <c r="V437" s="111"/>
      <c r="W437" s="112" t="s">
        <v>103</v>
      </c>
      <c r="X437" s="113" t="e">
        <f t="shared" ref="X437:AK437" si="763">X435/X433</f>
        <v>#DIV/0!</v>
      </c>
      <c r="Y437" s="113" t="e">
        <f t="shared" si="763"/>
        <v>#DIV/0!</v>
      </c>
      <c r="Z437" s="113" t="e">
        <f t="shared" si="763"/>
        <v>#DIV/0!</v>
      </c>
      <c r="AA437" s="113" t="e">
        <f t="shared" si="763"/>
        <v>#DIV/0!</v>
      </c>
      <c r="AB437" s="113" t="e">
        <f t="shared" si="763"/>
        <v>#DIV/0!</v>
      </c>
      <c r="AC437" s="113" t="e">
        <f t="shared" si="763"/>
        <v>#DIV/0!</v>
      </c>
      <c r="AD437" s="113" t="e">
        <f t="shared" si="763"/>
        <v>#DIV/0!</v>
      </c>
      <c r="AE437" s="113" t="e">
        <f t="shared" si="763"/>
        <v>#DIV/0!</v>
      </c>
      <c r="AF437" s="113" t="e">
        <f t="shared" si="763"/>
        <v>#DIV/0!</v>
      </c>
      <c r="AG437" s="113" t="e">
        <f t="shared" si="763"/>
        <v>#DIV/0!</v>
      </c>
      <c r="AH437" s="113" t="e">
        <f t="shared" si="763"/>
        <v>#DIV/0!</v>
      </c>
      <c r="AI437" s="114" t="e">
        <f t="shared" si="763"/>
        <v>#DIV/0!</v>
      </c>
      <c r="AJ437" s="115" t="e">
        <f t="shared" si="763"/>
        <v>#DIV/0!</v>
      </c>
      <c r="AK437" s="116" t="e">
        <f t="shared" si="763"/>
        <v>#DIV/0!</v>
      </c>
    </row>
    <row r="438" spans="1:39" ht="15.6" hidden="1" thickBot="1">
      <c r="A438" s="91"/>
      <c r="B438" s="100"/>
      <c r="C438" s="86"/>
      <c r="D438" s="87">
        <v>2019</v>
      </c>
      <c r="E438" s="88"/>
      <c r="F438" s="121"/>
      <c r="G438" s="121"/>
      <c r="H438" s="121"/>
      <c r="I438" s="121"/>
      <c r="J438" s="121"/>
      <c r="K438" s="121"/>
      <c r="L438" s="121"/>
      <c r="M438" s="122"/>
      <c r="N438" s="122"/>
      <c r="O438" s="122"/>
      <c r="P438" s="123"/>
      <c r="Q438" s="89">
        <f t="shared" ref="Q438:Q440" si="764">SUM(E438:P438)</f>
        <v>0</v>
      </c>
      <c r="R438" s="90">
        <f t="shared" ref="R438" si="765">SUM(E438:M438)</f>
        <v>0</v>
      </c>
      <c r="T438" s="91"/>
      <c r="U438" s="100"/>
      <c r="V438" s="86">
        <f t="shared" ref="V438:V439" si="766">C438</f>
        <v>0</v>
      </c>
      <c r="W438" s="87">
        <v>2019</v>
      </c>
      <c r="X438" s="88"/>
      <c r="Y438" s="121"/>
      <c r="Z438" s="121"/>
      <c r="AA438" s="121"/>
      <c r="AB438" s="121"/>
      <c r="AC438" s="121"/>
      <c r="AD438" s="121"/>
      <c r="AE438" s="121"/>
      <c r="AF438" s="122"/>
      <c r="AG438" s="122"/>
      <c r="AH438" s="122"/>
      <c r="AI438" s="123"/>
      <c r="AJ438" s="89">
        <f t="shared" ref="AJ438:AJ440" si="767">SUM(X438:AI438)</f>
        <v>0</v>
      </c>
      <c r="AK438" s="90">
        <f t="shared" ref="AK438:AK440" si="768">SUM(X438:AF438)</f>
        <v>0</v>
      </c>
    </row>
    <row r="439" spans="1:39" ht="15.6" hidden="1" thickBot="1">
      <c r="A439" s="91"/>
      <c r="B439" s="100"/>
      <c r="C439" s="92"/>
      <c r="D439" s="93" t="s">
        <v>92</v>
      </c>
      <c r="E439" s="94"/>
      <c r="F439" s="97"/>
      <c r="G439" s="97"/>
      <c r="H439" s="97"/>
      <c r="I439" s="97"/>
      <c r="J439" s="97"/>
      <c r="K439" s="97"/>
      <c r="L439" s="97"/>
      <c r="M439" s="98"/>
      <c r="N439" s="98"/>
      <c r="O439" s="98"/>
      <c r="P439" s="99"/>
      <c r="Q439" s="95">
        <f t="shared" si="764"/>
        <v>0</v>
      </c>
      <c r="R439" s="96">
        <f t="shared" si="693"/>
        <v>0</v>
      </c>
      <c r="T439" s="91"/>
      <c r="U439" s="100"/>
      <c r="V439" s="92">
        <f t="shared" si="766"/>
        <v>0</v>
      </c>
      <c r="W439" s="93" t="s">
        <v>92</v>
      </c>
      <c r="X439" s="94"/>
      <c r="Y439" s="97"/>
      <c r="Z439" s="97"/>
      <c r="AA439" s="97"/>
      <c r="AB439" s="97"/>
      <c r="AC439" s="97"/>
      <c r="AD439" s="97"/>
      <c r="AE439" s="97"/>
      <c r="AF439" s="98"/>
      <c r="AG439" s="98"/>
      <c r="AH439" s="98"/>
      <c r="AI439" s="99"/>
      <c r="AJ439" s="95">
        <f t="shared" si="767"/>
        <v>0</v>
      </c>
      <c r="AK439" s="96">
        <f t="shared" si="768"/>
        <v>0</v>
      </c>
    </row>
    <row r="440" spans="1:39" ht="15.6" hidden="1" thickBot="1">
      <c r="A440" s="91"/>
      <c r="B440" s="100"/>
      <c r="C440" s="92"/>
      <c r="D440" s="101">
        <v>2020</v>
      </c>
      <c r="E440" s="102"/>
      <c r="F440" s="124"/>
      <c r="G440" s="124"/>
      <c r="H440" s="124"/>
      <c r="I440" s="124"/>
      <c r="J440" s="124"/>
      <c r="K440" s="124"/>
      <c r="L440" s="124"/>
      <c r="M440" s="125"/>
      <c r="N440" s="125"/>
      <c r="O440" s="125"/>
      <c r="P440" s="126"/>
      <c r="Q440" s="103">
        <f t="shared" si="764"/>
        <v>0</v>
      </c>
      <c r="R440" s="104">
        <f t="shared" si="693"/>
        <v>0</v>
      </c>
      <c r="S440" s="105"/>
      <c r="T440" s="91"/>
      <c r="U440" s="100"/>
      <c r="V440" s="92"/>
      <c r="W440" s="101">
        <v>2020</v>
      </c>
      <c r="X440" s="102"/>
      <c r="Y440" s="124"/>
      <c r="Z440" s="124"/>
      <c r="AA440" s="124"/>
      <c r="AB440" s="124"/>
      <c r="AC440" s="124"/>
      <c r="AD440" s="124"/>
      <c r="AE440" s="124"/>
      <c r="AF440" s="125"/>
      <c r="AG440" s="125"/>
      <c r="AH440" s="125"/>
      <c r="AI440" s="126"/>
      <c r="AJ440" s="103">
        <f t="shared" si="767"/>
        <v>0</v>
      </c>
      <c r="AK440" s="104">
        <f t="shared" si="768"/>
        <v>0</v>
      </c>
      <c r="AL440" s="105"/>
    </row>
    <row r="441" spans="1:39" ht="15.6" hidden="1" thickBot="1">
      <c r="A441" s="91"/>
      <c r="B441" s="100"/>
      <c r="C441" s="92"/>
      <c r="D441" s="101" t="s">
        <v>102</v>
      </c>
      <c r="E441" s="106" t="e">
        <f t="shared" ref="E441:R441" si="769">E440/E439</f>
        <v>#DIV/0!</v>
      </c>
      <c r="F441" s="106" t="e">
        <f t="shared" si="769"/>
        <v>#DIV/0!</v>
      </c>
      <c r="G441" s="106" t="e">
        <f t="shared" si="769"/>
        <v>#DIV/0!</v>
      </c>
      <c r="H441" s="106" t="e">
        <f t="shared" si="769"/>
        <v>#DIV/0!</v>
      </c>
      <c r="I441" s="106" t="e">
        <f t="shared" si="769"/>
        <v>#DIV/0!</v>
      </c>
      <c r="J441" s="106" t="e">
        <f t="shared" si="769"/>
        <v>#DIV/0!</v>
      </c>
      <c r="K441" s="106" t="e">
        <f t="shared" si="769"/>
        <v>#DIV/0!</v>
      </c>
      <c r="L441" s="106" t="e">
        <f t="shared" si="769"/>
        <v>#DIV/0!</v>
      </c>
      <c r="M441" s="107" t="e">
        <f t="shared" si="769"/>
        <v>#DIV/0!</v>
      </c>
      <c r="N441" s="107" t="e">
        <f t="shared" si="769"/>
        <v>#DIV/0!</v>
      </c>
      <c r="O441" s="107" t="e">
        <f t="shared" si="769"/>
        <v>#DIV/0!</v>
      </c>
      <c r="P441" s="108" t="e">
        <f t="shared" si="769"/>
        <v>#DIV/0!</v>
      </c>
      <c r="Q441" s="109" t="e">
        <f t="shared" si="769"/>
        <v>#DIV/0!</v>
      </c>
      <c r="R441" s="110" t="e">
        <f t="shared" si="769"/>
        <v>#DIV/0!</v>
      </c>
      <c r="S441" s="105"/>
      <c r="T441" s="91"/>
      <c r="U441" s="100"/>
      <c r="V441" s="92"/>
      <c r="W441" s="101" t="s">
        <v>102</v>
      </c>
      <c r="X441" s="106" t="e">
        <f t="shared" ref="X441:AK441" si="770">X440/X439</f>
        <v>#DIV/0!</v>
      </c>
      <c r="Y441" s="106" t="e">
        <f t="shared" si="770"/>
        <v>#DIV/0!</v>
      </c>
      <c r="Z441" s="106" t="e">
        <f t="shared" si="770"/>
        <v>#DIV/0!</v>
      </c>
      <c r="AA441" s="106" t="e">
        <f t="shared" si="770"/>
        <v>#DIV/0!</v>
      </c>
      <c r="AB441" s="106" t="e">
        <f t="shared" si="770"/>
        <v>#DIV/0!</v>
      </c>
      <c r="AC441" s="106" t="e">
        <f t="shared" si="770"/>
        <v>#DIV/0!</v>
      </c>
      <c r="AD441" s="106" t="e">
        <f t="shared" si="770"/>
        <v>#DIV/0!</v>
      </c>
      <c r="AE441" s="106" t="e">
        <f t="shared" si="770"/>
        <v>#DIV/0!</v>
      </c>
      <c r="AF441" s="107" t="e">
        <f t="shared" si="770"/>
        <v>#DIV/0!</v>
      </c>
      <c r="AG441" s="107" t="e">
        <f t="shared" si="770"/>
        <v>#DIV/0!</v>
      </c>
      <c r="AH441" s="107" t="e">
        <f t="shared" si="770"/>
        <v>#DIV/0!</v>
      </c>
      <c r="AI441" s="108" t="e">
        <f t="shared" si="770"/>
        <v>#DIV/0!</v>
      </c>
      <c r="AJ441" s="109" t="e">
        <f t="shared" si="770"/>
        <v>#DIV/0!</v>
      </c>
      <c r="AK441" s="110" t="e">
        <f t="shared" si="770"/>
        <v>#DIV/0!</v>
      </c>
      <c r="AL441" s="105"/>
    </row>
    <row r="442" spans="1:39" ht="15.6" hidden="1" thickBot="1">
      <c r="A442" s="91"/>
      <c r="B442" s="100"/>
      <c r="C442" s="111"/>
      <c r="D442" s="112" t="s">
        <v>103</v>
      </c>
      <c r="E442" s="113" t="e">
        <f t="shared" ref="E442:R442" si="771">E440/E438</f>
        <v>#DIV/0!</v>
      </c>
      <c r="F442" s="113" t="e">
        <f t="shared" si="771"/>
        <v>#DIV/0!</v>
      </c>
      <c r="G442" s="113" t="e">
        <f t="shared" si="771"/>
        <v>#DIV/0!</v>
      </c>
      <c r="H442" s="113" t="e">
        <f t="shared" si="771"/>
        <v>#DIV/0!</v>
      </c>
      <c r="I442" s="113" t="e">
        <f t="shared" si="771"/>
        <v>#DIV/0!</v>
      </c>
      <c r="J442" s="113" t="e">
        <f t="shared" si="771"/>
        <v>#DIV/0!</v>
      </c>
      <c r="K442" s="113" t="e">
        <f t="shared" si="771"/>
        <v>#DIV/0!</v>
      </c>
      <c r="L442" s="113" t="e">
        <f t="shared" si="771"/>
        <v>#DIV/0!</v>
      </c>
      <c r="M442" s="113" t="e">
        <f t="shared" si="771"/>
        <v>#DIV/0!</v>
      </c>
      <c r="N442" s="113" t="e">
        <f t="shared" si="771"/>
        <v>#DIV/0!</v>
      </c>
      <c r="O442" s="113" t="e">
        <f t="shared" si="771"/>
        <v>#DIV/0!</v>
      </c>
      <c r="P442" s="114" t="e">
        <f t="shared" si="771"/>
        <v>#DIV/0!</v>
      </c>
      <c r="Q442" s="115" t="e">
        <f t="shared" si="771"/>
        <v>#DIV/0!</v>
      </c>
      <c r="R442" s="116" t="e">
        <f t="shared" si="771"/>
        <v>#DIV/0!</v>
      </c>
      <c r="T442" s="91"/>
      <c r="U442" s="100"/>
      <c r="V442" s="111"/>
      <c r="W442" s="112" t="s">
        <v>103</v>
      </c>
      <c r="X442" s="113" t="e">
        <f t="shared" ref="X442:AK442" si="772">X440/X438</f>
        <v>#DIV/0!</v>
      </c>
      <c r="Y442" s="113" t="e">
        <f t="shared" si="772"/>
        <v>#DIV/0!</v>
      </c>
      <c r="Z442" s="113" t="e">
        <f t="shared" si="772"/>
        <v>#DIV/0!</v>
      </c>
      <c r="AA442" s="113" t="e">
        <f t="shared" si="772"/>
        <v>#DIV/0!</v>
      </c>
      <c r="AB442" s="113" t="e">
        <f t="shared" si="772"/>
        <v>#DIV/0!</v>
      </c>
      <c r="AC442" s="113" t="e">
        <f t="shared" si="772"/>
        <v>#DIV/0!</v>
      </c>
      <c r="AD442" s="113" t="e">
        <f t="shared" si="772"/>
        <v>#DIV/0!</v>
      </c>
      <c r="AE442" s="113" t="e">
        <f t="shared" si="772"/>
        <v>#DIV/0!</v>
      </c>
      <c r="AF442" s="113" t="e">
        <f t="shared" si="772"/>
        <v>#DIV/0!</v>
      </c>
      <c r="AG442" s="113" t="e">
        <f t="shared" si="772"/>
        <v>#DIV/0!</v>
      </c>
      <c r="AH442" s="113" t="e">
        <f t="shared" si="772"/>
        <v>#DIV/0!</v>
      </c>
      <c r="AI442" s="114" t="e">
        <f t="shared" si="772"/>
        <v>#DIV/0!</v>
      </c>
      <c r="AJ442" s="115" t="e">
        <f t="shared" si="772"/>
        <v>#DIV/0!</v>
      </c>
      <c r="AK442" s="116" t="e">
        <f t="shared" si="772"/>
        <v>#DIV/0!</v>
      </c>
    </row>
    <row r="443" spans="1:39" ht="15.6" hidden="1" thickBot="1">
      <c r="A443" s="91"/>
      <c r="B443" s="100"/>
      <c r="C443" s="86" t="s">
        <v>116</v>
      </c>
      <c r="D443" s="87">
        <v>2019</v>
      </c>
      <c r="E443" s="88"/>
      <c r="F443" s="121"/>
      <c r="G443" s="121"/>
      <c r="H443" s="121"/>
      <c r="I443" s="121"/>
      <c r="J443" s="121"/>
      <c r="K443" s="121"/>
      <c r="L443" s="121"/>
      <c r="M443" s="122"/>
      <c r="N443" s="122"/>
      <c r="O443" s="122"/>
      <c r="P443" s="123"/>
      <c r="Q443" s="89">
        <f t="shared" ref="Q443:Q445" si="773">SUM(E443:P443)</f>
        <v>0</v>
      </c>
      <c r="R443" s="90">
        <f t="shared" ref="R443" si="774">SUM(E443:M443)</f>
        <v>0</v>
      </c>
      <c r="T443" s="91"/>
      <c r="U443" s="100"/>
      <c r="V443" s="86" t="str">
        <f t="shared" ref="V443:V444" si="775">C443</f>
        <v>その他</v>
      </c>
      <c r="W443" s="87">
        <v>2019</v>
      </c>
      <c r="X443" s="88"/>
      <c r="Y443" s="121"/>
      <c r="Z443" s="121"/>
      <c r="AA443" s="121"/>
      <c r="AB443" s="121"/>
      <c r="AC443" s="121"/>
      <c r="AD443" s="121"/>
      <c r="AE443" s="121"/>
      <c r="AF443" s="122"/>
      <c r="AG443" s="122"/>
      <c r="AH443" s="122"/>
      <c r="AI443" s="123"/>
      <c r="AJ443" s="89">
        <f t="shared" ref="AJ443:AJ445" si="776">SUM(X443:AI443)</f>
        <v>0</v>
      </c>
      <c r="AK443" s="90">
        <f t="shared" ref="AK443:AK445" si="777">SUM(X443:AF443)</f>
        <v>0</v>
      </c>
      <c r="AM443" s="76" t="s">
        <v>148</v>
      </c>
    </row>
    <row r="444" spans="1:39" ht="15.6" hidden="1" thickBot="1">
      <c r="A444" s="91"/>
      <c r="B444" s="100"/>
      <c r="C444" s="92" t="s">
        <v>129</v>
      </c>
      <c r="D444" s="93" t="s">
        <v>92</v>
      </c>
      <c r="E444" s="94"/>
      <c r="F444" s="97"/>
      <c r="G444" s="97"/>
      <c r="H444" s="97"/>
      <c r="I444" s="97"/>
      <c r="J444" s="97"/>
      <c r="K444" s="97"/>
      <c r="L444" s="97"/>
      <c r="M444" s="98"/>
      <c r="N444" s="98"/>
      <c r="O444" s="98"/>
      <c r="P444" s="99"/>
      <c r="Q444" s="95">
        <f t="shared" si="773"/>
        <v>0</v>
      </c>
      <c r="R444" s="96">
        <f t="shared" si="693"/>
        <v>0</v>
      </c>
      <c r="T444" s="91"/>
      <c r="U444" s="100"/>
      <c r="V444" s="92" t="str">
        <f t="shared" si="775"/>
        <v>Others</v>
      </c>
      <c r="W444" s="93" t="s">
        <v>92</v>
      </c>
      <c r="X444" s="94"/>
      <c r="Y444" s="97"/>
      <c r="Z444" s="97"/>
      <c r="AA444" s="97"/>
      <c r="AB444" s="97"/>
      <c r="AC444" s="97"/>
      <c r="AD444" s="97"/>
      <c r="AE444" s="97"/>
      <c r="AF444" s="98"/>
      <c r="AG444" s="98"/>
      <c r="AH444" s="98"/>
      <c r="AI444" s="99"/>
      <c r="AJ444" s="95">
        <f t="shared" si="776"/>
        <v>0</v>
      </c>
      <c r="AK444" s="96">
        <f t="shared" si="777"/>
        <v>0</v>
      </c>
    </row>
    <row r="445" spans="1:39" ht="15.6" hidden="1" thickBot="1">
      <c r="A445" s="91"/>
      <c r="B445" s="100"/>
      <c r="C445" s="92"/>
      <c r="D445" s="101">
        <v>2020</v>
      </c>
      <c r="E445" s="102"/>
      <c r="F445" s="124"/>
      <c r="G445" s="124"/>
      <c r="H445" s="124"/>
      <c r="I445" s="124"/>
      <c r="J445" s="124"/>
      <c r="K445" s="124"/>
      <c r="L445" s="124"/>
      <c r="M445" s="125"/>
      <c r="N445" s="125"/>
      <c r="O445" s="125"/>
      <c r="P445" s="126"/>
      <c r="Q445" s="103">
        <f t="shared" si="773"/>
        <v>0</v>
      </c>
      <c r="R445" s="104">
        <f t="shared" si="693"/>
        <v>0</v>
      </c>
      <c r="S445" s="105"/>
      <c r="T445" s="91"/>
      <c r="U445" s="100"/>
      <c r="V445" s="92"/>
      <c r="W445" s="101">
        <v>2020</v>
      </c>
      <c r="X445" s="102"/>
      <c r="Y445" s="124"/>
      <c r="Z445" s="124"/>
      <c r="AA445" s="124"/>
      <c r="AB445" s="124"/>
      <c r="AC445" s="124"/>
      <c r="AD445" s="124"/>
      <c r="AE445" s="124"/>
      <c r="AF445" s="125"/>
      <c r="AG445" s="125"/>
      <c r="AH445" s="125"/>
      <c r="AI445" s="126"/>
      <c r="AJ445" s="103">
        <f t="shared" si="776"/>
        <v>0</v>
      </c>
      <c r="AK445" s="104">
        <f t="shared" si="777"/>
        <v>0</v>
      </c>
      <c r="AL445" s="105"/>
    </row>
    <row r="446" spans="1:39" ht="15.6" hidden="1" thickBot="1">
      <c r="A446" s="91"/>
      <c r="B446" s="100"/>
      <c r="C446" s="92"/>
      <c r="D446" s="101" t="s">
        <v>102</v>
      </c>
      <c r="E446" s="106" t="e">
        <f t="shared" ref="E446:R446" si="778">E445/E444</f>
        <v>#DIV/0!</v>
      </c>
      <c r="F446" s="106" t="e">
        <f t="shared" si="778"/>
        <v>#DIV/0!</v>
      </c>
      <c r="G446" s="106" t="e">
        <f t="shared" si="778"/>
        <v>#DIV/0!</v>
      </c>
      <c r="H446" s="106" t="e">
        <f t="shared" si="778"/>
        <v>#DIV/0!</v>
      </c>
      <c r="I446" s="106" t="e">
        <f t="shared" si="778"/>
        <v>#DIV/0!</v>
      </c>
      <c r="J446" s="106" t="e">
        <f t="shared" si="778"/>
        <v>#DIV/0!</v>
      </c>
      <c r="K446" s="106" t="e">
        <f t="shared" si="778"/>
        <v>#DIV/0!</v>
      </c>
      <c r="L446" s="106" t="e">
        <f t="shared" si="778"/>
        <v>#DIV/0!</v>
      </c>
      <c r="M446" s="107" t="e">
        <f t="shared" si="778"/>
        <v>#DIV/0!</v>
      </c>
      <c r="N446" s="107" t="e">
        <f t="shared" si="778"/>
        <v>#DIV/0!</v>
      </c>
      <c r="O446" s="107" t="e">
        <f t="shared" si="778"/>
        <v>#DIV/0!</v>
      </c>
      <c r="P446" s="108" t="e">
        <f t="shared" si="778"/>
        <v>#DIV/0!</v>
      </c>
      <c r="Q446" s="109" t="e">
        <f t="shared" si="778"/>
        <v>#DIV/0!</v>
      </c>
      <c r="R446" s="110" t="e">
        <f t="shared" si="778"/>
        <v>#DIV/0!</v>
      </c>
      <c r="S446" s="105"/>
      <c r="T446" s="91"/>
      <c r="U446" s="100"/>
      <c r="V446" s="92"/>
      <c r="W446" s="101" t="s">
        <v>102</v>
      </c>
      <c r="X446" s="106" t="e">
        <f t="shared" ref="X446:AK446" si="779">X445/X444</f>
        <v>#DIV/0!</v>
      </c>
      <c r="Y446" s="106" t="e">
        <f t="shared" si="779"/>
        <v>#DIV/0!</v>
      </c>
      <c r="Z446" s="106" t="e">
        <f t="shared" si="779"/>
        <v>#DIV/0!</v>
      </c>
      <c r="AA446" s="106" t="e">
        <f t="shared" si="779"/>
        <v>#DIV/0!</v>
      </c>
      <c r="AB446" s="106" t="e">
        <f t="shared" si="779"/>
        <v>#DIV/0!</v>
      </c>
      <c r="AC446" s="106" t="e">
        <f t="shared" si="779"/>
        <v>#DIV/0!</v>
      </c>
      <c r="AD446" s="106" t="e">
        <f t="shared" si="779"/>
        <v>#DIV/0!</v>
      </c>
      <c r="AE446" s="106" t="e">
        <f t="shared" si="779"/>
        <v>#DIV/0!</v>
      </c>
      <c r="AF446" s="107" t="e">
        <f t="shared" si="779"/>
        <v>#DIV/0!</v>
      </c>
      <c r="AG446" s="107" t="e">
        <f t="shared" si="779"/>
        <v>#DIV/0!</v>
      </c>
      <c r="AH446" s="107" t="e">
        <f t="shared" si="779"/>
        <v>#DIV/0!</v>
      </c>
      <c r="AI446" s="108" t="e">
        <f t="shared" si="779"/>
        <v>#DIV/0!</v>
      </c>
      <c r="AJ446" s="109" t="e">
        <f t="shared" si="779"/>
        <v>#DIV/0!</v>
      </c>
      <c r="AK446" s="110" t="e">
        <f t="shared" si="779"/>
        <v>#DIV/0!</v>
      </c>
      <c r="AL446" s="105"/>
    </row>
    <row r="447" spans="1:39" ht="15.6" hidden="1" thickBot="1">
      <c r="A447" s="91"/>
      <c r="B447" s="100"/>
      <c r="C447" s="111"/>
      <c r="D447" s="112" t="s">
        <v>103</v>
      </c>
      <c r="E447" s="113" t="e">
        <f t="shared" ref="E447:R447" si="780">E445/E443</f>
        <v>#DIV/0!</v>
      </c>
      <c r="F447" s="113" t="e">
        <f t="shared" si="780"/>
        <v>#DIV/0!</v>
      </c>
      <c r="G447" s="113" t="e">
        <f t="shared" si="780"/>
        <v>#DIV/0!</v>
      </c>
      <c r="H447" s="113" t="e">
        <f t="shared" si="780"/>
        <v>#DIV/0!</v>
      </c>
      <c r="I447" s="113" t="e">
        <f t="shared" si="780"/>
        <v>#DIV/0!</v>
      </c>
      <c r="J447" s="113" t="e">
        <f t="shared" si="780"/>
        <v>#DIV/0!</v>
      </c>
      <c r="K447" s="113" t="e">
        <f t="shared" si="780"/>
        <v>#DIV/0!</v>
      </c>
      <c r="L447" s="113" t="e">
        <f t="shared" si="780"/>
        <v>#DIV/0!</v>
      </c>
      <c r="M447" s="113" t="e">
        <f t="shared" si="780"/>
        <v>#DIV/0!</v>
      </c>
      <c r="N447" s="113" t="e">
        <f t="shared" si="780"/>
        <v>#DIV/0!</v>
      </c>
      <c r="O447" s="113" t="e">
        <f t="shared" si="780"/>
        <v>#DIV/0!</v>
      </c>
      <c r="P447" s="114" t="e">
        <f t="shared" si="780"/>
        <v>#DIV/0!</v>
      </c>
      <c r="Q447" s="115" t="e">
        <f t="shared" si="780"/>
        <v>#DIV/0!</v>
      </c>
      <c r="R447" s="116" t="e">
        <f t="shared" si="780"/>
        <v>#DIV/0!</v>
      </c>
      <c r="T447" s="91"/>
      <c r="U447" s="100"/>
      <c r="V447" s="111"/>
      <c r="W447" s="112" t="s">
        <v>103</v>
      </c>
      <c r="X447" s="113" t="e">
        <f t="shared" ref="X447:AK447" si="781">X445/X443</f>
        <v>#DIV/0!</v>
      </c>
      <c r="Y447" s="113" t="e">
        <f t="shared" si="781"/>
        <v>#DIV/0!</v>
      </c>
      <c r="Z447" s="113" t="e">
        <f t="shared" si="781"/>
        <v>#DIV/0!</v>
      </c>
      <c r="AA447" s="113" t="e">
        <f t="shared" si="781"/>
        <v>#DIV/0!</v>
      </c>
      <c r="AB447" s="113" t="e">
        <f t="shared" si="781"/>
        <v>#DIV/0!</v>
      </c>
      <c r="AC447" s="113" t="e">
        <f t="shared" si="781"/>
        <v>#DIV/0!</v>
      </c>
      <c r="AD447" s="113" t="e">
        <f t="shared" si="781"/>
        <v>#DIV/0!</v>
      </c>
      <c r="AE447" s="113" t="e">
        <f t="shared" si="781"/>
        <v>#DIV/0!</v>
      </c>
      <c r="AF447" s="113" t="e">
        <f t="shared" si="781"/>
        <v>#DIV/0!</v>
      </c>
      <c r="AG447" s="113" t="e">
        <f t="shared" si="781"/>
        <v>#DIV/0!</v>
      </c>
      <c r="AH447" s="113" t="e">
        <f t="shared" si="781"/>
        <v>#DIV/0!</v>
      </c>
      <c r="AI447" s="114" t="e">
        <f t="shared" si="781"/>
        <v>#DIV/0!</v>
      </c>
      <c r="AJ447" s="115" t="e">
        <f t="shared" si="781"/>
        <v>#DIV/0!</v>
      </c>
      <c r="AK447" s="116" t="e">
        <f t="shared" si="781"/>
        <v>#DIV/0!</v>
      </c>
    </row>
    <row r="448" spans="1:39" ht="15.6" hidden="1" thickBot="1">
      <c r="A448" s="91"/>
      <c r="B448" s="303" t="s">
        <v>149</v>
      </c>
      <c r="C448" s="304"/>
      <c r="D448" s="127">
        <v>2019</v>
      </c>
      <c r="E448" s="128">
        <f>SUM(E443,E438,E433,E428,E423,E418,E413,E408,E403,E398,E393,E388,E383,E378)</f>
        <v>0</v>
      </c>
      <c r="F448" s="129">
        <f t="shared" ref="F448:P448" si="782">SUM(F443,F438,F433,F428,F423,F418,F413,F408,F403,F398,F393,F388,F383,F378)</f>
        <v>0</v>
      </c>
      <c r="G448" s="129">
        <f t="shared" si="782"/>
        <v>0</v>
      </c>
      <c r="H448" s="129">
        <f t="shared" si="782"/>
        <v>0</v>
      </c>
      <c r="I448" s="129">
        <f t="shared" si="782"/>
        <v>0</v>
      </c>
      <c r="J448" s="129">
        <f t="shared" si="782"/>
        <v>0</v>
      </c>
      <c r="K448" s="129">
        <f t="shared" si="782"/>
        <v>0</v>
      </c>
      <c r="L448" s="129">
        <f t="shared" si="782"/>
        <v>0</v>
      </c>
      <c r="M448" s="129">
        <f t="shared" si="782"/>
        <v>0</v>
      </c>
      <c r="N448" s="129">
        <f t="shared" si="782"/>
        <v>0</v>
      </c>
      <c r="O448" s="129">
        <f t="shared" si="782"/>
        <v>0</v>
      </c>
      <c r="P448" s="130">
        <f t="shared" si="782"/>
        <v>0</v>
      </c>
      <c r="Q448" s="131">
        <f>SUM(E448:P448)</f>
        <v>0</v>
      </c>
      <c r="R448" s="90">
        <f t="shared" ref="R448" si="783">SUM(E448:M448)</f>
        <v>0</v>
      </c>
      <c r="T448" s="91"/>
      <c r="U448" s="309" t="s">
        <v>149</v>
      </c>
      <c r="V448" s="310"/>
      <c r="W448" s="132">
        <v>2019</v>
      </c>
      <c r="X448" s="133">
        <f>SUM(X443,X438,X433,X428,X423,X418,X413,X408,X403,X398,X393,X388,X383,X378)</f>
        <v>0</v>
      </c>
      <c r="Y448" s="134">
        <f t="shared" ref="Y448:AI448" si="784">SUM(Y443,Y438,Y433,Y428,Y423,Y418,Y413,Y408,Y403,Y398,Y393,Y388,Y383,Y378)</f>
        <v>0</v>
      </c>
      <c r="Z448" s="134">
        <f t="shared" si="784"/>
        <v>0</v>
      </c>
      <c r="AA448" s="134">
        <f t="shared" si="784"/>
        <v>0</v>
      </c>
      <c r="AB448" s="134">
        <f t="shared" si="784"/>
        <v>0</v>
      </c>
      <c r="AC448" s="134">
        <f t="shared" si="784"/>
        <v>0</v>
      </c>
      <c r="AD448" s="134">
        <f t="shared" si="784"/>
        <v>0</v>
      </c>
      <c r="AE448" s="134">
        <f t="shared" si="784"/>
        <v>0</v>
      </c>
      <c r="AF448" s="134">
        <f t="shared" si="784"/>
        <v>0</v>
      </c>
      <c r="AG448" s="134">
        <f t="shared" si="784"/>
        <v>0</v>
      </c>
      <c r="AH448" s="134">
        <f t="shared" si="784"/>
        <v>0</v>
      </c>
      <c r="AI448" s="135">
        <f t="shared" si="784"/>
        <v>0</v>
      </c>
      <c r="AJ448" s="136">
        <f>SUM(X448:AI448)</f>
        <v>0</v>
      </c>
      <c r="AK448" s="90">
        <f t="shared" ref="AK448:AK450" si="785">SUM(X448:AF448)</f>
        <v>0</v>
      </c>
    </row>
    <row r="449" spans="1:38" ht="15.6" hidden="1" thickBot="1">
      <c r="A449" s="91"/>
      <c r="B449" s="305"/>
      <c r="C449" s="306"/>
      <c r="D449" s="137" t="s">
        <v>92</v>
      </c>
      <c r="E449" s="138">
        <f t="shared" ref="E449:P450" si="786">SUM(E444,E439,E434,E429,E424,E419,E414,E409,E404,E399,E394,E389,E384,E379)</f>
        <v>0</v>
      </c>
      <c r="F449" s="138">
        <f t="shared" si="786"/>
        <v>0</v>
      </c>
      <c r="G449" s="138">
        <f t="shared" si="786"/>
        <v>0</v>
      </c>
      <c r="H449" s="138">
        <f t="shared" si="786"/>
        <v>0</v>
      </c>
      <c r="I449" s="138">
        <f t="shared" si="786"/>
        <v>0</v>
      </c>
      <c r="J449" s="138">
        <f t="shared" si="786"/>
        <v>0</v>
      </c>
      <c r="K449" s="138">
        <f t="shared" si="786"/>
        <v>0</v>
      </c>
      <c r="L449" s="138">
        <f t="shared" si="786"/>
        <v>0</v>
      </c>
      <c r="M449" s="138">
        <f t="shared" si="786"/>
        <v>0</v>
      </c>
      <c r="N449" s="138">
        <f t="shared" si="786"/>
        <v>0</v>
      </c>
      <c r="O449" s="138">
        <f t="shared" si="786"/>
        <v>0</v>
      </c>
      <c r="P449" s="138">
        <f t="shared" si="786"/>
        <v>0</v>
      </c>
      <c r="Q449" s="139">
        <f t="shared" ref="Q449:Q450" si="787">SUM(E449:P449)</f>
        <v>0</v>
      </c>
      <c r="R449" s="96">
        <f t="shared" si="693"/>
        <v>0</v>
      </c>
      <c r="T449" s="91"/>
      <c r="U449" s="311"/>
      <c r="V449" s="312"/>
      <c r="W449" s="140" t="s">
        <v>92</v>
      </c>
      <c r="X449" s="141">
        <f t="shared" ref="X449:AI450" si="788">SUM(X444,X439,X434,X429,X424,X419,X414,X409,X404,X399,X394,X389,X384,X379)</f>
        <v>0</v>
      </c>
      <c r="Y449" s="141">
        <f t="shared" si="788"/>
        <v>0</v>
      </c>
      <c r="Z449" s="141">
        <f t="shared" si="788"/>
        <v>0</v>
      </c>
      <c r="AA449" s="141">
        <f t="shared" si="788"/>
        <v>0</v>
      </c>
      <c r="AB449" s="141">
        <f t="shared" si="788"/>
        <v>0</v>
      </c>
      <c r="AC449" s="141">
        <f t="shared" si="788"/>
        <v>0</v>
      </c>
      <c r="AD449" s="141">
        <f t="shared" si="788"/>
        <v>0</v>
      </c>
      <c r="AE449" s="141">
        <f t="shared" si="788"/>
        <v>0</v>
      </c>
      <c r="AF449" s="141">
        <f t="shared" si="788"/>
        <v>0</v>
      </c>
      <c r="AG449" s="141">
        <f t="shared" si="788"/>
        <v>0</v>
      </c>
      <c r="AH449" s="141">
        <f t="shared" si="788"/>
        <v>0</v>
      </c>
      <c r="AI449" s="141">
        <f t="shared" si="788"/>
        <v>0</v>
      </c>
      <c r="AJ449" s="142">
        <f t="shared" ref="AJ449:AJ450" si="789">SUM(X449:AI449)</f>
        <v>0</v>
      </c>
      <c r="AK449" s="96">
        <f t="shared" si="785"/>
        <v>0</v>
      </c>
    </row>
    <row r="450" spans="1:38" ht="15.6" hidden="1" thickBot="1">
      <c r="A450" s="91"/>
      <c r="B450" s="305"/>
      <c r="C450" s="306"/>
      <c r="D450" s="143">
        <v>2020</v>
      </c>
      <c r="E450" s="144">
        <f>SUM(E445,E440,E435,E430,E425,E420,E415,E410,E405,E400,E395,E390,E385,E380)</f>
        <v>0</v>
      </c>
      <c r="F450" s="144">
        <f t="shared" si="786"/>
        <v>0</v>
      </c>
      <c r="G450" s="144">
        <f t="shared" si="786"/>
        <v>0</v>
      </c>
      <c r="H450" s="144">
        <f t="shared" si="786"/>
        <v>0</v>
      </c>
      <c r="I450" s="144">
        <f t="shared" si="786"/>
        <v>0</v>
      </c>
      <c r="J450" s="144">
        <f t="shared" si="786"/>
        <v>0</v>
      </c>
      <c r="K450" s="144">
        <f t="shared" si="786"/>
        <v>0</v>
      </c>
      <c r="L450" s="144">
        <f t="shared" si="786"/>
        <v>0</v>
      </c>
      <c r="M450" s="144">
        <f t="shared" si="786"/>
        <v>0</v>
      </c>
      <c r="N450" s="144">
        <f t="shared" si="786"/>
        <v>0</v>
      </c>
      <c r="O450" s="144">
        <f t="shared" si="786"/>
        <v>0</v>
      </c>
      <c r="P450" s="144">
        <f t="shared" si="786"/>
        <v>0</v>
      </c>
      <c r="Q450" s="145">
        <f t="shared" si="787"/>
        <v>0</v>
      </c>
      <c r="R450" s="104">
        <f t="shared" si="693"/>
        <v>0</v>
      </c>
      <c r="S450" s="105"/>
      <c r="T450" s="91"/>
      <c r="U450" s="311"/>
      <c r="V450" s="312"/>
      <c r="W450" s="146">
        <v>2020</v>
      </c>
      <c r="X450" s="147">
        <f>SUM(X445,X440,X435,X430,X425,X420,X415,X410,X405,X400,X395,X390,X385,X380)</f>
        <v>0</v>
      </c>
      <c r="Y450" s="147">
        <f t="shared" si="788"/>
        <v>0</v>
      </c>
      <c r="Z450" s="147">
        <f t="shared" si="788"/>
        <v>0</v>
      </c>
      <c r="AA450" s="147">
        <f t="shared" si="788"/>
        <v>0</v>
      </c>
      <c r="AB450" s="147">
        <f t="shared" si="788"/>
        <v>0</v>
      </c>
      <c r="AC450" s="147">
        <f t="shared" si="788"/>
        <v>0</v>
      </c>
      <c r="AD450" s="147">
        <f t="shared" si="788"/>
        <v>0</v>
      </c>
      <c r="AE450" s="147">
        <f t="shared" si="788"/>
        <v>0</v>
      </c>
      <c r="AF450" s="147">
        <f t="shared" si="788"/>
        <v>0</v>
      </c>
      <c r="AG450" s="147">
        <f t="shared" si="788"/>
        <v>0</v>
      </c>
      <c r="AH450" s="147">
        <f t="shared" si="788"/>
        <v>0</v>
      </c>
      <c r="AI450" s="147">
        <f t="shared" si="788"/>
        <v>0</v>
      </c>
      <c r="AJ450" s="148">
        <f t="shared" si="789"/>
        <v>0</v>
      </c>
      <c r="AK450" s="104">
        <f t="shared" si="785"/>
        <v>0</v>
      </c>
      <c r="AL450" s="105"/>
    </row>
    <row r="451" spans="1:38" ht="15.6" hidden="1" thickBot="1">
      <c r="A451" s="91"/>
      <c r="B451" s="305"/>
      <c r="C451" s="306"/>
      <c r="D451" s="143" t="s">
        <v>102</v>
      </c>
      <c r="E451" s="149" t="e">
        <f t="shared" ref="E451:R451" si="790">E450/E449</f>
        <v>#DIV/0!</v>
      </c>
      <c r="F451" s="149" t="e">
        <f t="shared" si="790"/>
        <v>#DIV/0!</v>
      </c>
      <c r="G451" s="149" t="e">
        <f t="shared" si="790"/>
        <v>#DIV/0!</v>
      </c>
      <c r="H451" s="149" t="e">
        <f t="shared" si="790"/>
        <v>#DIV/0!</v>
      </c>
      <c r="I451" s="149" t="e">
        <f t="shared" si="790"/>
        <v>#DIV/0!</v>
      </c>
      <c r="J451" s="149" t="e">
        <f t="shared" si="790"/>
        <v>#DIV/0!</v>
      </c>
      <c r="K451" s="149" t="e">
        <f t="shared" si="790"/>
        <v>#DIV/0!</v>
      </c>
      <c r="L451" s="149" t="e">
        <f t="shared" si="790"/>
        <v>#DIV/0!</v>
      </c>
      <c r="M451" s="149" t="e">
        <f t="shared" si="790"/>
        <v>#DIV/0!</v>
      </c>
      <c r="N451" s="149" t="e">
        <f t="shared" si="790"/>
        <v>#DIV/0!</v>
      </c>
      <c r="O451" s="149" t="e">
        <f t="shared" si="790"/>
        <v>#DIV/0!</v>
      </c>
      <c r="P451" s="150" t="e">
        <f t="shared" si="790"/>
        <v>#DIV/0!</v>
      </c>
      <c r="Q451" s="151" t="e">
        <f t="shared" si="790"/>
        <v>#DIV/0!</v>
      </c>
      <c r="R451" s="104" t="e">
        <f t="shared" si="790"/>
        <v>#DIV/0!</v>
      </c>
      <c r="S451" s="105"/>
      <c r="T451" s="91"/>
      <c r="U451" s="311"/>
      <c r="V451" s="312"/>
      <c r="W451" s="146" t="s">
        <v>102</v>
      </c>
      <c r="X451" s="152" t="e">
        <f t="shared" ref="X451:AK451" si="791">X450/X449</f>
        <v>#DIV/0!</v>
      </c>
      <c r="Y451" s="152" t="e">
        <f t="shared" si="791"/>
        <v>#DIV/0!</v>
      </c>
      <c r="Z451" s="152" t="e">
        <f t="shared" si="791"/>
        <v>#DIV/0!</v>
      </c>
      <c r="AA451" s="152" t="e">
        <f t="shared" si="791"/>
        <v>#DIV/0!</v>
      </c>
      <c r="AB451" s="152" t="e">
        <f t="shared" si="791"/>
        <v>#DIV/0!</v>
      </c>
      <c r="AC451" s="152" t="e">
        <f t="shared" si="791"/>
        <v>#DIV/0!</v>
      </c>
      <c r="AD451" s="152" t="e">
        <f t="shared" si="791"/>
        <v>#DIV/0!</v>
      </c>
      <c r="AE451" s="152" t="e">
        <f t="shared" si="791"/>
        <v>#DIV/0!</v>
      </c>
      <c r="AF451" s="152" t="e">
        <f t="shared" si="791"/>
        <v>#DIV/0!</v>
      </c>
      <c r="AG451" s="152" t="e">
        <f t="shared" si="791"/>
        <v>#DIV/0!</v>
      </c>
      <c r="AH451" s="152" t="e">
        <f t="shared" si="791"/>
        <v>#DIV/0!</v>
      </c>
      <c r="AI451" s="153" t="e">
        <f t="shared" si="791"/>
        <v>#DIV/0!</v>
      </c>
      <c r="AJ451" s="154" t="e">
        <f t="shared" si="791"/>
        <v>#DIV/0!</v>
      </c>
      <c r="AK451" s="104" t="e">
        <f t="shared" si="791"/>
        <v>#DIV/0!</v>
      </c>
      <c r="AL451" s="105"/>
    </row>
    <row r="452" spans="1:38" ht="15.6" hidden="1" thickBot="1">
      <c r="A452" s="155"/>
      <c r="B452" s="307"/>
      <c r="C452" s="308"/>
      <c r="D452" s="156" t="s">
        <v>103</v>
      </c>
      <c r="E452" s="165" t="e">
        <f t="shared" ref="E452:R452" si="792">E450/E448</f>
        <v>#DIV/0!</v>
      </c>
      <c r="F452" s="165" t="e">
        <f t="shared" si="792"/>
        <v>#DIV/0!</v>
      </c>
      <c r="G452" s="165" t="e">
        <f t="shared" si="792"/>
        <v>#DIV/0!</v>
      </c>
      <c r="H452" s="165" t="e">
        <f t="shared" si="792"/>
        <v>#DIV/0!</v>
      </c>
      <c r="I452" s="165" t="e">
        <f t="shared" si="792"/>
        <v>#DIV/0!</v>
      </c>
      <c r="J452" s="165" t="e">
        <f t="shared" si="792"/>
        <v>#DIV/0!</v>
      </c>
      <c r="K452" s="165" t="e">
        <f t="shared" si="792"/>
        <v>#DIV/0!</v>
      </c>
      <c r="L452" s="165" t="e">
        <f t="shared" si="792"/>
        <v>#DIV/0!</v>
      </c>
      <c r="M452" s="165" t="e">
        <f t="shared" si="792"/>
        <v>#DIV/0!</v>
      </c>
      <c r="N452" s="165" t="e">
        <f t="shared" si="792"/>
        <v>#DIV/0!</v>
      </c>
      <c r="O452" s="165" t="e">
        <f t="shared" si="792"/>
        <v>#DIV/0!</v>
      </c>
      <c r="P452" s="166" t="e">
        <f t="shared" si="792"/>
        <v>#DIV/0!</v>
      </c>
      <c r="Q452" s="167" t="e">
        <f t="shared" si="792"/>
        <v>#DIV/0!</v>
      </c>
      <c r="R452" s="168" t="e">
        <f t="shared" si="792"/>
        <v>#DIV/0!</v>
      </c>
      <c r="T452" s="155"/>
      <c r="U452" s="313"/>
      <c r="V452" s="314"/>
      <c r="W452" s="160" t="s">
        <v>103</v>
      </c>
      <c r="X452" s="169" t="e">
        <f t="shared" ref="X452:AK452" si="793">X450/X448</f>
        <v>#DIV/0!</v>
      </c>
      <c r="Y452" s="169" t="e">
        <f t="shared" si="793"/>
        <v>#DIV/0!</v>
      </c>
      <c r="Z452" s="169" t="e">
        <f t="shared" si="793"/>
        <v>#DIV/0!</v>
      </c>
      <c r="AA452" s="169" t="e">
        <f t="shared" si="793"/>
        <v>#DIV/0!</v>
      </c>
      <c r="AB452" s="169" t="e">
        <f t="shared" si="793"/>
        <v>#DIV/0!</v>
      </c>
      <c r="AC452" s="169" t="e">
        <f t="shared" si="793"/>
        <v>#DIV/0!</v>
      </c>
      <c r="AD452" s="169" t="e">
        <f t="shared" si="793"/>
        <v>#DIV/0!</v>
      </c>
      <c r="AE452" s="169" t="e">
        <f t="shared" si="793"/>
        <v>#DIV/0!</v>
      </c>
      <c r="AF452" s="169" t="e">
        <f t="shared" si="793"/>
        <v>#DIV/0!</v>
      </c>
      <c r="AG452" s="169" t="e">
        <f t="shared" si="793"/>
        <v>#DIV/0!</v>
      </c>
      <c r="AH452" s="169" t="e">
        <f t="shared" si="793"/>
        <v>#DIV/0!</v>
      </c>
      <c r="AI452" s="170" t="e">
        <f t="shared" si="793"/>
        <v>#DIV/0!</v>
      </c>
      <c r="AJ452" s="171" t="e">
        <f t="shared" si="793"/>
        <v>#DIV/0!</v>
      </c>
      <c r="AK452" s="168" t="e">
        <f t="shared" si="793"/>
        <v>#DIV/0!</v>
      </c>
    </row>
    <row r="453" spans="1:38" ht="15.6" hidden="1" thickBot="1">
      <c r="A453" s="84" t="s">
        <v>120</v>
      </c>
      <c r="B453" s="85" t="s">
        <v>150</v>
      </c>
      <c r="C453" s="86" t="s">
        <v>122</v>
      </c>
      <c r="D453" s="87">
        <v>2019</v>
      </c>
      <c r="E453" s="88"/>
      <c r="F453" s="121"/>
      <c r="G453" s="121"/>
      <c r="H453" s="121"/>
      <c r="I453" s="121"/>
      <c r="J453" s="121"/>
      <c r="K453" s="121"/>
      <c r="L453" s="121"/>
      <c r="M453" s="122"/>
      <c r="N453" s="122"/>
      <c r="O453" s="122"/>
      <c r="P453" s="123"/>
      <c r="Q453" s="89">
        <f>SUM(E453:P453)</f>
        <v>0</v>
      </c>
      <c r="R453" s="90">
        <f t="shared" ref="R453" si="794">SUM(E453:M453)</f>
        <v>0</v>
      </c>
      <c r="T453" s="84" t="s">
        <v>120</v>
      </c>
      <c r="U453" s="85" t="s">
        <v>150</v>
      </c>
      <c r="V453" s="86" t="str">
        <f>C453</f>
        <v>得意先名</v>
      </c>
      <c r="W453" s="87">
        <v>2019</v>
      </c>
      <c r="X453" s="88"/>
      <c r="Y453" s="121"/>
      <c r="Z453" s="121"/>
      <c r="AA453" s="121"/>
      <c r="AB453" s="121"/>
      <c r="AC453" s="121"/>
      <c r="AD453" s="121"/>
      <c r="AE453" s="121"/>
      <c r="AF453" s="122"/>
      <c r="AG453" s="122"/>
      <c r="AH453" s="122"/>
      <c r="AI453" s="123"/>
      <c r="AJ453" s="89">
        <f>SUM(X453:AI453)</f>
        <v>0</v>
      </c>
      <c r="AK453" s="90">
        <f t="shared" ref="AK453:AK455" si="795">SUM(X453:AF453)</f>
        <v>0</v>
      </c>
    </row>
    <row r="454" spans="1:38" ht="15.6" hidden="1" thickBot="1">
      <c r="A454" s="91"/>
      <c r="B454" s="85" t="s">
        <v>151</v>
      </c>
      <c r="C454" s="92" t="s">
        <v>124</v>
      </c>
      <c r="D454" s="93" t="s">
        <v>92</v>
      </c>
      <c r="E454" s="94"/>
      <c r="F454" s="97"/>
      <c r="G454" s="97"/>
      <c r="H454" s="97"/>
      <c r="I454" s="97"/>
      <c r="J454" s="97"/>
      <c r="K454" s="97"/>
      <c r="L454" s="97"/>
      <c r="M454" s="98"/>
      <c r="N454" s="98"/>
      <c r="O454" s="98"/>
      <c r="P454" s="99"/>
      <c r="Q454" s="95">
        <f>SUM(E454:P454)</f>
        <v>0</v>
      </c>
      <c r="R454" s="96">
        <f t="shared" si="693"/>
        <v>0</v>
      </c>
      <c r="T454" s="91"/>
      <c r="U454" s="85" t="s">
        <v>151</v>
      </c>
      <c r="V454" s="92" t="str">
        <f>C454</f>
        <v>得意先名（英語）</v>
      </c>
      <c r="W454" s="93" t="s">
        <v>92</v>
      </c>
      <c r="X454" s="94"/>
      <c r="Y454" s="97"/>
      <c r="Z454" s="97"/>
      <c r="AA454" s="97"/>
      <c r="AB454" s="97"/>
      <c r="AC454" s="97"/>
      <c r="AD454" s="97"/>
      <c r="AE454" s="97"/>
      <c r="AF454" s="98"/>
      <c r="AG454" s="98"/>
      <c r="AH454" s="98"/>
      <c r="AI454" s="99"/>
      <c r="AJ454" s="95">
        <f>SUM(X454:AI454)</f>
        <v>0</v>
      </c>
      <c r="AK454" s="96">
        <f t="shared" si="795"/>
        <v>0</v>
      </c>
    </row>
    <row r="455" spans="1:38" ht="15.6" hidden="1" thickBot="1">
      <c r="A455" s="91"/>
      <c r="B455" s="100"/>
      <c r="C455" s="92"/>
      <c r="D455" s="101">
        <v>2020</v>
      </c>
      <c r="E455" s="102"/>
      <c r="F455" s="124"/>
      <c r="G455" s="124"/>
      <c r="H455" s="124"/>
      <c r="I455" s="124"/>
      <c r="J455" s="124"/>
      <c r="K455" s="124"/>
      <c r="L455" s="124"/>
      <c r="M455" s="125"/>
      <c r="N455" s="125"/>
      <c r="O455" s="125"/>
      <c r="P455" s="126"/>
      <c r="Q455" s="103">
        <f>SUM(E455:P455)</f>
        <v>0</v>
      </c>
      <c r="R455" s="104">
        <f t="shared" si="693"/>
        <v>0</v>
      </c>
      <c r="S455" s="105"/>
      <c r="T455" s="91"/>
      <c r="U455" s="100"/>
      <c r="V455" s="92"/>
      <c r="W455" s="101">
        <v>2020</v>
      </c>
      <c r="X455" s="102"/>
      <c r="Y455" s="124"/>
      <c r="Z455" s="124"/>
      <c r="AA455" s="124"/>
      <c r="AB455" s="124"/>
      <c r="AC455" s="124"/>
      <c r="AD455" s="124"/>
      <c r="AE455" s="124"/>
      <c r="AF455" s="125"/>
      <c r="AG455" s="125"/>
      <c r="AH455" s="125"/>
      <c r="AI455" s="126"/>
      <c r="AJ455" s="103">
        <f>SUM(X455:AI455)</f>
        <v>0</v>
      </c>
      <c r="AK455" s="104">
        <f t="shared" si="795"/>
        <v>0</v>
      </c>
      <c r="AL455" s="105"/>
    </row>
    <row r="456" spans="1:38" ht="15.6" hidden="1" thickBot="1">
      <c r="A456" s="91"/>
      <c r="B456" s="100"/>
      <c r="C456" s="92"/>
      <c r="D456" s="101" t="s">
        <v>102</v>
      </c>
      <c r="E456" s="106" t="e">
        <f>E455/E454</f>
        <v>#DIV/0!</v>
      </c>
      <c r="F456" s="106" t="e">
        <f t="shared" ref="F456:R456" si="796">F455/F454</f>
        <v>#DIV/0!</v>
      </c>
      <c r="G456" s="106" t="e">
        <f t="shared" si="796"/>
        <v>#DIV/0!</v>
      </c>
      <c r="H456" s="106" t="e">
        <f t="shared" si="796"/>
        <v>#DIV/0!</v>
      </c>
      <c r="I456" s="106" t="e">
        <f t="shared" si="796"/>
        <v>#DIV/0!</v>
      </c>
      <c r="J456" s="106" t="e">
        <f t="shared" si="796"/>
        <v>#DIV/0!</v>
      </c>
      <c r="K456" s="106" t="e">
        <f t="shared" si="796"/>
        <v>#DIV/0!</v>
      </c>
      <c r="L456" s="106" t="e">
        <f t="shared" si="796"/>
        <v>#DIV/0!</v>
      </c>
      <c r="M456" s="107" t="e">
        <f t="shared" si="796"/>
        <v>#DIV/0!</v>
      </c>
      <c r="N456" s="107" t="e">
        <f t="shared" si="796"/>
        <v>#DIV/0!</v>
      </c>
      <c r="O456" s="107" t="e">
        <f t="shared" si="796"/>
        <v>#DIV/0!</v>
      </c>
      <c r="P456" s="108" t="e">
        <f t="shared" si="796"/>
        <v>#DIV/0!</v>
      </c>
      <c r="Q456" s="109" t="e">
        <f t="shared" si="796"/>
        <v>#DIV/0!</v>
      </c>
      <c r="R456" s="110" t="e">
        <f t="shared" si="796"/>
        <v>#DIV/0!</v>
      </c>
      <c r="S456" s="105"/>
      <c r="T456" s="91"/>
      <c r="U456" s="100"/>
      <c r="V456" s="92"/>
      <c r="W456" s="101" t="s">
        <v>102</v>
      </c>
      <c r="X456" s="106" t="e">
        <f>X455/X454</f>
        <v>#DIV/0!</v>
      </c>
      <c r="Y456" s="106" t="e">
        <f t="shared" ref="Y456:AK456" si="797">Y455/Y454</f>
        <v>#DIV/0!</v>
      </c>
      <c r="Z456" s="106" t="e">
        <f t="shared" si="797"/>
        <v>#DIV/0!</v>
      </c>
      <c r="AA456" s="106" t="e">
        <f t="shared" si="797"/>
        <v>#DIV/0!</v>
      </c>
      <c r="AB456" s="106" t="e">
        <f t="shared" si="797"/>
        <v>#DIV/0!</v>
      </c>
      <c r="AC456" s="106" t="e">
        <f t="shared" si="797"/>
        <v>#DIV/0!</v>
      </c>
      <c r="AD456" s="106" t="e">
        <f t="shared" si="797"/>
        <v>#DIV/0!</v>
      </c>
      <c r="AE456" s="106" t="e">
        <f t="shared" si="797"/>
        <v>#DIV/0!</v>
      </c>
      <c r="AF456" s="107" t="e">
        <f t="shared" si="797"/>
        <v>#DIV/0!</v>
      </c>
      <c r="AG456" s="107" t="e">
        <f t="shared" si="797"/>
        <v>#DIV/0!</v>
      </c>
      <c r="AH456" s="107" t="e">
        <f t="shared" si="797"/>
        <v>#DIV/0!</v>
      </c>
      <c r="AI456" s="108" t="e">
        <f t="shared" si="797"/>
        <v>#DIV/0!</v>
      </c>
      <c r="AJ456" s="109" t="e">
        <f t="shared" si="797"/>
        <v>#DIV/0!</v>
      </c>
      <c r="AK456" s="110" t="e">
        <f t="shared" si="797"/>
        <v>#DIV/0!</v>
      </c>
      <c r="AL456" s="105"/>
    </row>
    <row r="457" spans="1:38" ht="15.6" hidden="1" thickBot="1">
      <c r="A457" s="91"/>
      <c r="B457" s="100"/>
      <c r="C457" s="111"/>
      <c r="D457" s="112" t="s">
        <v>103</v>
      </c>
      <c r="E457" s="113" t="e">
        <f>E455/E453</f>
        <v>#DIV/0!</v>
      </c>
      <c r="F457" s="113" t="e">
        <f t="shared" ref="F457:R457" si="798">F455/F453</f>
        <v>#DIV/0!</v>
      </c>
      <c r="G457" s="113" t="e">
        <f t="shared" si="798"/>
        <v>#DIV/0!</v>
      </c>
      <c r="H457" s="113" t="e">
        <f t="shared" si="798"/>
        <v>#DIV/0!</v>
      </c>
      <c r="I457" s="113" t="e">
        <f t="shared" si="798"/>
        <v>#DIV/0!</v>
      </c>
      <c r="J457" s="113" t="e">
        <f t="shared" si="798"/>
        <v>#DIV/0!</v>
      </c>
      <c r="K457" s="113" t="e">
        <f t="shared" si="798"/>
        <v>#DIV/0!</v>
      </c>
      <c r="L457" s="113" t="e">
        <f t="shared" si="798"/>
        <v>#DIV/0!</v>
      </c>
      <c r="M457" s="113" t="e">
        <f t="shared" si="798"/>
        <v>#DIV/0!</v>
      </c>
      <c r="N457" s="113" t="e">
        <f t="shared" si="798"/>
        <v>#DIV/0!</v>
      </c>
      <c r="O457" s="113" t="e">
        <f t="shared" si="798"/>
        <v>#DIV/0!</v>
      </c>
      <c r="P457" s="114" t="e">
        <f t="shared" si="798"/>
        <v>#DIV/0!</v>
      </c>
      <c r="Q457" s="115" t="e">
        <f t="shared" si="798"/>
        <v>#DIV/0!</v>
      </c>
      <c r="R457" s="116" t="e">
        <f t="shared" si="798"/>
        <v>#DIV/0!</v>
      </c>
      <c r="T457" s="91"/>
      <c r="U457" s="100"/>
      <c r="V457" s="111"/>
      <c r="W457" s="112" t="s">
        <v>103</v>
      </c>
      <c r="X457" s="113" t="e">
        <f>X455/X453</f>
        <v>#DIV/0!</v>
      </c>
      <c r="Y457" s="113" t="e">
        <f t="shared" ref="Y457:AK457" si="799">Y455/Y453</f>
        <v>#DIV/0!</v>
      </c>
      <c r="Z457" s="113" t="e">
        <f t="shared" si="799"/>
        <v>#DIV/0!</v>
      </c>
      <c r="AA457" s="113" t="e">
        <f t="shared" si="799"/>
        <v>#DIV/0!</v>
      </c>
      <c r="AB457" s="113" t="e">
        <f t="shared" si="799"/>
        <v>#DIV/0!</v>
      </c>
      <c r="AC457" s="113" t="e">
        <f t="shared" si="799"/>
        <v>#DIV/0!</v>
      </c>
      <c r="AD457" s="113" t="e">
        <f t="shared" si="799"/>
        <v>#DIV/0!</v>
      </c>
      <c r="AE457" s="113" t="e">
        <f t="shared" si="799"/>
        <v>#DIV/0!</v>
      </c>
      <c r="AF457" s="113" t="e">
        <f t="shared" si="799"/>
        <v>#DIV/0!</v>
      </c>
      <c r="AG457" s="113" t="e">
        <f t="shared" si="799"/>
        <v>#DIV/0!</v>
      </c>
      <c r="AH457" s="113" t="e">
        <f t="shared" si="799"/>
        <v>#DIV/0!</v>
      </c>
      <c r="AI457" s="114" t="e">
        <f t="shared" si="799"/>
        <v>#DIV/0!</v>
      </c>
      <c r="AJ457" s="115" t="e">
        <f t="shared" si="799"/>
        <v>#DIV/0!</v>
      </c>
      <c r="AK457" s="116" t="e">
        <f t="shared" si="799"/>
        <v>#DIV/0!</v>
      </c>
    </row>
    <row r="458" spans="1:38" ht="15.6" hidden="1" thickBot="1">
      <c r="A458" s="91"/>
      <c r="B458" s="100"/>
      <c r="C458" s="86"/>
      <c r="D458" s="87">
        <v>2019</v>
      </c>
      <c r="E458" s="88"/>
      <c r="F458" s="121"/>
      <c r="G458" s="121"/>
      <c r="H458" s="121"/>
      <c r="I458" s="121"/>
      <c r="J458" s="121"/>
      <c r="K458" s="121"/>
      <c r="L458" s="121"/>
      <c r="M458" s="122"/>
      <c r="N458" s="122"/>
      <c r="O458" s="122"/>
      <c r="P458" s="123"/>
      <c r="Q458" s="89">
        <f t="shared" ref="Q458:Q460" si="800">SUM(E458:P458)</f>
        <v>0</v>
      </c>
      <c r="R458" s="90">
        <f t="shared" ref="R458" si="801">SUM(E458:M458)</f>
        <v>0</v>
      </c>
      <c r="T458" s="91"/>
      <c r="U458" s="100"/>
      <c r="V458" s="86">
        <f t="shared" ref="V458:V459" si="802">C458</f>
        <v>0</v>
      </c>
      <c r="W458" s="87">
        <v>2019</v>
      </c>
      <c r="X458" s="88"/>
      <c r="Y458" s="121"/>
      <c r="Z458" s="121"/>
      <c r="AA458" s="121"/>
      <c r="AB458" s="121"/>
      <c r="AC458" s="121"/>
      <c r="AD458" s="121"/>
      <c r="AE458" s="121"/>
      <c r="AF458" s="122"/>
      <c r="AG458" s="122"/>
      <c r="AH458" s="122"/>
      <c r="AI458" s="123"/>
      <c r="AJ458" s="89">
        <f t="shared" ref="AJ458:AJ460" si="803">SUM(X458:AI458)</f>
        <v>0</v>
      </c>
      <c r="AK458" s="90">
        <f t="shared" ref="AK458:AK460" si="804">SUM(X458:AF458)</f>
        <v>0</v>
      </c>
    </row>
    <row r="459" spans="1:38" ht="15.6" hidden="1" thickBot="1">
      <c r="A459" s="91"/>
      <c r="B459" s="100"/>
      <c r="C459" s="92"/>
      <c r="D459" s="93" t="s">
        <v>92</v>
      </c>
      <c r="E459" s="94"/>
      <c r="F459" s="97"/>
      <c r="G459" s="97"/>
      <c r="H459" s="97"/>
      <c r="I459" s="97"/>
      <c r="J459" s="97"/>
      <c r="K459" s="97"/>
      <c r="L459" s="97"/>
      <c r="M459" s="98"/>
      <c r="N459" s="98"/>
      <c r="O459" s="98"/>
      <c r="P459" s="99"/>
      <c r="Q459" s="95">
        <f t="shared" si="800"/>
        <v>0</v>
      </c>
      <c r="R459" s="96">
        <f t="shared" si="693"/>
        <v>0</v>
      </c>
      <c r="T459" s="91"/>
      <c r="U459" s="100"/>
      <c r="V459" s="92">
        <f t="shared" si="802"/>
        <v>0</v>
      </c>
      <c r="W459" s="93" t="s">
        <v>92</v>
      </c>
      <c r="X459" s="94"/>
      <c r="Y459" s="97"/>
      <c r="Z459" s="97"/>
      <c r="AA459" s="97"/>
      <c r="AB459" s="97"/>
      <c r="AC459" s="97"/>
      <c r="AD459" s="97"/>
      <c r="AE459" s="97"/>
      <c r="AF459" s="98"/>
      <c r="AG459" s="98"/>
      <c r="AH459" s="98"/>
      <c r="AI459" s="99"/>
      <c r="AJ459" s="95">
        <f t="shared" si="803"/>
        <v>0</v>
      </c>
      <c r="AK459" s="96">
        <f t="shared" si="804"/>
        <v>0</v>
      </c>
    </row>
    <row r="460" spans="1:38" ht="15.6" hidden="1" thickBot="1">
      <c r="A460" s="91"/>
      <c r="B460" s="100"/>
      <c r="C460" s="92"/>
      <c r="D460" s="101">
        <v>2020</v>
      </c>
      <c r="E460" s="102"/>
      <c r="F460" s="124"/>
      <c r="G460" s="124"/>
      <c r="H460" s="124"/>
      <c r="I460" s="124"/>
      <c r="J460" s="124"/>
      <c r="K460" s="124"/>
      <c r="L460" s="124"/>
      <c r="M460" s="125"/>
      <c r="N460" s="125"/>
      <c r="O460" s="125"/>
      <c r="P460" s="126"/>
      <c r="Q460" s="103">
        <f t="shared" si="800"/>
        <v>0</v>
      </c>
      <c r="R460" s="104">
        <f t="shared" si="693"/>
        <v>0</v>
      </c>
      <c r="S460" s="105"/>
      <c r="T460" s="91"/>
      <c r="U460" s="100"/>
      <c r="V460" s="92"/>
      <c r="W460" s="101">
        <v>2020</v>
      </c>
      <c r="X460" s="102"/>
      <c r="Y460" s="124"/>
      <c r="Z460" s="124"/>
      <c r="AA460" s="124"/>
      <c r="AB460" s="124"/>
      <c r="AC460" s="124"/>
      <c r="AD460" s="124"/>
      <c r="AE460" s="124"/>
      <c r="AF460" s="125"/>
      <c r="AG460" s="125"/>
      <c r="AH460" s="125"/>
      <c r="AI460" s="126"/>
      <c r="AJ460" s="103">
        <f t="shared" si="803"/>
        <v>0</v>
      </c>
      <c r="AK460" s="104">
        <f t="shared" si="804"/>
        <v>0</v>
      </c>
      <c r="AL460" s="105"/>
    </row>
    <row r="461" spans="1:38" ht="15.6" hidden="1" thickBot="1">
      <c r="A461" s="91"/>
      <c r="B461" s="100"/>
      <c r="C461" s="92"/>
      <c r="D461" s="101" t="s">
        <v>102</v>
      </c>
      <c r="E461" s="106" t="e">
        <f t="shared" ref="E461:R461" si="805">E460/E459</f>
        <v>#DIV/0!</v>
      </c>
      <c r="F461" s="106" t="e">
        <f t="shared" si="805"/>
        <v>#DIV/0!</v>
      </c>
      <c r="G461" s="106" t="e">
        <f t="shared" si="805"/>
        <v>#DIV/0!</v>
      </c>
      <c r="H461" s="106" t="e">
        <f t="shared" si="805"/>
        <v>#DIV/0!</v>
      </c>
      <c r="I461" s="106" t="e">
        <f t="shared" si="805"/>
        <v>#DIV/0!</v>
      </c>
      <c r="J461" s="106" t="e">
        <f t="shared" si="805"/>
        <v>#DIV/0!</v>
      </c>
      <c r="K461" s="106" t="e">
        <f t="shared" si="805"/>
        <v>#DIV/0!</v>
      </c>
      <c r="L461" s="106" t="e">
        <f t="shared" si="805"/>
        <v>#DIV/0!</v>
      </c>
      <c r="M461" s="107" t="e">
        <f t="shared" si="805"/>
        <v>#DIV/0!</v>
      </c>
      <c r="N461" s="107" t="e">
        <f t="shared" si="805"/>
        <v>#DIV/0!</v>
      </c>
      <c r="O461" s="107" t="e">
        <f t="shared" si="805"/>
        <v>#DIV/0!</v>
      </c>
      <c r="P461" s="108" t="e">
        <f t="shared" si="805"/>
        <v>#DIV/0!</v>
      </c>
      <c r="Q461" s="109" t="e">
        <f t="shared" si="805"/>
        <v>#DIV/0!</v>
      </c>
      <c r="R461" s="110" t="e">
        <f t="shared" si="805"/>
        <v>#DIV/0!</v>
      </c>
      <c r="S461" s="105"/>
      <c r="T461" s="91"/>
      <c r="U461" s="100"/>
      <c r="V461" s="92"/>
      <c r="W461" s="101" t="s">
        <v>102</v>
      </c>
      <c r="X461" s="106" t="e">
        <f t="shared" ref="X461:AK461" si="806">X460/X459</f>
        <v>#DIV/0!</v>
      </c>
      <c r="Y461" s="106" t="e">
        <f t="shared" si="806"/>
        <v>#DIV/0!</v>
      </c>
      <c r="Z461" s="106" t="e">
        <f t="shared" si="806"/>
        <v>#DIV/0!</v>
      </c>
      <c r="AA461" s="106" t="e">
        <f t="shared" si="806"/>
        <v>#DIV/0!</v>
      </c>
      <c r="AB461" s="106" t="e">
        <f t="shared" si="806"/>
        <v>#DIV/0!</v>
      </c>
      <c r="AC461" s="106" t="e">
        <f t="shared" si="806"/>
        <v>#DIV/0!</v>
      </c>
      <c r="AD461" s="106" t="e">
        <f t="shared" si="806"/>
        <v>#DIV/0!</v>
      </c>
      <c r="AE461" s="106" t="e">
        <f t="shared" si="806"/>
        <v>#DIV/0!</v>
      </c>
      <c r="AF461" s="107" t="e">
        <f t="shared" si="806"/>
        <v>#DIV/0!</v>
      </c>
      <c r="AG461" s="107" t="e">
        <f t="shared" si="806"/>
        <v>#DIV/0!</v>
      </c>
      <c r="AH461" s="107" t="e">
        <f t="shared" si="806"/>
        <v>#DIV/0!</v>
      </c>
      <c r="AI461" s="108" t="e">
        <f t="shared" si="806"/>
        <v>#DIV/0!</v>
      </c>
      <c r="AJ461" s="109" t="e">
        <f t="shared" si="806"/>
        <v>#DIV/0!</v>
      </c>
      <c r="AK461" s="110" t="e">
        <f t="shared" si="806"/>
        <v>#DIV/0!</v>
      </c>
      <c r="AL461" s="105"/>
    </row>
    <row r="462" spans="1:38" ht="15.6" hidden="1" thickBot="1">
      <c r="A462" s="91"/>
      <c r="B462" s="100"/>
      <c r="C462" s="111"/>
      <c r="D462" s="112" t="s">
        <v>103</v>
      </c>
      <c r="E462" s="113" t="e">
        <f t="shared" ref="E462:R462" si="807">E460/E458</f>
        <v>#DIV/0!</v>
      </c>
      <c r="F462" s="113" t="e">
        <f t="shared" si="807"/>
        <v>#DIV/0!</v>
      </c>
      <c r="G462" s="113" t="e">
        <f t="shared" si="807"/>
        <v>#DIV/0!</v>
      </c>
      <c r="H462" s="113" t="e">
        <f t="shared" si="807"/>
        <v>#DIV/0!</v>
      </c>
      <c r="I462" s="113" t="e">
        <f t="shared" si="807"/>
        <v>#DIV/0!</v>
      </c>
      <c r="J462" s="113" t="e">
        <f t="shared" si="807"/>
        <v>#DIV/0!</v>
      </c>
      <c r="K462" s="113" t="e">
        <f t="shared" si="807"/>
        <v>#DIV/0!</v>
      </c>
      <c r="L462" s="113" t="e">
        <f t="shared" si="807"/>
        <v>#DIV/0!</v>
      </c>
      <c r="M462" s="113" t="e">
        <f t="shared" si="807"/>
        <v>#DIV/0!</v>
      </c>
      <c r="N462" s="113" t="e">
        <f t="shared" si="807"/>
        <v>#DIV/0!</v>
      </c>
      <c r="O462" s="113" t="e">
        <f t="shared" si="807"/>
        <v>#DIV/0!</v>
      </c>
      <c r="P462" s="114" t="e">
        <f t="shared" si="807"/>
        <v>#DIV/0!</v>
      </c>
      <c r="Q462" s="115" t="e">
        <f t="shared" si="807"/>
        <v>#DIV/0!</v>
      </c>
      <c r="R462" s="116" t="e">
        <f t="shared" si="807"/>
        <v>#DIV/0!</v>
      </c>
      <c r="T462" s="91"/>
      <c r="U462" s="100"/>
      <c r="V462" s="111"/>
      <c r="W462" s="112" t="s">
        <v>103</v>
      </c>
      <c r="X462" s="113" t="e">
        <f t="shared" ref="X462:AK462" si="808">X460/X458</f>
        <v>#DIV/0!</v>
      </c>
      <c r="Y462" s="113" t="e">
        <f t="shared" si="808"/>
        <v>#DIV/0!</v>
      </c>
      <c r="Z462" s="113" t="e">
        <f t="shared" si="808"/>
        <v>#DIV/0!</v>
      </c>
      <c r="AA462" s="113" t="e">
        <f t="shared" si="808"/>
        <v>#DIV/0!</v>
      </c>
      <c r="AB462" s="113" t="e">
        <f t="shared" si="808"/>
        <v>#DIV/0!</v>
      </c>
      <c r="AC462" s="113" t="e">
        <f t="shared" si="808"/>
        <v>#DIV/0!</v>
      </c>
      <c r="AD462" s="113" t="e">
        <f t="shared" si="808"/>
        <v>#DIV/0!</v>
      </c>
      <c r="AE462" s="113" t="e">
        <f t="shared" si="808"/>
        <v>#DIV/0!</v>
      </c>
      <c r="AF462" s="113" t="e">
        <f t="shared" si="808"/>
        <v>#DIV/0!</v>
      </c>
      <c r="AG462" s="113" t="e">
        <f t="shared" si="808"/>
        <v>#DIV/0!</v>
      </c>
      <c r="AH462" s="113" t="e">
        <f t="shared" si="808"/>
        <v>#DIV/0!</v>
      </c>
      <c r="AI462" s="114" t="e">
        <f t="shared" si="808"/>
        <v>#DIV/0!</v>
      </c>
      <c r="AJ462" s="115" t="e">
        <f t="shared" si="808"/>
        <v>#DIV/0!</v>
      </c>
      <c r="AK462" s="116" t="e">
        <f t="shared" si="808"/>
        <v>#DIV/0!</v>
      </c>
    </row>
    <row r="463" spans="1:38" ht="15.6" hidden="1" thickBot="1">
      <c r="A463" s="91"/>
      <c r="B463" s="100"/>
      <c r="C463" s="86"/>
      <c r="D463" s="87">
        <v>2019</v>
      </c>
      <c r="E463" s="88"/>
      <c r="F463" s="121"/>
      <c r="G463" s="121"/>
      <c r="H463" s="121"/>
      <c r="I463" s="121"/>
      <c r="J463" s="121"/>
      <c r="K463" s="121"/>
      <c r="L463" s="121"/>
      <c r="M463" s="122"/>
      <c r="N463" s="122"/>
      <c r="O463" s="122"/>
      <c r="P463" s="123"/>
      <c r="Q463" s="89">
        <f t="shared" ref="Q463:Q465" si="809">SUM(E463:P463)</f>
        <v>0</v>
      </c>
      <c r="R463" s="90">
        <f t="shared" ref="R463:R525" si="810">SUM(E463:M463)</f>
        <v>0</v>
      </c>
      <c r="T463" s="91"/>
      <c r="U463" s="100"/>
      <c r="V463" s="86">
        <f t="shared" ref="V463:V464" si="811">C463</f>
        <v>0</v>
      </c>
      <c r="W463" s="87">
        <v>2019</v>
      </c>
      <c r="X463" s="88"/>
      <c r="Y463" s="121"/>
      <c r="Z463" s="121"/>
      <c r="AA463" s="121"/>
      <c r="AB463" s="121"/>
      <c r="AC463" s="121"/>
      <c r="AD463" s="121"/>
      <c r="AE463" s="121"/>
      <c r="AF463" s="122"/>
      <c r="AG463" s="122"/>
      <c r="AH463" s="122"/>
      <c r="AI463" s="123"/>
      <c r="AJ463" s="89">
        <f t="shared" ref="AJ463:AJ465" si="812">SUM(X463:AI463)</f>
        <v>0</v>
      </c>
      <c r="AK463" s="90">
        <f t="shared" ref="AK463:AK465" si="813">SUM(X463:AF463)</f>
        <v>0</v>
      </c>
    </row>
    <row r="464" spans="1:38" ht="15.6" hidden="1" thickBot="1">
      <c r="A464" s="91"/>
      <c r="B464" s="100"/>
      <c r="C464" s="92"/>
      <c r="D464" s="93" t="s">
        <v>92</v>
      </c>
      <c r="E464" s="94"/>
      <c r="F464" s="97"/>
      <c r="G464" s="97"/>
      <c r="H464" s="97"/>
      <c r="I464" s="97"/>
      <c r="J464" s="97"/>
      <c r="K464" s="97"/>
      <c r="L464" s="97"/>
      <c r="M464" s="98"/>
      <c r="N464" s="98"/>
      <c r="O464" s="98"/>
      <c r="P464" s="99"/>
      <c r="Q464" s="95">
        <f t="shared" si="809"/>
        <v>0</v>
      </c>
      <c r="R464" s="96">
        <f t="shared" si="810"/>
        <v>0</v>
      </c>
      <c r="T464" s="91"/>
      <c r="U464" s="100"/>
      <c r="V464" s="92">
        <f t="shared" si="811"/>
        <v>0</v>
      </c>
      <c r="W464" s="93" t="s">
        <v>92</v>
      </c>
      <c r="X464" s="94"/>
      <c r="Y464" s="97"/>
      <c r="Z464" s="97"/>
      <c r="AA464" s="97"/>
      <c r="AB464" s="97"/>
      <c r="AC464" s="97"/>
      <c r="AD464" s="97"/>
      <c r="AE464" s="97"/>
      <c r="AF464" s="98"/>
      <c r="AG464" s="98"/>
      <c r="AH464" s="98"/>
      <c r="AI464" s="99"/>
      <c r="AJ464" s="95">
        <f t="shared" si="812"/>
        <v>0</v>
      </c>
      <c r="AK464" s="96">
        <f t="shared" si="813"/>
        <v>0</v>
      </c>
    </row>
    <row r="465" spans="1:38" ht="15.6" hidden="1" thickBot="1">
      <c r="A465" s="91"/>
      <c r="B465" s="100"/>
      <c r="C465" s="92"/>
      <c r="D465" s="101">
        <v>2020</v>
      </c>
      <c r="E465" s="102"/>
      <c r="F465" s="124"/>
      <c r="G465" s="124"/>
      <c r="H465" s="124"/>
      <c r="I465" s="124"/>
      <c r="J465" s="124"/>
      <c r="K465" s="124"/>
      <c r="L465" s="124"/>
      <c r="M465" s="125"/>
      <c r="N465" s="125"/>
      <c r="O465" s="125"/>
      <c r="P465" s="126"/>
      <c r="Q465" s="103">
        <f t="shared" si="809"/>
        <v>0</v>
      </c>
      <c r="R465" s="104">
        <f t="shared" si="810"/>
        <v>0</v>
      </c>
      <c r="S465" s="105"/>
      <c r="T465" s="91"/>
      <c r="U465" s="100"/>
      <c r="V465" s="92"/>
      <c r="W465" s="101">
        <v>2020</v>
      </c>
      <c r="X465" s="102"/>
      <c r="Y465" s="124"/>
      <c r="Z465" s="124"/>
      <c r="AA465" s="124"/>
      <c r="AB465" s="124"/>
      <c r="AC465" s="124"/>
      <c r="AD465" s="124"/>
      <c r="AE465" s="124"/>
      <c r="AF465" s="125"/>
      <c r="AG465" s="125"/>
      <c r="AH465" s="125"/>
      <c r="AI465" s="126"/>
      <c r="AJ465" s="103">
        <f t="shared" si="812"/>
        <v>0</v>
      </c>
      <c r="AK465" s="104">
        <f t="shared" si="813"/>
        <v>0</v>
      </c>
      <c r="AL465" s="105"/>
    </row>
    <row r="466" spans="1:38" ht="15.6" hidden="1" thickBot="1">
      <c r="A466" s="91"/>
      <c r="B466" s="100"/>
      <c r="C466" s="92"/>
      <c r="D466" s="101" t="s">
        <v>102</v>
      </c>
      <c r="E466" s="106" t="e">
        <f t="shared" ref="E466:R466" si="814">E465/E464</f>
        <v>#DIV/0!</v>
      </c>
      <c r="F466" s="106" t="e">
        <f t="shared" si="814"/>
        <v>#DIV/0!</v>
      </c>
      <c r="G466" s="106" t="e">
        <f t="shared" si="814"/>
        <v>#DIV/0!</v>
      </c>
      <c r="H466" s="106" t="e">
        <f t="shared" si="814"/>
        <v>#DIV/0!</v>
      </c>
      <c r="I466" s="106" t="e">
        <f t="shared" si="814"/>
        <v>#DIV/0!</v>
      </c>
      <c r="J466" s="106" t="e">
        <f t="shared" si="814"/>
        <v>#DIV/0!</v>
      </c>
      <c r="K466" s="106" t="e">
        <f t="shared" si="814"/>
        <v>#DIV/0!</v>
      </c>
      <c r="L466" s="106" t="e">
        <f t="shared" si="814"/>
        <v>#DIV/0!</v>
      </c>
      <c r="M466" s="107" t="e">
        <f t="shared" si="814"/>
        <v>#DIV/0!</v>
      </c>
      <c r="N466" s="107" t="e">
        <f t="shared" si="814"/>
        <v>#DIV/0!</v>
      </c>
      <c r="O466" s="107" t="e">
        <f t="shared" si="814"/>
        <v>#DIV/0!</v>
      </c>
      <c r="P466" s="108" t="e">
        <f t="shared" si="814"/>
        <v>#DIV/0!</v>
      </c>
      <c r="Q466" s="109" t="e">
        <f t="shared" si="814"/>
        <v>#DIV/0!</v>
      </c>
      <c r="R466" s="110" t="e">
        <f t="shared" si="814"/>
        <v>#DIV/0!</v>
      </c>
      <c r="S466" s="105"/>
      <c r="T466" s="91"/>
      <c r="U466" s="100"/>
      <c r="V466" s="92"/>
      <c r="W466" s="101" t="s">
        <v>102</v>
      </c>
      <c r="X466" s="106" t="e">
        <f t="shared" ref="X466:AK466" si="815">X465/X464</f>
        <v>#DIV/0!</v>
      </c>
      <c r="Y466" s="106" t="e">
        <f t="shared" si="815"/>
        <v>#DIV/0!</v>
      </c>
      <c r="Z466" s="106" t="e">
        <f t="shared" si="815"/>
        <v>#DIV/0!</v>
      </c>
      <c r="AA466" s="106" t="e">
        <f t="shared" si="815"/>
        <v>#DIV/0!</v>
      </c>
      <c r="AB466" s="106" t="e">
        <f t="shared" si="815"/>
        <v>#DIV/0!</v>
      </c>
      <c r="AC466" s="106" t="e">
        <f t="shared" si="815"/>
        <v>#DIV/0!</v>
      </c>
      <c r="AD466" s="106" t="e">
        <f t="shared" si="815"/>
        <v>#DIV/0!</v>
      </c>
      <c r="AE466" s="106" t="e">
        <f t="shared" si="815"/>
        <v>#DIV/0!</v>
      </c>
      <c r="AF466" s="107" t="e">
        <f t="shared" si="815"/>
        <v>#DIV/0!</v>
      </c>
      <c r="AG466" s="107" t="e">
        <f t="shared" si="815"/>
        <v>#DIV/0!</v>
      </c>
      <c r="AH466" s="107" t="e">
        <f t="shared" si="815"/>
        <v>#DIV/0!</v>
      </c>
      <c r="AI466" s="108" t="e">
        <f t="shared" si="815"/>
        <v>#DIV/0!</v>
      </c>
      <c r="AJ466" s="109" t="e">
        <f t="shared" si="815"/>
        <v>#DIV/0!</v>
      </c>
      <c r="AK466" s="110" t="e">
        <f t="shared" si="815"/>
        <v>#DIV/0!</v>
      </c>
      <c r="AL466" s="105"/>
    </row>
    <row r="467" spans="1:38" ht="15.6" hidden="1" thickBot="1">
      <c r="A467" s="91"/>
      <c r="B467" s="100"/>
      <c r="C467" s="111"/>
      <c r="D467" s="112" t="s">
        <v>103</v>
      </c>
      <c r="E467" s="113" t="e">
        <f t="shared" ref="E467:R467" si="816">E465/E463</f>
        <v>#DIV/0!</v>
      </c>
      <c r="F467" s="113" t="e">
        <f t="shared" si="816"/>
        <v>#DIV/0!</v>
      </c>
      <c r="G467" s="113" t="e">
        <f t="shared" si="816"/>
        <v>#DIV/0!</v>
      </c>
      <c r="H467" s="113" t="e">
        <f t="shared" si="816"/>
        <v>#DIV/0!</v>
      </c>
      <c r="I467" s="113" t="e">
        <f t="shared" si="816"/>
        <v>#DIV/0!</v>
      </c>
      <c r="J467" s="113" t="e">
        <f t="shared" si="816"/>
        <v>#DIV/0!</v>
      </c>
      <c r="K467" s="113" t="e">
        <f t="shared" si="816"/>
        <v>#DIV/0!</v>
      </c>
      <c r="L467" s="113" t="e">
        <f t="shared" si="816"/>
        <v>#DIV/0!</v>
      </c>
      <c r="M467" s="113" t="e">
        <f t="shared" si="816"/>
        <v>#DIV/0!</v>
      </c>
      <c r="N467" s="113" t="e">
        <f t="shared" si="816"/>
        <v>#DIV/0!</v>
      </c>
      <c r="O467" s="113" t="e">
        <f t="shared" si="816"/>
        <v>#DIV/0!</v>
      </c>
      <c r="P467" s="114" t="e">
        <f t="shared" si="816"/>
        <v>#DIV/0!</v>
      </c>
      <c r="Q467" s="115" t="e">
        <f t="shared" si="816"/>
        <v>#DIV/0!</v>
      </c>
      <c r="R467" s="116" t="e">
        <f t="shared" si="816"/>
        <v>#DIV/0!</v>
      </c>
      <c r="T467" s="91"/>
      <c r="U467" s="100"/>
      <c r="V467" s="111"/>
      <c r="W467" s="112" t="s">
        <v>103</v>
      </c>
      <c r="X467" s="113" t="e">
        <f t="shared" ref="X467:AK467" si="817">X465/X463</f>
        <v>#DIV/0!</v>
      </c>
      <c r="Y467" s="113" t="e">
        <f t="shared" si="817"/>
        <v>#DIV/0!</v>
      </c>
      <c r="Z467" s="113" t="e">
        <f t="shared" si="817"/>
        <v>#DIV/0!</v>
      </c>
      <c r="AA467" s="113" t="e">
        <f t="shared" si="817"/>
        <v>#DIV/0!</v>
      </c>
      <c r="AB467" s="113" t="e">
        <f t="shared" si="817"/>
        <v>#DIV/0!</v>
      </c>
      <c r="AC467" s="113" t="e">
        <f t="shared" si="817"/>
        <v>#DIV/0!</v>
      </c>
      <c r="AD467" s="113" t="e">
        <f t="shared" si="817"/>
        <v>#DIV/0!</v>
      </c>
      <c r="AE467" s="113" t="e">
        <f t="shared" si="817"/>
        <v>#DIV/0!</v>
      </c>
      <c r="AF467" s="113" t="e">
        <f t="shared" si="817"/>
        <v>#DIV/0!</v>
      </c>
      <c r="AG467" s="113" t="e">
        <f t="shared" si="817"/>
        <v>#DIV/0!</v>
      </c>
      <c r="AH467" s="113" t="e">
        <f t="shared" si="817"/>
        <v>#DIV/0!</v>
      </c>
      <c r="AI467" s="114" t="e">
        <f t="shared" si="817"/>
        <v>#DIV/0!</v>
      </c>
      <c r="AJ467" s="115" t="e">
        <f t="shared" si="817"/>
        <v>#DIV/0!</v>
      </c>
      <c r="AK467" s="116" t="e">
        <f t="shared" si="817"/>
        <v>#DIV/0!</v>
      </c>
    </row>
    <row r="468" spans="1:38" ht="15.6" hidden="1" thickBot="1">
      <c r="A468" s="91"/>
      <c r="B468" s="100"/>
      <c r="C468" s="86"/>
      <c r="D468" s="87">
        <v>2019</v>
      </c>
      <c r="E468" s="88"/>
      <c r="F468" s="121"/>
      <c r="G468" s="121"/>
      <c r="H468" s="121"/>
      <c r="I468" s="121"/>
      <c r="J468" s="121"/>
      <c r="K468" s="121"/>
      <c r="L468" s="121"/>
      <c r="M468" s="122"/>
      <c r="N468" s="122"/>
      <c r="O468" s="122"/>
      <c r="P468" s="123"/>
      <c r="Q468" s="89">
        <f t="shared" ref="Q468:Q470" si="818">SUM(E468:P468)</f>
        <v>0</v>
      </c>
      <c r="R468" s="90">
        <f t="shared" ref="R468" si="819">SUM(E468:M468)</f>
        <v>0</v>
      </c>
      <c r="T468" s="91"/>
      <c r="U468" s="100"/>
      <c r="V468" s="86">
        <f t="shared" ref="V468:V469" si="820">C468</f>
        <v>0</v>
      </c>
      <c r="W468" s="87">
        <v>2019</v>
      </c>
      <c r="X468" s="88"/>
      <c r="Y468" s="121"/>
      <c r="Z468" s="121"/>
      <c r="AA468" s="121"/>
      <c r="AB468" s="121"/>
      <c r="AC468" s="121"/>
      <c r="AD468" s="121"/>
      <c r="AE468" s="121"/>
      <c r="AF468" s="122"/>
      <c r="AG468" s="122"/>
      <c r="AH468" s="122"/>
      <c r="AI468" s="123"/>
      <c r="AJ468" s="89">
        <f t="shared" ref="AJ468:AJ470" si="821">SUM(X468:AI468)</f>
        <v>0</v>
      </c>
      <c r="AK468" s="90">
        <f t="shared" ref="AK468:AK470" si="822">SUM(X468:AF468)</f>
        <v>0</v>
      </c>
    </row>
    <row r="469" spans="1:38" ht="15.6" hidden="1" thickBot="1">
      <c r="A469" s="91"/>
      <c r="B469" s="100"/>
      <c r="C469" s="92"/>
      <c r="D469" s="93" t="s">
        <v>92</v>
      </c>
      <c r="E469" s="94"/>
      <c r="F469" s="97"/>
      <c r="G469" s="97"/>
      <c r="H469" s="97"/>
      <c r="I469" s="97"/>
      <c r="J469" s="97"/>
      <c r="K469" s="97"/>
      <c r="L469" s="97"/>
      <c r="M469" s="98"/>
      <c r="N469" s="98"/>
      <c r="O469" s="98"/>
      <c r="P469" s="99"/>
      <c r="Q469" s="95">
        <f t="shared" si="818"/>
        <v>0</v>
      </c>
      <c r="R469" s="96">
        <f t="shared" si="810"/>
        <v>0</v>
      </c>
      <c r="T469" s="91"/>
      <c r="U469" s="100"/>
      <c r="V469" s="92">
        <f t="shared" si="820"/>
        <v>0</v>
      </c>
      <c r="W469" s="93" t="s">
        <v>92</v>
      </c>
      <c r="X469" s="94"/>
      <c r="Y469" s="97"/>
      <c r="Z469" s="97"/>
      <c r="AA469" s="97"/>
      <c r="AB469" s="97"/>
      <c r="AC469" s="97"/>
      <c r="AD469" s="97"/>
      <c r="AE469" s="97"/>
      <c r="AF469" s="98"/>
      <c r="AG469" s="98"/>
      <c r="AH469" s="98"/>
      <c r="AI469" s="99"/>
      <c r="AJ469" s="95">
        <f t="shared" si="821"/>
        <v>0</v>
      </c>
      <c r="AK469" s="96">
        <f t="shared" si="822"/>
        <v>0</v>
      </c>
    </row>
    <row r="470" spans="1:38" ht="15.6" hidden="1" thickBot="1">
      <c r="A470" s="91"/>
      <c r="B470" s="100"/>
      <c r="C470" s="92"/>
      <c r="D470" s="101">
        <v>2020</v>
      </c>
      <c r="E470" s="102"/>
      <c r="F470" s="124"/>
      <c r="G470" s="124"/>
      <c r="H470" s="124"/>
      <c r="I470" s="124"/>
      <c r="J470" s="124"/>
      <c r="K470" s="124"/>
      <c r="L470" s="124"/>
      <c r="M470" s="125"/>
      <c r="N470" s="125"/>
      <c r="O470" s="125"/>
      <c r="P470" s="126"/>
      <c r="Q470" s="103">
        <f t="shared" si="818"/>
        <v>0</v>
      </c>
      <c r="R470" s="104">
        <f t="shared" si="810"/>
        <v>0</v>
      </c>
      <c r="S470" s="105"/>
      <c r="T470" s="91"/>
      <c r="U470" s="100"/>
      <c r="V470" s="92"/>
      <c r="W470" s="101">
        <v>2020</v>
      </c>
      <c r="X470" s="102"/>
      <c r="Y470" s="124"/>
      <c r="Z470" s="124"/>
      <c r="AA470" s="124"/>
      <c r="AB470" s="124"/>
      <c r="AC470" s="124"/>
      <c r="AD470" s="124"/>
      <c r="AE470" s="124"/>
      <c r="AF470" s="125"/>
      <c r="AG470" s="125"/>
      <c r="AH470" s="125"/>
      <c r="AI470" s="126"/>
      <c r="AJ470" s="103">
        <f t="shared" si="821"/>
        <v>0</v>
      </c>
      <c r="AK470" s="104">
        <f t="shared" si="822"/>
        <v>0</v>
      </c>
      <c r="AL470" s="105"/>
    </row>
    <row r="471" spans="1:38" ht="15.6" hidden="1" thickBot="1">
      <c r="A471" s="91"/>
      <c r="B471" s="100"/>
      <c r="C471" s="92"/>
      <c r="D471" s="101" t="s">
        <v>102</v>
      </c>
      <c r="E471" s="106" t="e">
        <f t="shared" ref="E471:R471" si="823">E470/E469</f>
        <v>#DIV/0!</v>
      </c>
      <c r="F471" s="106" t="e">
        <f t="shared" si="823"/>
        <v>#DIV/0!</v>
      </c>
      <c r="G471" s="106" t="e">
        <f t="shared" si="823"/>
        <v>#DIV/0!</v>
      </c>
      <c r="H471" s="106" t="e">
        <f t="shared" si="823"/>
        <v>#DIV/0!</v>
      </c>
      <c r="I471" s="106" t="e">
        <f t="shared" si="823"/>
        <v>#DIV/0!</v>
      </c>
      <c r="J471" s="106" t="e">
        <f t="shared" si="823"/>
        <v>#DIV/0!</v>
      </c>
      <c r="K471" s="106" t="e">
        <f t="shared" si="823"/>
        <v>#DIV/0!</v>
      </c>
      <c r="L471" s="106" t="e">
        <f t="shared" si="823"/>
        <v>#DIV/0!</v>
      </c>
      <c r="M471" s="107" t="e">
        <f t="shared" si="823"/>
        <v>#DIV/0!</v>
      </c>
      <c r="N471" s="107" t="e">
        <f t="shared" si="823"/>
        <v>#DIV/0!</v>
      </c>
      <c r="O471" s="107" t="e">
        <f t="shared" si="823"/>
        <v>#DIV/0!</v>
      </c>
      <c r="P471" s="108" t="e">
        <f t="shared" si="823"/>
        <v>#DIV/0!</v>
      </c>
      <c r="Q471" s="109" t="e">
        <f t="shared" si="823"/>
        <v>#DIV/0!</v>
      </c>
      <c r="R471" s="110" t="e">
        <f t="shared" si="823"/>
        <v>#DIV/0!</v>
      </c>
      <c r="S471" s="105"/>
      <c r="T471" s="91"/>
      <c r="U471" s="100"/>
      <c r="V471" s="92"/>
      <c r="W471" s="101" t="s">
        <v>102</v>
      </c>
      <c r="X471" s="106" t="e">
        <f t="shared" ref="X471:AK471" si="824">X470/X469</f>
        <v>#DIV/0!</v>
      </c>
      <c r="Y471" s="106" t="e">
        <f t="shared" si="824"/>
        <v>#DIV/0!</v>
      </c>
      <c r="Z471" s="106" t="e">
        <f t="shared" si="824"/>
        <v>#DIV/0!</v>
      </c>
      <c r="AA471" s="106" t="e">
        <f t="shared" si="824"/>
        <v>#DIV/0!</v>
      </c>
      <c r="AB471" s="106" t="e">
        <f t="shared" si="824"/>
        <v>#DIV/0!</v>
      </c>
      <c r="AC471" s="106" t="e">
        <f t="shared" si="824"/>
        <v>#DIV/0!</v>
      </c>
      <c r="AD471" s="106" t="e">
        <f t="shared" si="824"/>
        <v>#DIV/0!</v>
      </c>
      <c r="AE471" s="106" t="e">
        <f t="shared" si="824"/>
        <v>#DIV/0!</v>
      </c>
      <c r="AF471" s="107" t="e">
        <f t="shared" si="824"/>
        <v>#DIV/0!</v>
      </c>
      <c r="AG471" s="107" t="e">
        <f t="shared" si="824"/>
        <v>#DIV/0!</v>
      </c>
      <c r="AH471" s="107" t="e">
        <f t="shared" si="824"/>
        <v>#DIV/0!</v>
      </c>
      <c r="AI471" s="108" t="e">
        <f t="shared" si="824"/>
        <v>#DIV/0!</v>
      </c>
      <c r="AJ471" s="109" t="e">
        <f t="shared" si="824"/>
        <v>#DIV/0!</v>
      </c>
      <c r="AK471" s="110" t="e">
        <f t="shared" si="824"/>
        <v>#DIV/0!</v>
      </c>
      <c r="AL471" s="105"/>
    </row>
    <row r="472" spans="1:38" ht="15.6" hidden="1" thickBot="1">
      <c r="A472" s="91"/>
      <c r="B472" s="100"/>
      <c r="C472" s="111"/>
      <c r="D472" s="112" t="s">
        <v>103</v>
      </c>
      <c r="E472" s="113" t="e">
        <f t="shared" ref="E472:R472" si="825">E470/E468</f>
        <v>#DIV/0!</v>
      </c>
      <c r="F472" s="113" t="e">
        <f t="shared" si="825"/>
        <v>#DIV/0!</v>
      </c>
      <c r="G472" s="113" t="e">
        <f t="shared" si="825"/>
        <v>#DIV/0!</v>
      </c>
      <c r="H472" s="113" t="e">
        <f t="shared" si="825"/>
        <v>#DIV/0!</v>
      </c>
      <c r="I472" s="113" t="e">
        <f t="shared" si="825"/>
        <v>#DIV/0!</v>
      </c>
      <c r="J472" s="113" t="e">
        <f t="shared" si="825"/>
        <v>#DIV/0!</v>
      </c>
      <c r="K472" s="113" t="e">
        <f t="shared" si="825"/>
        <v>#DIV/0!</v>
      </c>
      <c r="L472" s="113" t="e">
        <f t="shared" si="825"/>
        <v>#DIV/0!</v>
      </c>
      <c r="M472" s="113" t="e">
        <f t="shared" si="825"/>
        <v>#DIV/0!</v>
      </c>
      <c r="N472" s="113" t="e">
        <f t="shared" si="825"/>
        <v>#DIV/0!</v>
      </c>
      <c r="O472" s="113" t="e">
        <f t="shared" si="825"/>
        <v>#DIV/0!</v>
      </c>
      <c r="P472" s="114" t="e">
        <f t="shared" si="825"/>
        <v>#DIV/0!</v>
      </c>
      <c r="Q472" s="115" t="e">
        <f t="shared" si="825"/>
        <v>#DIV/0!</v>
      </c>
      <c r="R472" s="116" t="e">
        <f t="shared" si="825"/>
        <v>#DIV/0!</v>
      </c>
      <c r="T472" s="91"/>
      <c r="U472" s="100"/>
      <c r="V472" s="111"/>
      <c r="W472" s="112" t="s">
        <v>103</v>
      </c>
      <c r="X472" s="113" t="e">
        <f t="shared" ref="X472:AK472" si="826">X470/X468</f>
        <v>#DIV/0!</v>
      </c>
      <c r="Y472" s="113" t="e">
        <f t="shared" si="826"/>
        <v>#DIV/0!</v>
      </c>
      <c r="Z472" s="113" t="e">
        <f t="shared" si="826"/>
        <v>#DIV/0!</v>
      </c>
      <c r="AA472" s="113" t="e">
        <f t="shared" si="826"/>
        <v>#DIV/0!</v>
      </c>
      <c r="AB472" s="113" t="e">
        <f t="shared" si="826"/>
        <v>#DIV/0!</v>
      </c>
      <c r="AC472" s="113" t="e">
        <f t="shared" si="826"/>
        <v>#DIV/0!</v>
      </c>
      <c r="AD472" s="113" t="e">
        <f t="shared" si="826"/>
        <v>#DIV/0!</v>
      </c>
      <c r="AE472" s="113" t="e">
        <f t="shared" si="826"/>
        <v>#DIV/0!</v>
      </c>
      <c r="AF472" s="113" t="e">
        <f t="shared" si="826"/>
        <v>#DIV/0!</v>
      </c>
      <c r="AG472" s="113" t="e">
        <f t="shared" si="826"/>
        <v>#DIV/0!</v>
      </c>
      <c r="AH472" s="113" t="e">
        <f t="shared" si="826"/>
        <v>#DIV/0!</v>
      </c>
      <c r="AI472" s="114" t="e">
        <f t="shared" si="826"/>
        <v>#DIV/0!</v>
      </c>
      <c r="AJ472" s="115" t="e">
        <f t="shared" si="826"/>
        <v>#DIV/0!</v>
      </c>
      <c r="AK472" s="116" t="e">
        <f t="shared" si="826"/>
        <v>#DIV/0!</v>
      </c>
    </row>
    <row r="473" spans="1:38" ht="15.6" hidden="1" thickBot="1">
      <c r="A473" s="91"/>
      <c r="B473" s="100"/>
      <c r="C473" s="86"/>
      <c r="D473" s="87">
        <v>2019</v>
      </c>
      <c r="E473" s="88"/>
      <c r="F473" s="121"/>
      <c r="G473" s="121"/>
      <c r="H473" s="121"/>
      <c r="I473" s="121"/>
      <c r="J473" s="121"/>
      <c r="K473" s="121"/>
      <c r="L473" s="121"/>
      <c r="M473" s="122"/>
      <c r="N473" s="122"/>
      <c r="O473" s="122"/>
      <c r="P473" s="123"/>
      <c r="Q473" s="89">
        <f t="shared" ref="Q473:Q475" si="827">SUM(E473:P473)</f>
        <v>0</v>
      </c>
      <c r="R473" s="90">
        <f t="shared" ref="R473" si="828">SUM(E473:M473)</f>
        <v>0</v>
      </c>
      <c r="T473" s="91"/>
      <c r="U473" s="100"/>
      <c r="V473" s="86">
        <f t="shared" ref="V473:V474" si="829">C473</f>
        <v>0</v>
      </c>
      <c r="W473" s="87">
        <v>2019</v>
      </c>
      <c r="X473" s="88"/>
      <c r="Y473" s="121"/>
      <c r="Z473" s="121"/>
      <c r="AA473" s="121"/>
      <c r="AB473" s="121"/>
      <c r="AC473" s="121"/>
      <c r="AD473" s="121"/>
      <c r="AE473" s="121"/>
      <c r="AF473" s="122"/>
      <c r="AG473" s="122"/>
      <c r="AH473" s="122"/>
      <c r="AI473" s="123"/>
      <c r="AJ473" s="89">
        <f t="shared" ref="AJ473:AJ475" si="830">SUM(X473:AI473)</f>
        <v>0</v>
      </c>
      <c r="AK473" s="90">
        <f t="shared" ref="AK473:AK475" si="831">SUM(X473:AF473)</f>
        <v>0</v>
      </c>
    </row>
    <row r="474" spans="1:38" ht="15.6" hidden="1" thickBot="1">
      <c r="A474" s="91"/>
      <c r="B474" s="100"/>
      <c r="C474" s="92"/>
      <c r="D474" s="93" t="s">
        <v>92</v>
      </c>
      <c r="E474" s="94"/>
      <c r="F474" s="97"/>
      <c r="G474" s="97"/>
      <c r="H474" s="97"/>
      <c r="I474" s="97"/>
      <c r="J474" s="97"/>
      <c r="K474" s="97"/>
      <c r="L474" s="97"/>
      <c r="M474" s="98"/>
      <c r="N474" s="98"/>
      <c r="O474" s="98"/>
      <c r="P474" s="99"/>
      <c r="Q474" s="95">
        <f t="shared" si="827"/>
        <v>0</v>
      </c>
      <c r="R474" s="96">
        <f t="shared" si="810"/>
        <v>0</v>
      </c>
      <c r="T474" s="91"/>
      <c r="U474" s="100"/>
      <c r="V474" s="92">
        <f t="shared" si="829"/>
        <v>0</v>
      </c>
      <c r="W474" s="93" t="s">
        <v>92</v>
      </c>
      <c r="X474" s="94"/>
      <c r="Y474" s="97"/>
      <c r="Z474" s="97"/>
      <c r="AA474" s="97"/>
      <c r="AB474" s="97"/>
      <c r="AC474" s="97"/>
      <c r="AD474" s="97"/>
      <c r="AE474" s="97"/>
      <c r="AF474" s="98"/>
      <c r="AG474" s="98"/>
      <c r="AH474" s="98"/>
      <c r="AI474" s="99"/>
      <c r="AJ474" s="95">
        <f t="shared" si="830"/>
        <v>0</v>
      </c>
      <c r="AK474" s="96">
        <f t="shared" si="831"/>
        <v>0</v>
      </c>
    </row>
    <row r="475" spans="1:38" ht="15.6" hidden="1" thickBot="1">
      <c r="A475" s="91"/>
      <c r="B475" s="100"/>
      <c r="C475" s="92"/>
      <c r="D475" s="101">
        <v>2020</v>
      </c>
      <c r="E475" s="102"/>
      <c r="F475" s="124"/>
      <c r="G475" s="124"/>
      <c r="H475" s="124"/>
      <c r="I475" s="124"/>
      <c r="J475" s="124"/>
      <c r="K475" s="124"/>
      <c r="L475" s="124"/>
      <c r="M475" s="125"/>
      <c r="N475" s="125"/>
      <c r="O475" s="125"/>
      <c r="P475" s="126"/>
      <c r="Q475" s="103">
        <f t="shared" si="827"/>
        <v>0</v>
      </c>
      <c r="R475" s="104">
        <f t="shared" si="810"/>
        <v>0</v>
      </c>
      <c r="S475" s="105"/>
      <c r="T475" s="91"/>
      <c r="U475" s="100"/>
      <c r="V475" s="92"/>
      <c r="W475" s="101">
        <v>2020</v>
      </c>
      <c r="X475" s="102"/>
      <c r="Y475" s="124"/>
      <c r="Z475" s="124"/>
      <c r="AA475" s="124"/>
      <c r="AB475" s="124"/>
      <c r="AC475" s="124"/>
      <c r="AD475" s="124"/>
      <c r="AE475" s="124"/>
      <c r="AF475" s="125"/>
      <c r="AG475" s="125"/>
      <c r="AH475" s="125"/>
      <c r="AI475" s="126"/>
      <c r="AJ475" s="103">
        <f t="shared" si="830"/>
        <v>0</v>
      </c>
      <c r="AK475" s="104">
        <f t="shared" si="831"/>
        <v>0</v>
      </c>
      <c r="AL475" s="105"/>
    </row>
    <row r="476" spans="1:38" ht="15.6" hidden="1" thickBot="1">
      <c r="A476" s="91"/>
      <c r="B476" s="100"/>
      <c r="C476" s="92"/>
      <c r="D476" s="101" t="s">
        <v>102</v>
      </c>
      <c r="E476" s="106" t="e">
        <f t="shared" ref="E476:R476" si="832">E475/E474</f>
        <v>#DIV/0!</v>
      </c>
      <c r="F476" s="106" t="e">
        <f t="shared" si="832"/>
        <v>#DIV/0!</v>
      </c>
      <c r="G476" s="106" t="e">
        <f t="shared" si="832"/>
        <v>#DIV/0!</v>
      </c>
      <c r="H476" s="106" t="e">
        <f t="shared" si="832"/>
        <v>#DIV/0!</v>
      </c>
      <c r="I476" s="106" t="e">
        <f t="shared" si="832"/>
        <v>#DIV/0!</v>
      </c>
      <c r="J476" s="106" t="e">
        <f t="shared" si="832"/>
        <v>#DIV/0!</v>
      </c>
      <c r="K476" s="106" t="e">
        <f t="shared" si="832"/>
        <v>#DIV/0!</v>
      </c>
      <c r="L476" s="106" t="e">
        <f t="shared" si="832"/>
        <v>#DIV/0!</v>
      </c>
      <c r="M476" s="107" t="e">
        <f t="shared" si="832"/>
        <v>#DIV/0!</v>
      </c>
      <c r="N476" s="107" t="e">
        <f t="shared" si="832"/>
        <v>#DIV/0!</v>
      </c>
      <c r="O476" s="107" t="e">
        <f t="shared" si="832"/>
        <v>#DIV/0!</v>
      </c>
      <c r="P476" s="108" t="e">
        <f t="shared" si="832"/>
        <v>#DIV/0!</v>
      </c>
      <c r="Q476" s="109" t="e">
        <f t="shared" si="832"/>
        <v>#DIV/0!</v>
      </c>
      <c r="R476" s="110" t="e">
        <f t="shared" si="832"/>
        <v>#DIV/0!</v>
      </c>
      <c r="S476" s="105"/>
      <c r="T476" s="91"/>
      <c r="U476" s="100"/>
      <c r="V476" s="92"/>
      <c r="W476" s="101" t="s">
        <v>102</v>
      </c>
      <c r="X476" s="106" t="e">
        <f t="shared" ref="X476:AK476" si="833">X475/X474</f>
        <v>#DIV/0!</v>
      </c>
      <c r="Y476" s="106" t="e">
        <f t="shared" si="833"/>
        <v>#DIV/0!</v>
      </c>
      <c r="Z476" s="106" t="e">
        <f t="shared" si="833"/>
        <v>#DIV/0!</v>
      </c>
      <c r="AA476" s="106" t="e">
        <f t="shared" si="833"/>
        <v>#DIV/0!</v>
      </c>
      <c r="AB476" s="106" t="e">
        <f t="shared" si="833"/>
        <v>#DIV/0!</v>
      </c>
      <c r="AC476" s="106" t="e">
        <f t="shared" si="833"/>
        <v>#DIV/0!</v>
      </c>
      <c r="AD476" s="106" t="e">
        <f t="shared" si="833"/>
        <v>#DIV/0!</v>
      </c>
      <c r="AE476" s="106" t="e">
        <f t="shared" si="833"/>
        <v>#DIV/0!</v>
      </c>
      <c r="AF476" s="107" t="e">
        <f t="shared" si="833"/>
        <v>#DIV/0!</v>
      </c>
      <c r="AG476" s="107" t="e">
        <f t="shared" si="833"/>
        <v>#DIV/0!</v>
      </c>
      <c r="AH476" s="107" t="e">
        <f t="shared" si="833"/>
        <v>#DIV/0!</v>
      </c>
      <c r="AI476" s="108" t="e">
        <f t="shared" si="833"/>
        <v>#DIV/0!</v>
      </c>
      <c r="AJ476" s="109" t="e">
        <f t="shared" si="833"/>
        <v>#DIV/0!</v>
      </c>
      <c r="AK476" s="110" t="e">
        <f t="shared" si="833"/>
        <v>#DIV/0!</v>
      </c>
      <c r="AL476" s="105"/>
    </row>
    <row r="477" spans="1:38" ht="15.6" hidden="1" thickBot="1">
      <c r="A477" s="91"/>
      <c r="B477" s="100"/>
      <c r="C477" s="111"/>
      <c r="D477" s="112" t="s">
        <v>103</v>
      </c>
      <c r="E477" s="113" t="e">
        <f t="shared" ref="E477:R477" si="834">E475/E473</f>
        <v>#DIV/0!</v>
      </c>
      <c r="F477" s="113" t="e">
        <f t="shared" si="834"/>
        <v>#DIV/0!</v>
      </c>
      <c r="G477" s="113" t="e">
        <f t="shared" si="834"/>
        <v>#DIV/0!</v>
      </c>
      <c r="H477" s="113" t="e">
        <f t="shared" si="834"/>
        <v>#DIV/0!</v>
      </c>
      <c r="I477" s="113" t="e">
        <f t="shared" si="834"/>
        <v>#DIV/0!</v>
      </c>
      <c r="J477" s="113" t="e">
        <f t="shared" si="834"/>
        <v>#DIV/0!</v>
      </c>
      <c r="K477" s="113" t="e">
        <f t="shared" si="834"/>
        <v>#DIV/0!</v>
      </c>
      <c r="L477" s="113" t="e">
        <f t="shared" si="834"/>
        <v>#DIV/0!</v>
      </c>
      <c r="M477" s="113" t="e">
        <f t="shared" si="834"/>
        <v>#DIV/0!</v>
      </c>
      <c r="N477" s="113" t="e">
        <f t="shared" si="834"/>
        <v>#DIV/0!</v>
      </c>
      <c r="O477" s="113" t="e">
        <f t="shared" si="834"/>
        <v>#DIV/0!</v>
      </c>
      <c r="P477" s="114" t="e">
        <f t="shared" si="834"/>
        <v>#DIV/0!</v>
      </c>
      <c r="Q477" s="115" t="e">
        <f t="shared" si="834"/>
        <v>#DIV/0!</v>
      </c>
      <c r="R477" s="116" t="e">
        <f t="shared" si="834"/>
        <v>#DIV/0!</v>
      </c>
      <c r="T477" s="91"/>
      <c r="U477" s="100"/>
      <c r="V477" s="111"/>
      <c r="W477" s="112" t="s">
        <v>103</v>
      </c>
      <c r="X477" s="113" t="e">
        <f t="shared" ref="X477:AK477" si="835">X475/X473</f>
        <v>#DIV/0!</v>
      </c>
      <c r="Y477" s="113" t="e">
        <f t="shared" si="835"/>
        <v>#DIV/0!</v>
      </c>
      <c r="Z477" s="113" t="e">
        <f t="shared" si="835"/>
        <v>#DIV/0!</v>
      </c>
      <c r="AA477" s="113" t="e">
        <f t="shared" si="835"/>
        <v>#DIV/0!</v>
      </c>
      <c r="AB477" s="113" t="e">
        <f t="shared" si="835"/>
        <v>#DIV/0!</v>
      </c>
      <c r="AC477" s="113" t="e">
        <f t="shared" si="835"/>
        <v>#DIV/0!</v>
      </c>
      <c r="AD477" s="113" t="e">
        <f t="shared" si="835"/>
        <v>#DIV/0!</v>
      </c>
      <c r="AE477" s="113" t="e">
        <f t="shared" si="835"/>
        <v>#DIV/0!</v>
      </c>
      <c r="AF477" s="113" t="e">
        <f t="shared" si="835"/>
        <v>#DIV/0!</v>
      </c>
      <c r="AG477" s="113" t="e">
        <f t="shared" si="835"/>
        <v>#DIV/0!</v>
      </c>
      <c r="AH477" s="113" t="e">
        <f t="shared" si="835"/>
        <v>#DIV/0!</v>
      </c>
      <c r="AI477" s="114" t="e">
        <f t="shared" si="835"/>
        <v>#DIV/0!</v>
      </c>
      <c r="AJ477" s="115" t="e">
        <f t="shared" si="835"/>
        <v>#DIV/0!</v>
      </c>
      <c r="AK477" s="116" t="e">
        <f t="shared" si="835"/>
        <v>#DIV/0!</v>
      </c>
    </row>
    <row r="478" spans="1:38" ht="15.6" hidden="1" thickBot="1">
      <c r="A478" s="91"/>
      <c r="B478" s="100"/>
      <c r="C478" s="86"/>
      <c r="D478" s="87">
        <v>2019</v>
      </c>
      <c r="E478" s="88"/>
      <c r="F478" s="121"/>
      <c r="G478" s="121"/>
      <c r="H478" s="121"/>
      <c r="I478" s="121"/>
      <c r="J478" s="121"/>
      <c r="K478" s="121"/>
      <c r="L478" s="121"/>
      <c r="M478" s="122"/>
      <c r="N478" s="122"/>
      <c r="O478" s="122"/>
      <c r="P478" s="123"/>
      <c r="Q478" s="89">
        <f t="shared" ref="Q478:Q480" si="836">SUM(E478:P478)</f>
        <v>0</v>
      </c>
      <c r="R478" s="90">
        <f t="shared" ref="R478" si="837">SUM(E478:M478)</f>
        <v>0</v>
      </c>
      <c r="T478" s="91"/>
      <c r="U478" s="100"/>
      <c r="V478" s="86">
        <f t="shared" ref="V478:V479" si="838">C478</f>
        <v>0</v>
      </c>
      <c r="W478" s="87">
        <v>2019</v>
      </c>
      <c r="X478" s="88"/>
      <c r="Y478" s="121"/>
      <c r="Z478" s="121"/>
      <c r="AA478" s="121"/>
      <c r="AB478" s="121"/>
      <c r="AC478" s="121"/>
      <c r="AD478" s="121"/>
      <c r="AE478" s="121"/>
      <c r="AF478" s="122"/>
      <c r="AG478" s="122"/>
      <c r="AH478" s="122"/>
      <c r="AI478" s="123"/>
      <c r="AJ478" s="89">
        <f t="shared" ref="AJ478:AJ480" si="839">SUM(X478:AI478)</f>
        <v>0</v>
      </c>
      <c r="AK478" s="90">
        <f t="shared" ref="AK478:AK480" si="840">SUM(X478:AF478)</f>
        <v>0</v>
      </c>
    </row>
    <row r="479" spans="1:38" ht="15.6" hidden="1" thickBot="1">
      <c r="A479" s="91"/>
      <c r="B479" s="100"/>
      <c r="C479" s="92"/>
      <c r="D479" s="93" t="s">
        <v>92</v>
      </c>
      <c r="E479" s="94"/>
      <c r="F479" s="97"/>
      <c r="G479" s="97"/>
      <c r="H479" s="97"/>
      <c r="I479" s="97"/>
      <c r="J479" s="97"/>
      <c r="K479" s="97"/>
      <c r="L479" s="97"/>
      <c r="M479" s="98"/>
      <c r="N479" s="98"/>
      <c r="O479" s="98"/>
      <c r="P479" s="99"/>
      <c r="Q479" s="95">
        <f t="shared" si="836"/>
        <v>0</v>
      </c>
      <c r="R479" s="96">
        <f t="shared" si="810"/>
        <v>0</v>
      </c>
      <c r="T479" s="91"/>
      <c r="U479" s="100"/>
      <c r="V479" s="92">
        <f t="shared" si="838"/>
        <v>0</v>
      </c>
      <c r="W479" s="93" t="s">
        <v>92</v>
      </c>
      <c r="X479" s="94"/>
      <c r="Y479" s="97"/>
      <c r="Z479" s="97"/>
      <c r="AA479" s="97"/>
      <c r="AB479" s="97"/>
      <c r="AC479" s="97"/>
      <c r="AD479" s="97"/>
      <c r="AE479" s="97"/>
      <c r="AF479" s="98"/>
      <c r="AG479" s="98"/>
      <c r="AH479" s="98"/>
      <c r="AI479" s="99"/>
      <c r="AJ479" s="95">
        <f t="shared" si="839"/>
        <v>0</v>
      </c>
      <c r="AK479" s="96">
        <f t="shared" si="840"/>
        <v>0</v>
      </c>
    </row>
    <row r="480" spans="1:38" ht="15.6" hidden="1" thickBot="1">
      <c r="A480" s="91"/>
      <c r="B480" s="100"/>
      <c r="C480" s="92"/>
      <c r="D480" s="101">
        <v>2020</v>
      </c>
      <c r="E480" s="102"/>
      <c r="F480" s="124"/>
      <c r="G480" s="124"/>
      <c r="H480" s="124"/>
      <c r="I480" s="124"/>
      <c r="J480" s="124"/>
      <c r="K480" s="124"/>
      <c r="L480" s="124"/>
      <c r="M480" s="125"/>
      <c r="N480" s="125"/>
      <c r="O480" s="125"/>
      <c r="P480" s="126"/>
      <c r="Q480" s="103">
        <f t="shared" si="836"/>
        <v>0</v>
      </c>
      <c r="R480" s="104">
        <f t="shared" si="810"/>
        <v>0</v>
      </c>
      <c r="S480" s="105"/>
      <c r="T480" s="91"/>
      <c r="U480" s="100"/>
      <c r="V480" s="92"/>
      <c r="W480" s="101">
        <v>2020</v>
      </c>
      <c r="X480" s="102"/>
      <c r="Y480" s="124"/>
      <c r="Z480" s="124"/>
      <c r="AA480" s="124"/>
      <c r="AB480" s="124"/>
      <c r="AC480" s="124"/>
      <c r="AD480" s="124"/>
      <c r="AE480" s="124"/>
      <c r="AF480" s="125"/>
      <c r="AG480" s="125"/>
      <c r="AH480" s="125"/>
      <c r="AI480" s="126"/>
      <c r="AJ480" s="103">
        <f t="shared" si="839"/>
        <v>0</v>
      </c>
      <c r="AK480" s="104">
        <f t="shared" si="840"/>
        <v>0</v>
      </c>
      <c r="AL480" s="105"/>
    </row>
    <row r="481" spans="1:38" ht="15.6" hidden="1" thickBot="1">
      <c r="A481" s="91"/>
      <c r="B481" s="100"/>
      <c r="C481" s="92"/>
      <c r="D481" s="101" t="s">
        <v>102</v>
      </c>
      <c r="E481" s="106" t="e">
        <f t="shared" ref="E481:R481" si="841">E480/E479</f>
        <v>#DIV/0!</v>
      </c>
      <c r="F481" s="106" t="e">
        <f t="shared" si="841"/>
        <v>#DIV/0!</v>
      </c>
      <c r="G481" s="106" t="e">
        <f t="shared" si="841"/>
        <v>#DIV/0!</v>
      </c>
      <c r="H481" s="106" t="e">
        <f t="shared" si="841"/>
        <v>#DIV/0!</v>
      </c>
      <c r="I481" s="106" t="e">
        <f t="shared" si="841"/>
        <v>#DIV/0!</v>
      </c>
      <c r="J481" s="106" t="e">
        <f t="shared" si="841"/>
        <v>#DIV/0!</v>
      </c>
      <c r="K481" s="106" t="e">
        <f t="shared" si="841"/>
        <v>#DIV/0!</v>
      </c>
      <c r="L481" s="106" t="e">
        <f t="shared" si="841"/>
        <v>#DIV/0!</v>
      </c>
      <c r="M481" s="107" t="e">
        <f t="shared" si="841"/>
        <v>#DIV/0!</v>
      </c>
      <c r="N481" s="107" t="e">
        <f t="shared" si="841"/>
        <v>#DIV/0!</v>
      </c>
      <c r="O481" s="107" t="e">
        <f t="shared" si="841"/>
        <v>#DIV/0!</v>
      </c>
      <c r="P481" s="108" t="e">
        <f t="shared" si="841"/>
        <v>#DIV/0!</v>
      </c>
      <c r="Q481" s="109" t="e">
        <f t="shared" si="841"/>
        <v>#DIV/0!</v>
      </c>
      <c r="R481" s="110" t="e">
        <f t="shared" si="841"/>
        <v>#DIV/0!</v>
      </c>
      <c r="S481" s="105"/>
      <c r="T481" s="91"/>
      <c r="U481" s="100"/>
      <c r="V481" s="92"/>
      <c r="W481" s="101" t="s">
        <v>102</v>
      </c>
      <c r="X481" s="106" t="e">
        <f t="shared" ref="X481:AK481" si="842">X480/X479</f>
        <v>#DIV/0!</v>
      </c>
      <c r="Y481" s="106" t="e">
        <f t="shared" si="842"/>
        <v>#DIV/0!</v>
      </c>
      <c r="Z481" s="106" t="e">
        <f t="shared" si="842"/>
        <v>#DIV/0!</v>
      </c>
      <c r="AA481" s="106" t="e">
        <f t="shared" si="842"/>
        <v>#DIV/0!</v>
      </c>
      <c r="AB481" s="106" t="e">
        <f t="shared" si="842"/>
        <v>#DIV/0!</v>
      </c>
      <c r="AC481" s="106" t="e">
        <f t="shared" si="842"/>
        <v>#DIV/0!</v>
      </c>
      <c r="AD481" s="106" t="e">
        <f t="shared" si="842"/>
        <v>#DIV/0!</v>
      </c>
      <c r="AE481" s="106" t="e">
        <f t="shared" si="842"/>
        <v>#DIV/0!</v>
      </c>
      <c r="AF481" s="107" t="e">
        <f t="shared" si="842"/>
        <v>#DIV/0!</v>
      </c>
      <c r="AG481" s="107" t="e">
        <f t="shared" si="842"/>
        <v>#DIV/0!</v>
      </c>
      <c r="AH481" s="107" t="e">
        <f t="shared" si="842"/>
        <v>#DIV/0!</v>
      </c>
      <c r="AI481" s="108" t="e">
        <f t="shared" si="842"/>
        <v>#DIV/0!</v>
      </c>
      <c r="AJ481" s="109" t="e">
        <f t="shared" si="842"/>
        <v>#DIV/0!</v>
      </c>
      <c r="AK481" s="110" t="e">
        <f t="shared" si="842"/>
        <v>#DIV/0!</v>
      </c>
      <c r="AL481" s="105"/>
    </row>
    <row r="482" spans="1:38" ht="15.6" hidden="1" thickBot="1">
      <c r="A482" s="91"/>
      <c r="B482" s="100"/>
      <c r="C482" s="111"/>
      <c r="D482" s="112" t="s">
        <v>103</v>
      </c>
      <c r="E482" s="113" t="e">
        <f t="shared" ref="E482:R482" si="843">E480/E478</f>
        <v>#DIV/0!</v>
      </c>
      <c r="F482" s="113" t="e">
        <f t="shared" si="843"/>
        <v>#DIV/0!</v>
      </c>
      <c r="G482" s="113" t="e">
        <f t="shared" si="843"/>
        <v>#DIV/0!</v>
      </c>
      <c r="H482" s="113" t="e">
        <f t="shared" si="843"/>
        <v>#DIV/0!</v>
      </c>
      <c r="I482" s="113" t="e">
        <f t="shared" si="843"/>
        <v>#DIV/0!</v>
      </c>
      <c r="J482" s="113" t="e">
        <f t="shared" si="843"/>
        <v>#DIV/0!</v>
      </c>
      <c r="K482" s="113" t="e">
        <f t="shared" si="843"/>
        <v>#DIV/0!</v>
      </c>
      <c r="L482" s="113" t="e">
        <f t="shared" si="843"/>
        <v>#DIV/0!</v>
      </c>
      <c r="M482" s="113" t="e">
        <f t="shared" si="843"/>
        <v>#DIV/0!</v>
      </c>
      <c r="N482" s="113" t="e">
        <f t="shared" si="843"/>
        <v>#DIV/0!</v>
      </c>
      <c r="O482" s="113" t="e">
        <f t="shared" si="843"/>
        <v>#DIV/0!</v>
      </c>
      <c r="P482" s="114" t="e">
        <f t="shared" si="843"/>
        <v>#DIV/0!</v>
      </c>
      <c r="Q482" s="115" t="e">
        <f t="shared" si="843"/>
        <v>#DIV/0!</v>
      </c>
      <c r="R482" s="116" t="e">
        <f t="shared" si="843"/>
        <v>#DIV/0!</v>
      </c>
      <c r="T482" s="91"/>
      <c r="U482" s="100"/>
      <c r="V482" s="111"/>
      <c r="W482" s="112" t="s">
        <v>103</v>
      </c>
      <c r="X482" s="113" t="e">
        <f t="shared" ref="X482:AK482" si="844">X480/X478</f>
        <v>#DIV/0!</v>
      </c>
      <c r="Y482" s="113" t="e">
        <f t="shared" si="844"/>
        <v>#DIV/0!</v>
      </c>
      <c r="Z482" s="113" t="e">
        <f t="shared" si="844"/>
        <v>#DIV/0!</v>
      </c>
      <c r="AA482" s="113" t="e">
        <f t="shared" si="844"/>
        <v>#DIV/0!</v>
      </c>
      <c r="AB482" s="113" t="e">
        <f t="shared" si="844"/>
        <v>#DIV/0!</v>
      </c>
      <c r="AC482" s="113" t="e">
        <f t="shared" si="844"/>
        <v>#DIV/0!</v>
      </c>
      <c r="AD482" s="113" t="e">
        <f t="shared" si="844"/>
        <v>#DIV/0!</v>
      </c>
      <c r="AE482" s="113" t="e">
        <f t="shared" si="844"/>
        <v>#DIV/0!</v>
      </c>
      <c r="AF482" s="113" t="e">
        <f t="shared" si="844"/>
        <v>#DIV/0!</v>
      </c>
      <c r="AG482" s="113" t="e">
        <f t="shared" si="844"/>
        <v>#DIV/0!</v>
      </c>
      <c r="AH482" s="113" t="e">
        <f t="shared" si="844"/>
        <v>#DIV/0!</v>
      </c>
      <c r="AI482" s="114" t="e">
        <f t="shared" si="844"/>
        <v>#DIV/0!</v>
      </c>
      <c r="AJ482" s="115" t="e">
        <f t="shared" si="844"/>
        <v>#DIV/0!</v>
      </c>
      <c r="AK482" s="116" t="e">
        <f t="shared" si="844"/>
        <v>#DIV/0!</v>
      </c>
    </row>
    <row r="483" spans="1:38" ht="15.6" hidden="1" thickBot="1">
      <c r="A483" s="91"/>
      <c r="B483" s="100"/>
      <c r="C483" s="86"/>
      <c r="D483" s="87">
        <v>2019</v>
      </c>
      <c r="E483" s="88"/>
      <c r="F483" s="121"/>
      <c r="G483" s="121"/>
      <c r="H483" s="121"/>
      <c r="I483" s="121"/>
      <c r="J483" s="121"/>
      <c r="K483" s="121"/>
      <c r="L483" s="121"/>
      <c r="M483" s="122"/>
      <c r="N483" s="122"/>
      <c r="O483" s="122"/>
      <c r="P483" s="123"/>
      <c r="Q483" s="89">
        <f t="shared" ref="Q483:Q485" si="845">SUM(E483:P483)</f>
        <v>0</v>
      </c>
      <c r="R483" s="90">
        <f t="shared" ref="R483" si="846">SUM(E483:M483)</f>
        <v>0</v>
      </c>
      <c r="T483" s="91"/>
      <c r="U483" s="100"/>
      <c r="V483" s="86">
        <f t="shared" ref="V483:V484" si="847">C483</f>
        <v>0</v>
      </c>
      <c r="W483" s="87">
        <v>2019</v>
      </c>
      <c r="X483" s="88"/>
      <c r="Y483" s="121"/>
      <c r="Z483" s="121"/>
      <c r="AA483" s="121"/>
      <c r="AB483" s="121"/>
      <c r="AC483" s="121"/>
      <c r="AD483" s="121"/>
      <c r="AE483" s="121"/>
      <c r="AF483" s="122"/>
      <c r="AG483" s="122"/>
      <c r="AH483" s="122"/>
      <c r="AI483" s="123"/>
      <c r="AJ483" s="89">
        <f t="shared" ref="AJ483:AJ485" si="848">SUM(X483:AI483)</f>
        <v>0</v>
      </c>
      <c r="AK483" s="90">
        <f t="shared" ref="AK483:AK485" si="849">SUM(X483:AF483)</f>
        <v>0</v>
      </c>
    </row>
    <row r="484" spans="1:38" ht="15.6" hidden="1" thickBot="1">
      <c r="A484" s="91"/>
      <c r="B484" s="100"/>
      <c r="C484" s="92"/>
      <c r="D484" s="93" t="s">
        <v>92</v>
      </c>
      <c r="E484" s="94"/>
      <c r="F484" s="97"/>
      <c r="G484" s="97"/>
      <c r="H484" s="97"/>
      <c r="I484" s="97"/>
      <c r="J484" s="97"/>
      <c r="K484" s="97"/>
      <c r="L484" s="97"/>
      <c r="M484" s="98"/>
      <c r="N484" s="98"/>
      <c r="O484" s="98"/>
      <c r="P484" s="99"/>
      <c r="Q484" s="95">
        <f t="shared" si="845"/>
        <v>0</v>
      </c>
      <c r="R484" s="96">
        <f t="shared" si="810"/>
        <v>0</v>
      </c>
      <c r="T484" s="91"/>
      <c r="U484" s="100"/>
      <c r="V484" s="92">
        <f t="shared" si="847"/>
        <v>0</v>
      </c>
      <c r="W484" s="93" t="s">
        <v>92</v>
      </c>
      <c r="X484" s="94"/>
      <c r="Y484" s="97"/>
      <c r="Z484" s="97"/>
      <c r="AA484" s="97"/>
      <c r="AB484" s="97"/>
      <c r="AC484" s="97"/>
      <c r="AD484" s="97"/>
      <c r="AE484" s="97"/>
      <c r="AF484" s="98"/>
      <c r="AG484" s="98"/>
      <c r="AH484" s="98"/>
      <c r="AI484" s="99"/>
      <c r="AJ484" s="95">
        <f t="shared" si="848"/>
        <v>0</v>
      </c>
      <c r="AK484" s="96">
        <f t="shared" si="849"/>
        <v>0</v>
      </c>
    </row>
    <row r="485" spans="1:38" ht="15.6" hidden="1" thickBot="1">
      <c r="A485" s="91"/>
      <c r="B485" s="100"/>
      <c r="C485" s="92"/>
      <c r="D485" s="101">
        <v>2020</v>
      </c>
      <c r="E485" s="102"/>
      <c r="F485" s="124"/>
      <c r="G485" s="124"/>
      <c r="H485" s="124"/>
      <c r="I485" s="124"/>
      <c r="J485" s="124"/>
      <c r="K485" s="124"/>
      <c r="L485" s="124"/>
      <c r="M485" s="125"/>
      <c r="N485" s="125"/>
      <c r="O485" s="125"/>
      <c r="P485" s="126"/>
      <c r="Q485" s="103">
        <f t="shared" si="845"/>
        <v>0</v>
      </c>
      <c r="R485" s="104">
        <f t="shared" si="810"/>
        <v>0</v>
      </c>
      <c r="S485" s="105"/>
      <c r="T485" s="91"/>
      <c r="U485" s="100"/>
      <c r="V485" s="92"/>
      <c r="W485" s="101">
        <v>2020</v>
      </c>
      <c r="X485" s="102"/>
      <c r="Y485" s="124"/>
      <c r="Z485" s="124"/>
      <c r="AA485" s="124"/>
      <c r="AB485" s="124"/>
      <c r="AC485" s="124"/>
      <c r="AD485" s="124"/>
      <c r="AE485" s="124"/>
      <c r="AF485" s="125"/>
      <c r="AG485" s="125"/>
      <c r="AH485" s="125"/>
      <c r="AI485" s="126"/>
      <c r="AJ485" s="103">
        <f t="shared" si="848"/>
        <v>0</v>
      </c>
      <c r="AK485" s="104">
        <f t="shared" si="849"/>
        <v>0</v>
      </c>
      <c r="AL485" s="105"/>
    </row>
    <row r="486" spans="1:38" ht="15.6" hidden="1" thickBot="1">
      <c r="A486" s="91"/>
      <c r="B486" s="100"/>
      <c r="C486" s="92"/>
      <c r="D486" s="101" t="s">
        <v>102</v>
      </c>
      <c r="E486" s="106" t="e">
        <f t="shared" ref="E486:R486" si="850">E485/E484</f>
        <v>#DIV/0!</v>
      </c>
      <c r="F486" s="106" t="e">
        <f t="shared" si="850"/>
        <v>#DIV/0!</v>
      </c>
      <c r="G486" s="106" t="e">
        <f t="shared" si="850"/>
        <v>#DIV/0!</v>
      </c>
      <c r="H486" s="106" t="e">
        <f t="shared" si="850"/>
        <v>#DIV/0!</v>
      </c>
      <c r="I486" s="106" t="e">
        <f t="shared" si="850"/>
        <v>#DIV/0!</v>
      </c>
      <c r="J486" s="106" t="e">
        <f t="shared" si="850"/>
        <v>#DIV/0!</v>
      </c>
      <c r="K486" s="106" t="e">
        <f t="shared" si="850"/>
        <v>#DIV/0!</v>
      </c>
      <c r="L486" s="106" t="e">
        <f t="shared" si="850"/>
        <v>#DIV/0!</v>
      </c>
      <c r="M486" s="107" t="e">
        <f t="shared" si="850"/>
        <v>#DIV/0!</v>
      </c>
      <c r="N486" s="107" t="e">
        <f t="shared" si="850"/>
        <v>#DIV/0!</v>
      </c>
      <c r="O486" s="107" t="e">
        <f t="shared" si="850"/>
        <v>#DIV/0!</v>
      </c>
      <c r="P486" s="108" t="e">
        <f t="shared" si="850"/>
        <v>#DIV/0!</v>
      </c>
      <c r="Q486" s="109" t="e">
        <f t="shared" si="850"/>
        <v>#DIV/0!</v>
      </c>
      <c r="R486" s="110" t="e">
        <f t="shared" si="850"/>
        <v>#DIV/0!</v>
      </c>
      <c r="S486" s="105"/>
      <c r="T486" s="91"/>
      <c r="U486" s="100"/>
      <c r="V486" s="92"/>
      <c r="W486" s="101" t="s">
        <v>102</v>
      </c>
      <c r="X486" s="106" t="e">
        <f t="shared" ref="X486:AK486" si="851">X485/X484</f>
        <v>#DIV/0!</v>
      </c>
      <c r="Y486" s="106" t="e">
        <f t="shared" si="851"/>
        <v>#DIV/0!</v>
      </c>
      <c r="Z486" s="106" t="e">
        <f t="shared" si="851"/>
        <v>#DIV/0!</v>
      </c>
      <c r="AA486" s="106" t="e">
        <f t="shared" si="851"/>
        <v>#DIV/0!</v>
      </c>
      <c r="AB486" s="106" t="e">
        <f t="shared" si="851"/>
        <v>#DIV/0!</v>
      </c>
      <c r="AC486" s="106" t="e">
        <f t="shared" si="851"/>
        <v>#DIV/0!</v>
      </c>
      <c r="AD486" s="106" t="e">
        <f t="shared" si="851"/>
        <v>#DIV/0!</v>
      </c>
      <c r="AE486" s="106" t="e">
        <f t="shared" si="851"/>
        <v>#DIV/0!</v>
      </c>
      <c r="AF486" s="107" t="e">
        <f t="shared" si="851"/>
        <v>#DIV/0!</v>
      </c>
      <c r="AG486" s="107" t="e">
        <f t="shared" si="851"/>
        <v>#DIV/0!</v>
      </c>
      <c r="AH486" s="107" t="e">
        <f t="shared" si="851"/>
        <v>#DIV/0!</v>
      </c>
      <c r="AI486" s="108" t="e">
        <f t="shared" si="851"/>
        <v>#DIV/0!</v>
      </c>
      <c r="AJ486" s="109" t="e">
        <f t="shared" si="851"/>
        <v>#DIV/0!</v>
      </c>
      <c r="AK486" s="110" t="e">
        <f t="shared" si="851"/>
        <v>#DIV/0!</v>
      </c>
      <c r="AL486" s="105"/>
    </row>
    <row r="487" spans="1:38" ht="15.6" hidden="1" thickBot="1">
      <c r="A487" s="91"/>
      <c r="B487" s="100"/>
      <c r="C487" s="111"/>
      <c r="D487" s="112" t="s">
        <v>103</v>
      </c>
      <c r="E487" s="113" t="e">
        <f t="shared" ref="E487:R487" si="852">E485/E483</f>
        <v>#DIV/0!</v>
      </c>
      <c r="F487" s="113" t="e">
        <f t="shared" si="852"/>
        <v>#DIV/0!</v>
      </c>
      <c r="G487" s="113" t="e">
        <f t="shared" si="852"/>
        <v>#DIV/0!</v>
      </c>
      <c r="H487" s="113" t="e">
        <f t="shared" si="852"/>
        <v>#DIV/0!</v>
      </c>
      <c r="I487" s="113" t="e">
        <f t="shared" si="852"/>
        <v>#DIV/0!</v>
      </c>
      <c r="J487" s="113" t="e">
        <f t="shared" si="852"/>
        <v>#DIV/0!</v>
      </c>
      <c r="K487" s="113" t="e">
        <f t="shared" si="852"/>
        <v>#DIV/0!</v>
      </c>
      <c r="L487" s="113" t="e">
        <f t="shared" si="852"/>
        <v>#DIV/0!</v>
      </c>
      <c r="M487" s="113" t="e">
        <f t="shared" si="852"/>
        <v>#DIV/0!</v>
      </c>
      <c r="N487" s="113" t="e">
        <f t="shared" si="852"/>
        <v>#DIV/0!</v>
      </c>
      <c r="O487" s="113" t="e">
        <f t="shared" si="852"/>
        <v>#DIV/0!</v>
      </c>
      <c r="P487" s="114" t="e">
        <f t="shared" si="852"/>
        <v>#DIV/0!</v>
      </c>
      <c r="Q487" s="115" t="e">
        <f t="shared" si="852"/>
        <v>#DIV/0!</v>
      </c>
      <c r="R487" s="116" t="e">
        <f t="shared" si="852"/>
        <v>#DIV/0!</v>
      </c>
      <c r="T487" s="91"/>
      <c r="U487" s="100"/>
      <c r="V487" s="111"/>
      <c r="W487" s="112" t="s">
        <v>103</v>
      </c>
      <c r="X487" s="113" t="e">
        <f t="shared" ref="X487:AK487" si="853">X485/X483</f>
        <v>#DIV/0!</v>
      </c>
      <c r="Y487" s="113" t="e">
        <f t="shared" si="853"/>
        <v>#DIV/0!</v>
      </c>
      <c r="Z487" s="113" t="e">
        <f t="shared" si="853"/>
        <v>#DIV/0!</v>
      </c>
      <c r="AA487" s="113" t="e">
        <f t="shared" si="853"/>
        <v>#DIV/0!</v>
      </c>
      <c r="AB487" s="113" t="e">
        <f t="shared" si="853"/>
        <v>#DIV/0!</v>
      </c>
      <c r="AC487" s="113" t="e">
        <f t="shared" si="853"/>
        <v>#DIV/0!</v>
      </c>
      <c r="AD487" s="113" t="e">
        <f t="shared" si="853"/>
        <v>#DIV/0!</v>
      </c>
      <c r="AE487" s="113" t="e">
        <f t="shared" si="853"/>
        <v>#DIV/0!</v>
      </c>
      <c r="AF487" s="113" t="e">
        <f t="shared" si="853"/>
        <v>#DIV/0!</v>
      </c>
      <c r="AG487" s="113" t="e">
        <f t="shared" si="853"/>
        <v>#DIV/0!</v>
      </c>
      <c r="AH487" s="113" t="e">
        <f t="shared" si="853"/>
        <v>#DIV/0!</v>
      </c>
      <c r="AI487" s="114" t="e">
        <f t="shared" si="853"/>
        <v>#DIV/0!</v>
      </c>
      <c r="AJ487" s="115" t="e">
        <f t="shared" si="853"/>
        <v>#DIV/0!</v>
      </c>
      <c r="AK487" s="116" t="e">
        <f t="shared" si="853"/>
        <v>#DIV/0!</v>
      </c>
    </row>
    <row r="488" spans="1:38" ht="15.6" hidden="1" thickBot="1">
      <c r="A488" s="91"/>
      <c r="B488" s="100"/>
      <c r="C488" s="86"/>
      <c r="D488" s="87">
        <v>2019</v>
      </c>
      <c r="E488" s="88"/>
      <c r="F488" s="121"/>
      <c r="G488" s="121"/>
      <c r="H488" s="121"/>
      <c r="I488" s="121"/>
      <c r="J488" s="121"/>
      <c r="K488" s="121"/>
      <c r="L488" s="121"/>
      <c r="M488" s="122"/>
      <c r="N488" s="122"/>
      <c r="O488" s="122"/>
      <c r="P488" s="123"/>
      <c r="Q488" s="89">
        <f t="shared" ref="Q488:Q490" si="854">SUM(E488:P488)</f>
        <v>0</v>
      </c>
      <c r="R488" s="90">
        <f t="shared" ref="R488" si="855">SUM(E488:M488)</f>
        <v>0</v>
      </c>
      <c r="T488" s="91"/>
      <c r="U488" s="100"/>
      <c r="V488" s="86">
        <f t="shared" ref="V488:V489" si="856">C488</f>
        <v>0</v>
      </c>
      <c r="W488" s="87">
        <v>2019</v>
      </c>
      <c r="X488" s="88"/>
      <c r="Y488" s="121"/>
      <c r="Z488" s="121"/>
      <c r="AA488" s="121"/>
      <c r="AB488" s="121"/>
      <c r="AC488" s="121"/>
      <c r="AD488" s="121"/>
      <c r="AE488" s="121"/>
      <c r="AF488" s="122"/>
      <c r="AG488" s="122"/>
      <c r="AH488" s="122"/>
      <c r="AI488" s="123"/>
      <c r="AJ488" s="89">
        <f t="shared" ref="AJ488:AJ490" si="857">SUM(X488:AI488)</f>
        <v>0</v>
      </c>
      <c r="AK488" s="90">
        <f t="shared" ref="AK488:AK490" si="858">SUM(X488:AF488)</f>
        <v>0</v>
      </c>
    </row>
    <row r="489" spans="1:38" ht="15.6" hidden="1" thickBot="1">
      <c r="A489" s="91"/>
      <c r="B489" s="100"/>
      <c r="C489" s="92"/>
      <c r="D489" s="93" t="s">
        <v>92</v>
      </c>
      <c r="E489" s="94"/>
      <c r="F489" s="97"/>
      <c r="G489" s="97"/>
      <c r="H489" s="97"/>
      <c r="I489" s="97"/>
      <c r="J489" s="97"/>
      <c r="K489" s="97"/>
      <c r="L489" s="97"/>
      <c r="M489" s="98"/>
      <c r="N489" s="98"/>
      <c r="O489" s="98"/>
      <c r="P489" s="99"/>
      <c r="Q489" s="95">
        <f t="shared" si="854"/>
        <v>0</v>
      </c>
      <c r="R489" s="96">
        <f t="shared" si="810"/>
        <v>0</v>
      </c>
      <c r="T489" s="91"/>
      <c r="U489" s="100"/>
      <c r="V489" s="92">
        <f t="shared" si="856"/>
        <v>0</v>
      </c>
      <c r="W489" s="93" t="s">
        <v>92</v>
      </c>
      <c r="X489" s="94"/>
      <c r="Y489" s="97"/>
      <c r="Z489" s="97"/>
      <c r="AA489" s="97"/>
      <c r="AB489" s="97"/>
      <c r="AC489" s="97"/>
      <c r="AD489" s="97"/>
      <c r="AE489" s="97"/>
      <c r="AF489" s="98"/>
      <c r="AG489" s="98"/>
      <c r="AH489" s="98"/>
      <c r="AI489" s="99"/>
      <c r="AJ489" s="95">
        <f t="shared" si="857"/>
        <v>0</v>
      </c>
      <c r="AK489" s="96">
        <f t="shared" si="858"/>
        <v>0</v>
      </c>
    </row>
    <row r="490" spans="1:38" ht="15.6" hidden="1" thickBot="1">
      <c r="A490" s="91"/>
      <c r="B490" s="100"/>
      <c r="C490" s="92"/>
      <c r="D490" s="101">
        <v>2020</v>
      </c>
      <c r="E490" s="102"/>
      <c r="F490" s="124"/>
      <c r="G490" s="124"/>
      <c r="H490" s="124"/>
      <c r="I490" s="124"/>
      <c r="J490" s="124"/>
      <c r="K490" s="124"/>
      <c r="L490" s="124"/>
      <c r="M490" s="125"/>
      <c r="N490" s="125"/>
      <c r="O490" s="125"/>
      <c r="P490" s="126"/>
      <c r="Q490" s="103">
        <f t="shared" si="854"/>
        <v>0</v>
      </c>
      <c r="R490" s="104">
        <f t="shared" si="810"/>
        <v>0</v>
      </c>
      <c r="S490" s="105"/>
      <c r="T490" s="91"/>
      <c r="U490" s="100"/>
      <c r="V490" s="92"/>
      <c r="W490" s="101">
        <v>2020</v>
      </c>
      <c r="X490" s="102"/>
      <c r="Y490" s="124"/>
      <c r="Z490" s="124"/>
      <c r="AA490" s="124"/>
      <c r="AB490" s="124"/>
      <c r="AC490" s="124"/>
      <c r="AD490" s="124"/>
      <c r="AE490" s="124"/>
      <c r="AF490" s="125"/>
      <c r="AG490" s="125"/>
      <c r="AH490" s="125"/>
      <c r="AI490" s="126"/>
      <c r="AJ490" s="103">
        <f t="shared" si="857"/>
        <v>0</v>
      </c>
      <c r="AK490" s="104">
        <f t="shared" si="858"/>
        <v>0</v>
      </c>
      <c r="AL490" s="105"/>
    </row>
    <row r="491" spans="1:38" ht="15.6" hidden="1" thickBot="1">
      <c r="A491" s="91"/>
      <c r="B491" s="100"/>
      <c r="C491" s="92"/>
      <c r="D491" s="101" t="s">
        <v>102</v>
      </c>
      <c r="E491" s="106" t="e">
        <f t="shared" ref="E491:R491" si="859">E490/E489</f>
        <v>#DIV/0!</v>
      </c>
      <c r="F491" s="106" t="e">
        <f t="shared" si="859"/>
        <v>#DIV/0!</v>
      </c>
      <c r="G491" s="106" t="e">
        <f t="shared" si="859"/>
        <v>#DIV/0!</v>
      </c>
      <c r="H491" s="106" t="e">
        <f t="shared" si="859"/>
        <v>#DIV/0!</v>
      </c>
      <c r="I491" s="106" t="e">
        <f t="shared" si="859"/>
        <v>#DIV/0!</v>
      </c>
      <c r="J491" s="106" t="e">
        <f t="shared" si="859"/>
        <v>#DIV/0!</v>
      </c>
      <c r="K491" s="106" t="e">
        <f t="shared" si="859"/>
        <v>#DIV/0!</v>
      </c>
      <c r="L491" s="106" t="e">
        <f t="shared" si="859"/>
        <v>#DIV/0!</v>
      </c>
      <c r="M491" s="107" t="e">
        <f t="shared" si="859"/>
        <v>#DIV/0!</v>
      </c>
      <c r="N491" s="107" t="e">
        <f t="shared" si="859"/>
        <v>#DIV/0!</v>
      </c>
      <c r="O491" s="107" t="e">
        <f t="shared" si="859"/>
        <v>#DIV/0!</v>
      </c>
      <c r="P491" s="108" t="e">
        <f t="shared" si="859"/>
        <v>#DIV/0!</v>
      </c>
      <c r="Q491" s="109" t="e">
        <f t="shared" si="859"/>
        <v>#DIV/0!</v>
      </c>
      <c r="R491" s="110" t="e">
        <f t="shared" si="859"/>
        <v>#DIV/0!</v>
      </c>
      <c r="S491" s="105"/>
      <c r="T491" s="91"/>
      <c r="U491" s="100"/>
      <c r="V491" s="92"/>
      <c r="W491" s="101" t="s">
        <v>102</v>
      </c>
      <c r="X491" s="106" t="e">
        <f t="shared" ref="X491:AK491" si="860">X490/X489</f>
        <v>#DIV/0!</v>
      </c>
      <c r="Y491" s="106" t="e">
        <f t="shared" si="860"/>
        <v>#DIV/0!</v>
      </c>
      <c r="Z491" s="106" t="e">
        <f t="shared" si="860"/>
        <v>#DIV/0!</v>
      </c>
      <c r="AA491" s="106" t="e">
        <f t="shared" si="860"/>
        <v>#DIV/0!</v>
      </c>
      <c r="AB491" s="106" t="e">
        <f t="shared" si="860"/>
        <v>#DIV/0!</v>
      </c>
      <c r="AC491" s="106" t="e">
        <f t="shared" si="860"/>
        <v>#DIV/0!</v>
      </c>
      <c r="AD491" s="106" t="e">
        <f t="shared" si="860"/>
        <v>#DIV/0!</v>
      </c>
      <c r="AE491" s="106" t="e">
        <f t="shared" si="860"/>
        <v>#DIV/0!</v>
      </c>
      <c r="AF491" s="107" t="e">
        <f t="shared" si="860"/>
        <v>#DIV/0!</v>
      </c>
      <c r="AG491" s="107" t="e">
        <f t="shared" si="860"/>
        <v>#DIV/0!</v>
      </c>
      <c r="AH491" s="107" t="e">
        <f t="shared" si="860"/>
        <v>#DIV/0!</v>
      </c>
      <c r="AI491" s="108" t="e">
        <f t="shared" si="860"/>
        <v>#DIV/0!</v>
      </c>
      <c r="AJ491" s="109" t="e">
        <f t="shared" si="860"/>
        <v>#DIV/0!</v>
      </c>
      <c r="AK491" s="110" t="e">
        <f t="shared" si="860"/>
        <v>#DIV/0!</v>
      </c>
      <c r="AL491" s="105"/>
    </row>
    <row r="492" spans="1:38" ht="15.6" hidden="1" thickBot="1">
      <c r="A492" s="91"/>
      <c r="B492" s="100"/>
      <c r="C492" s="111"/>
      <c r="D492" s="112" t="s">
        <v>103</v>
      </c>
      <c r="E492" s="113" t="e">
        <f t="shared" ref="E492:R492" si="861">E490/E488</f>
        <v>#DIV/0!</v>
      </c>
      <c r="F492" s="113" t="e">
        <f t="shared" si="861"/>
        <v>#DIV/0!</v>
      </c>
      <c r="G492" s="113" t="e">
        <f t="shared" si="861"/>
        <v>#DIV/0!</v>
      </c>
      <c r="H492" s="113" t="e">
        <f t="shared" si="861"/>
        <v>#DIV/0!</v>
      </c>
      <c r="I492" s="113" t="e">
        <f t="shared" si="861"/>
        <v>#DIV/0!</v>
      </c>
      <c r="J492" s="113" t="e">
        <f t="shared" si="861"/>
        <v>#DIV/0!</v>
      </c>
      <c r="K492" s="113" t="e">
        <f t="shared" si="861"/>
        <v>#DIV/0!</v>
      </c>
      <c r="L492" s="113" t="e">
        <f t="shared" si="861"/>
        <v>#DIV/0!</v>
      </c>
      <c r="M492" s="113" t="e">
        <f t="shared" si="861"/>
        <v>#DIV/0!</v>
      </c>
      <c r="N492" s="113" t="e">
        <f t="shared" si="861"/>
        <v>#DIV/0!</v>
      </c>
      <c r="O492" s="113" t="e">
        <f t="shared" si="861"/>
        <v>#DIV/0!</v>
      </c>
      <c r="P492" s="114" t="e">
        <f t="shared" si="861"/>
        <v>#DIV/0!</v>
      </c>
      <c r="Q492" s="115" t="e">
        <f t="shared" si="861"/>
        <v>#DIV/0!</v>
      </c>
      <c r="R492" s="116" t="e">
        <f t="shared" si="861"/>
        <v>#DIV/0!</v>
      </c>
      <c r="T492" s="91"/>
      <c r="U492" s="100"/>
      <c r="V492" s="111"/>
      <c r="W492" s="112" t="s">
        <v>103</v>
      </c>
      <c r="X492" s="113" t="e">
        <f t="shared" ref="X492:AK492" si="862">X490/X488</f>
        <v>#DIV/0!</v>
      </c>
      <c r="Y492" s="113" t="e">
        <f t="shared" si="862"/>
        <v>#DIV/0!</v>
      </c>
      <c r="Z492" s="113" t="e">
        <f t="shared" si="862"/>
        <v>#DIV/0!</v>
      </c>
      <c r="AA492" s="113" t="e">
        <f t="shared" si="862"/>
        <v>#DIV/0!</v>
      </c>
      <c r="AB492" s="113" t="e">
        <f t="shared" si="862"/>
        <v>#DIV/0!</v>
      </c>
      <c r="AC492" s="113" t="e">
        <f t="shared" si="862"/>
        <v>#DIV/0!</v>
      </c>
      <c r="AD492" s="113" t="e">
        <f t="shared" si="862"/>
        <v>#DIV/0!</v>
      </c>
      <c r="AE492" s="113" t="e">
        <f t="shared" si="862"/>
        <v>#DIV/0!</v>
      </c>
      <c r="AF492" s="113" t="e">
        <f t="shared" si="862"/>
        <v>#DIV/0!</v>
      </c>
      <c r="AG492" s="113" t="e">
        <f t="shared" si="862"/>
        <v>#DIV/0!</v>
      </c>
      <c r="AH492" s="113" t="e">
        <f t="shared" si="862"/>
        <v>#DIV/0!</v>
      </c>
      <c r="AI492" s="114" t="e">
        <f t="shared" si="862"/>
        <v>#DIV/0!</v>
      </c>
      <c r="AJ492" s="115" t="e">
        <f t="shared" si="862"/>
        <v>#DIV/0!</v>
      </c>
      <c r="AK492" s="116" t="e">
        <f t="shared" si="862"/>
        <v>#DIV/0!</v>
      </c>
    </row>
    <row r="493" spans="1:38" ht="15.6" hidden="1" thickBot="1">
      <c r="A493" s="91"/>
      <c r="B493" s="100"/>
      <c r="C493" s="86"/>
      <c r="D493" s="87">
        <v>2019</v>
      </c>
      <c r="E493" s="88"/>
      <c r="F493" s="121"/>
      <c r="G493" s="121"/>
      <c r="H493" s="121"/>
      <c r="I493" s="121"/>
      <c r="J493" s="121"/>
      <c r="K493" s="121"/>
      <c r="L493" s="121"/>
      <c r="M493" s="122"/>
      <c r="N493" s="122"/>
      <c r="O493" s="122"/>
      <c r="P493" s="123"/>
      <c r="Q493" s="89">
        <f t="shared" ref="Q493:Q495" si="863">SUM(E493:P493)</f>
        <v>0</v>
      </c>
      <c r="R493" s="90">
        <f t="shared" ref="R493" si="864">SUM(E493:M493)</f>
        <v>0</v>
      </c>
      <c r="T493" s="91"/>
      <c r="U493" s="100"/>
      <c r="V493" s="86">
        <f t="shared" ref="V493:V494" si="865">C493</f>
        <v>0</v>
      </c>
      <c r="W493" s="87">
        <v>2019</v>
      </c>
      <c r="X493" s="88"/>
      <c r="Y493" s="121"/>
      <c r="Z493" s="121"/>
      <c r="AA493" s="121"/>
      <c r="AB493" s="121"/>
      <c r="AC493" s="121"/>
      <c r="AD493" s="121"/>
      <c r="AE493" s="121"/>
      <c r="AF493" s="122"/>
      <c r="AG493" s="122"/>
      <c r="AH493" s="122"/>
      <c r="AI493" s="123"/>
      <c r="AJ493" s="89">
        <f t="shared" ref="AJ493:AJ495" si="866">SUM(X493:AI493)</f>
        <v>0</v>
      </c>
      <c r="AK493" s="90">
        <f t="shared" ref="AK493:AK495" si="867">SUM(X493:AF493)</f>
        <v>0</v>
      </c>
    </row>
    <row r="494" spans="1:38" ht="15.6" hidden="1" thickBot="1">
      <c r="A494" s="91"/>
      <c r="B494" s="100"/>
      <c r="C494" s="92"/>
      <c r="D494" s="93" t="s">
        <v>92</v>
      </c>
      <c r="E494" s="94"/>
      <c r="F494" s="97"/>
      <c r="G494" s="97"/>
      <c r="H494" s="97"/>
      <c r="I494" s="97"/>
      <c r="J494" s="97"/>
      <c r="K494" s="97"/>
      <c r="L494" s="97"/>
      <c r="M494" s="98"/>
      <c r="N494" s="98"/>
      <c r="O494" s="98"/>
      <c r="P494" s="99"/>
      <c r="Q494" s="95">
        <f t="shared" si="863"/>
        <v>0</v>
      </c>
      <c r="R494" s="96">
        <f t="shared" si="810"/>
        <v>0</v>
      </c>
      <c r="T494" s="91"/>
      <c r="U494" s="100"/>
      <c r="V494" s="92">
        <f t="shared" si="865"/>
        <v>0</v>
      </c>
      <c r="W494" s="93" t="s">
        <v>92</v>
      </c>
      <c r="X494" s="94"/>
      <c r="Y494" s="97"/>
      <c r="Z494" s="97"/>
      <c r="AA494" s="97"/>
      <c r="AB494" s="97"/>
      <c r="AC494" s="97"/>
      <c r="AD494" s="97"/>
      <c r="AE494" s="97"/>
      <c r="AF494" s="98"/>
      <c r="AG494" s="98"/>
      <c r="AH494" s="98"/>
      <c r="AI494" s="99"/>
      <c r="AJ494" s="95">
        <f t="shared" si="866"/>
        <v>0</v>
      </c>
      <c r="AK494" s="96">
        <f t="shared" si="867"/>
        <v>0</v>
      </c>
    </row>
    <row r="495" spans="1:38" ht="15.6" hidden="1" thickBot="1">
      <c r="A495" s="91"/>
      <c r="B495" s="100"/>
      <c r="C495" s="92"/>
      <c r="D495" s="101">
        <v>2020</v>
      </c>
      <c r="E495" s="102"/>
      <c r="F495" s="124"/>
      <c r="G495" s="124"/>
      <c r="H495" s="124"/>
      <c r="I495" s="124"/>
      <c r="J495" s="124"/>
      <c r="K495" s="124"/>
      <c r="L495" s="124"/>
      <c r="M495" s="125"/>
      <c r="N495" s="125"/>
      <c r="O495" s="125"/>
      <c r="P495" s="126"/>
      <c r="Q495" s="103">
        <f t="shared" si="863"/>
        <v>0</v>
      </c>
      <c r="R495" s="104">
        <f t="shared" si="810"/>
        <v>0</v>
      </c>
      <c r="S495" s="105"/>
      <c r="T495" s="91"/>
      <c r="U495" s="100"/>
      <c r="V495" s="92"/>
      <c r="W495" s="101">
        <v>2020</v>
      </c>
      <c r="X495" s="102"/>
      <c r="Y495" s="124"/>
      <c r="Z495" s="124"/>
      <c r="AA495" s="124"/>
      <c r="AB495" s="124"/>
      <c r="AC495" s="124"/>
      <c r="AD495" s="124"/>
      <c r="AE495" s="124"/>
      <c r="AF495" s="125"/>
      <c r="AG495" s="125"/>
      <c r="AH495" s="125"/>
      <c r="AI495" s="126"/>
      <c r="AJ495" s="103">
        <f t="shared" si="866"/>
        <v>0</v>
      </c>
      <c r="AK495" s="104">
        <f t="shared" si="867"/>
        <v>0</v>
      </c>
      <c r="AL495" s="105"/>
    </row>
    <row r="496" spans="1:38" ht="15.6" hidden="1" thickBot="1">
      <c r="A496" s="91"/>
      <c r="B496" s="100"/>
      <c r="C496" s="92"/>
      <c r="D496" s="101" t="s">
        <v>102</v>
      </c>
      <c r="E496" s="106" t="e">
        <f t="shared" ref="E496:R496" si="868">E495/E494</f>
        <v>#DIV/0!</v>
      </c>
      <c r="F496" s="106" t="e">
        <f t="shared" si="868"/>
        <v>#DIV/0!</v>
      </c>
      <c r="G496" s="106" t="e">
        <f t="shared" si="868"/>
        <v>#DIV/0!</v>
      </c>
      <c r="H496" s="106" t="e">
        <f t="shared" si="868"/>
        <v>#DIV/0!</v>
      </c>
      <c r="I496" s="106" t="e">
        <f t="shared" si="868"/>
        <v>#DIV/0!</v>
      </c>
      <c r="J496" s="106" t="e">
        <f t="shared" si="868"/>
        <v>#DIV/0!</v>
      </c>
      <c r="K496" s="106" t="e">
        <f t="shared" si="868"/>
        <v>#DIV/0!</v>
      </c>
      <c r="L496" s="106" t="e">
        <f t="shared" si="868"/>
        <v>#DIV/0!</v>
      </c>
      <c r="M496" s="107" t="e">
        <f t="shared" si="868"/>
        <v>#DIV/0!</v>
      </c>
      <c r="N496" s="107" t="e">
        <f t="shared" si="868"/>
        <v>#DIV/0!</v>
      </c>
      <c r="O496" s="107" t="e">
        <f t="shared" si="868"/>
        <v>#DIV/0!</v>
      </c>
      <c r="P496" s="108" t="e">
        <f t="shared" si="868"/>
        <v>#DIV/0!</v>
      </c>
      <c r="Q496" s="109" t="e">
        <f t="shared" si="868"/>
        <v>#DIV/0!</v>
      </c>
      <c r="R496" s="110" t="e">
        <f t="shared" si="868"/>
        <v>#DIV/0!</v>
      </c>
      <c r="S496" s="105"/>
      <c r="T496" s="91"/>
      <c r="U496" s="100"/>
      <c r="V496" s="92"/>
      <c r="W496" s="101" t="s">
        <v>102</v>
      </c>
      <c r="X496" s="106" t="e">
        <f t="shared" ref="X496:AK496" si="869">X495/X494</f>
        <v>#DIV/0!</v>
      </c>
      <c r="Y496" s="106" t="e">
        <f t="shared" si="869"/>
        <v>#DIV/0!</v>
      </c>
      <c r="Z496" s="106" t="e">
        <f t="shared" si="869"/>
        <v>#DIV/0!</v>
      </c>
      <c r="AA496" s="106" t="e">
        <f t="shared" si="869"/>
        <v>#DIV/0!</v>
      </c>
      <c r="AB496" s="106" t="e">
        <f t="shared" si="869"/>
        <v>#DIV/0!</v>
      </c>
      <c r="AC496" s="106" t="e">
        <f t="shared" si="869"/>
        <v>#DIV/0!</v>
      </c>
      <c r="AD496" s="106" t="e">
        <f t="shared" si="869"/>
        <v>#DIV/0!</v>
      </c>
      <c r="AE496" s="106" t="e">
        <f t="shared" si="869"/>
        <v>#DIV/0!</v>
      </c>
      <c r="AF496" s="107" t="e">
        <f t="shared" si="869"/>
        <v>#DIV/0!</v>
      </c>
      <c r="AG496" s="107" t="e">
        <f t="shared" si="869"/>
        <v>#DIV/0!</v>
      </c>
      <c r="AH496" s="107" t="e">
        <f t="shared" si="869"/>
        <v>#DIV/0!</v>
      </c>
      <c r="AI496" s="108" t="e">
        <f t="shared" si="869"/>
        <v>#DIV/0!</v>
      </c>
      <c r="AJ496" s="109" t="e">
        <f t="shared" si="869"/>
        <v>#DIV/0!</v>
      </c>
      <c r="AK496" s="110" t="e">
        <f t="shared" si="869"/>
        <v>#DIV/0!</v>
      </c>
      <c r="AL496" s="105"/>
    </row>
    <row r="497" spans="1:38" ht="15.6" hidden="1" thickBot="1">
      <c r="A497" s="91"/>
      <c r="B497" s="100"/>
      <c r="C497" s="111"/>
      <c r="D497" s="112" t="s">
        <v>103</v>
      </c>
      <c r="E497" s="113" t="e">
        <f t="shared" ref="E497:R497" si="870">E495/E493</f>
        <v>#DIV/0!</v>
      </c>
      <c r="F497" s="113" t="e">
        <f t="shared" si="870"/>
        <v>#DIV/0!</v>
      </c>
      <c r="G497" s="113" t="e">
        <f t="shared" si="870"/>
        <v>#DIV/0!</v>
      </c>
      <c r="H497" s="113" t="e">
        <f t="shared" si="870"/>
        <v>#DIV/0!</v>
      </c>
      <c r="I497" s="113" t="e">
        <f t="shared" si="870"/>
        <v>#DIV/0!</v>
      </c>
      <c r="J497" s="113" t="e">
        <f t="shared" si="870"/>
        <v>#DIV/0!</v>
      </c>
      <c r="K497" s="113" t="e">
        <f t="shared" si="870"/>
        <v>#DIV/0!</v>
      </c>
      <c r="L497" s="113" t="e">
        <f t="shared" si="870"/>
        <v>#DIV/0!</v>
      </c>
      <c r="M497" s="113" t="e">
        <f t="shared" si="870"/>
        <v>#DIV/0!</v>
      </c>
      <c r="N497" s="113" t="e">
        <f t="shared" si="870"/>
        <v>#DIV/0!</v>
      </c>
      <c r="O497" s="113" t="e">
        <f t="shared" si="870"/>
        <v>#DIV/0!</v>
      </c>
      <c r="P497" s="114" t="e">
        <f t="shared" si="870"/>
        <v>#DIV/0!</v>
      </c>
      <c r="Q497" s="115" t="e">
        <f t="shared" si="870"/>
        <v>#DIV/0!</v>
      </c>
      <c r="R497" s="116" t="e">
        <f t="shared" si="870"/>
        <v>#DIV/0!</v>
      </c>
      <c r="T497" s="91"/>
      <c r="U497" s="100"/>
      <c r="V497" s="111"/>
      <c r="W497" s="112" t="s">
        <v>103</v>
      </c>
      <c r="X497" s="113" t="e">
        <f t="shared" ref="X497:AK497" si="871">X495/X493</f>
        <v>#DIV/0!</v>
      </c>
      <c r="Y497" s="113" t="e">
        <f t="shared" si="871"/>
        <v>#DIV/0!</v>
      </c>
      <c r="Z497" s="113" t="e">
        <f t="shared" si="871"/>
        <v>#DIV/0!</v>
      </c>
      <c r="AA497" s="113" t="e">
        <f t="shared" si="871"/>
        <v>#DIV/0!</v>
      </c>
      <c r="AB497" s="113" t="e">
        <f t="shared" si="871"/>
        <v>#DIV/0!</v>
      </c>
      <c r="AC497" s="113" t="e">
        <f t="shared" si="871"/>
        <v>#DIV/0!</v>
      </c>
      <c r="AD497" s="113" t="e">
        <f t="shared" si="871"/>
        <v>#DIV/0!</v>
      </c>
      <c r="AE497" s="113" t="e">
        <f t="shared" si="871"/>
        <v>#DIV/0!</v>
      </c>
      <c r="AF497" s="113" t="e">
        <f t="shared" si="871"/>
        <v>#DIV/0!</v>
      </c>
      <c r="AG497" s="113" t="e">
        <f t="shared" si="871"/>
        <v>#DIV/0!</v>
      </c>
      <c r="AH497" s="113" t="e">
        <f t="shared" si="871"/>
        <v>#DIV/0!</v>
      </c>
      <c r="AI497" s="114" t="e">
        <f t="shared" si="871"/>
        <v>#DIV/0!</v>
      </c>
      <c r="AJ497" s="115" t="e">
        <f t="shared" si="871"/>
        <v>#DIV/0!</v>
      </c>
      <c r="AK497" s="116" t="e">
        <f t="shared" si="871"/>
        <v>#DIV/0!</v>
      </c>
    </row>
    <row r="498" spans="1:38" ht="15.6" hidden="1" thickBot="1">
      <c r="A498" s="91"/>
      <c r="B498" s="100"/>
      <c r="C498" s="86"/>
      <c r="D498" s="87">
        <v>2019</v>
      </c>
      <c r="E498" s="88"/>
      <c r="F498" s="121"/>
      <c r="G498" s="121"/>
      <c r="H498" s="121"/>
      <c r="I498" s="121"/>
      <c r="J498" s="121"/>
      <c r="K498" s="121"/>
      <c r="L498" s="121"/>
      <c r="M498" s="122"/>
      <c r="N498" s="122"/>
      <c r="O498" s="122"/>
      <c r="P498" s="123"/>
      <c r="Q498" s="89">
        <f t="shared" ref="Q498:Q500" si="872">SUM(E498:P498)</f>
        <v>0</v>
      </c>
      <c r="R498" s="90">
        <f t="shared" ref="R498" si="873">SUM(E498:M498)</f>
        <v>0</v>
      </c>
      <c r="T498" s="91"/>
      <c r="U498" s="100"/>
      <c r="V498" s="86">
        <f t="shared" ref="V498:V499" si="874">C498</f>
        <v>0</v>
      </c>
      <c r="W498" s="87">
        <v>2019</v>
      </c>
      <c r="X498" s="88"/>
      <c r="Y498" s="121"/>
      <c r="Z498" s="121"/>
      <c r="AA498" s="121"/>
      <c r="AB498" s="121"/>
      <c r="AC498" s="121"/>
      <c r="AD498" s="121"/>
      <c r="AE498" s="121"/>
      <c r="AF498" s="122"/>
      <c r="AG498" s="122"/>
      <c r="AH498" s="122"/>
      <c r="AI498" s="123"/>
      <c r="AJ498" s="89">
        <f t="shared" ref="AJ498:AJ500" si="875">SUM(X498:AI498)</f>
        <v>0</v>
      </c>
      <c r="AK498" s="90">
        <f t="shared" ref="AK498:AK500" si="876">SUM(X498:AF498)</f>
        <v>0</v>
      </c>
    </row>
    <row r="499" spans="1:38" ht="15.6" hidden="1" thickBot="1">
      <c r="A499" s="91"/>
      <c r="B499" s="100"/>
      <c r="C499" s="92"/>
      <c r="D499" s="93" t="s">
        <v>92</v>
      </c>
      <c r="E499" s="94"/>
      <c r="F499" s="97"/>
      <c r="G499" s="97"/>
      <c r="H499" s="97"/>
      <c r="I499" s="97"/>
      <c r="J499" s="97"/>
      <c r="K499" s="97"/>
      <c r="L499" s="97"/>
      <c r="M499" s="98"/>
      <c r="N499" s="98"/>
      <c r="O499" s="98"/>
      <c r="P499" s="99"/>
      <c r="Q499" s="95">
        <f t="shared" si="872"/>
        <v>0</v>
      </c>
      <c r="R499" s="96">
        <f t="shared" si="810"/>
        <v>0</v>
      </c>
      <c r="T499" s="91"/>
      <c r="U499" s="100"/>
      <c r="V499" s="92">
        <f t="shared" si="874"/>
        <v>0</v>
      </c>
      <c r="W499" s="93" t="s">
        <v>92</v>
      </c>
      <c r="X499" s="94"/>
      <c r="Y499" s="97"/>
      <c r="Z499" s="97"/>
      <c r="AA499" s="97"/>
      <c r="AB499" s="97"/>
      <c r="AC499" s="97"/>
      <c r="AD499" s="97"/>
      <c r="AE499" s="97"/>
      <c r="AF499" s="98"/>
      <c r="AG499" s="98"/>
      <c r="AH499" s="98"/>
      <c r="AI499" s="99"/>
      <c r="AJ499" s="95">
        <f t="shared" si="875"/>
        <v>0</v>
      </c>
      <c r="AK499" s="96">
        <f t="shared" si="876"/>
        <v>0</v>
      </c>
    </row>
    <row r="500" spans="1:38" ht="15.6" hidden="1" thickBot="1">
      <c r="A500" s="91"/>
      <c r="B500" s="100"/>
      <c r="C500" s="92"/>
      <c r="D500" s="101">
        <v>2020</v>
      </c>
      <c r="E500" s="102"/>
      <c r="F500" s="124"/>
      <c r="G500" s="124"/>
      <c r="H500" s="124"/>
      <c r="I500" s="124"/>
      <c r="J500" s="124"/>
      <c r="K500" s="124"/>
      <c r="L500" s="124"/>
      <c r="M500" s="125"/>
      <c r="N500" s="125"/>
      <c r="O500" s="125"/>
      <c r="P500" s="126"/>
      <c r="Q500" s="103">
        <f t="shared" si="872"/>
        <v>0</v>
      </c>
      <c r="R500" s="104">
        <f t="shared" si="810"/>
        <v>0</v>
      </c>
      <c r="S500" s="105"/>
      <c r="T500" s="91"/>
      <c r="U500" s="100"/>
      <c r="V500" s="92"/>
      <c r="W500" s="101">
        <v>2020</v>
      </c>
      <c r="X500" s="102"/>
      <c r="Y500" s="124"/>
      <c r="Z500" s="124"/>
      <c r="AA500" s="124"/>
      <c r="AB500" s="124"/>
      <c r="AC500" s="124"/>
      <c r="AD500" s="124"/>
      <c r="AE500" s="124"/>
      <c r="AF500" s="125"/>
      <c r="AG500" s="125"/>
      <c r="AH500" s="125"/>
      <c r="AI500" s="126"/>
      <c r="AJ500" s="103">
        <f t="shared" si="875"/>
        <v>0</v>
      </c>
      <c r="AK500" s="104">
        <f t="shared" si="876"/>
        <v>0</v>
      </c>
      <c r="AL500" s="105"/>
    </row>
    <row r="501" spans="1:38" ht="15.6" hidden="1" thickBot="1">
      <c r="A501" s="91"/>
      <c r="B501" s="100"/>
      <c r="C501" s="92"/>
      <c r="D501" s="101" t="s">
        <v>102</v>
      </c>
      <c r="E501" s="106" t="e">
        <f t="shared" ref="E501:R501" si="877">E500/E499</f>
        <v>#DIV/0!</v>
      </c>
      <c r="F501" s="106" t="e">
        <f t="shared" si="877"/>
        <v>#DIV/0!</v>
      </c>
      <c r="G501" s="106" t="e">
        <f t="shared" si="877"/>
        <v>#DIV/0!</v>
      </c>
      <c r="H501" s="106" t="e">
        <f t="shared" si="877"/>
        <v>#DIV/0!</v>
      </c>
      <c r="I501" s="106" t="e">
        <f t="shared" si="877"/>
        <v>#DIV/0!</v>
      </c>
      <c r="J501" s="106" t="e">
        <f t="shared" si="877"/>
        <v>#DIV/0!</v>
      </c>
      <c r="K501" s="106" t="e">
        <f t="shared" si="877"/>
        <v>#DIV/0!</v>
      </c>
      <c r="L501" s="106" t="e">
        <f t="shared" si="877"/>
        <v>#DIV/0!</v>
      </c>
      <c r="M501" s="107" t="e">
        <f t="shared" si="877"/>
        <v>#DIV/0!</v>
      </c>
      <c r="N501" s="107" t="e">
        <f t="shared" si="877"/>
        <v>#DIV/0!</v>
      </c>
      <c r="O501" s="107" t="e">
        <f t="shared" si="877"/>
        <v>#DIV/0!</v>
      </c>
      <c r="P501" s="108" t="e">
        <f t="shared" si="877"/>
        <v>#DIV/0!</v>
      </c>
      <c r="Q501" s="109" t="e">
        <f t="shared" si="877"/>
        <v>#DIV/0!</v>
      </c>
      <c r="R501" s="110" t="e">
        <f t="shared" si="877"/>
        <v>#DIV/0!</v>
      </c>
      <c r="S501" s="105"/>
      <c r="T501" s="91"/>
      <c r="U501" s="100"/>
      <c r="V501" s="92"/>
      <c r="W501" s="101" t="s">
        <v>102</v>
      </c>
      <c r="X501" s="106" t="e">
        <f t="shared" ref="X501:AK501" si="878">X500/X499</f>
        <v>#DIV/0!</v>
      </c>
      <c r="Y501" s="106" t="e">
        <f t="shared" si="878"/>
        <v>#DIV/0!</v>
      </c>
      <c r="Z501" s="106" t="e">
        <f t="shared" si="878"/>
        <v>#DIV/0!</v>
      </c>
      <c r="AA501" s="106" t="e">
        <f t="shared" si="878"/>
        <v>#DIV/0!</v>
      </c>
      <c r="AB501" s="106" t="e">
        <f t="shared" si="878"/>
        <v>#DIV/0!</v>
      </c>
      <c r="AC501" s="106" t="e">
        <f t="shared" si="878"/>
        <v>#DIV/0!</v>
      </c>
      <c r="AD501" s="106" t="e">
        <f t="shared" si="878"/>
        <v>#DIV/0!</v>
      </c>
      <c r="AE501" s="106" t="e">
        <f t="shared" si="878"/>
        <v>#DIV/0!</v>
      </c>
      <c r="AF501" s="107" t="e">
        <f t="shared" si="878"/>
        <v>#DIV/0!</v>
      </c>
      <c r="AG501" s="107" t="e">
        <f t="shared" si="878"/>
        <v>#DIV/0!</v>
      </c>
      <c r="AH501" s="107" t="e">
        <f t="shared" si="878"/>
        <v>#DIV/0!</v>
      </c>
      <c r="AI501" s="108" t="e">
        <f t="shared" si="878"/>
        <v>#DIV/0!</v>
      </c>
      <c r="AJ501" s="109" t="e">
        <f t="shared" si="878"/>
        <v>#DIV/0!</v>
      </c>
      <c r="AK501" s="110" t="e">
        <f t="shared" si="878"/>
        <v>#DIV/0!</v>
      </c>
      <c r="AL501" s="105"/>
    </row>
    <row r="502" spans="1:38" ht="15.6" hidden="1" thickBot="1">
      <c r="A502" s="91"/>
      <c r="B502" s="100"/>
      <c r="C502" s="111"/>
      <c r="D502" s="112" t="s">
        <v>103</v>
      </c>
      <c r="E502" s="113" t="e">
        <f t="shared" ref="E502:R502" si="879">E500/E498</f>
        <v>#DIV/0!</v>
      </c>
      <c r="F502" s="113" t="e">
        <f t="shared" si="879"/>
        <v>#DIV/0!</v>
      </c>
      <c r="G502" s="113" t="e">
        <f t="shared" si="879"/>
        <v>#DIV/0!</v>
      </c>
      <c r="H502" s="113" t="e">
        <f t="shared" si="879"/>
        <v>#DIV/0!</v>
      </c>
      <c r="I502" s="113" t="e">
        <f t="shared" si="879"/>
        <v>#DIV/0!</v>
      </c>
      <c r="J502" s="113" t="e">
        <f t="shared" si="879"/>
        <v>#DIV/0!</v>
      </c>
      <c r="K502" s="113" t="e">
        <f t="shared" si="879"/>
        <v>#DIV/0!</v>
      </c>
      <c r="L502" s="113" t="e">
        <f t="shared" si="879"/>
        <v>#DIV/0!</v>
      </c>
      <c r="M502" s="113" t="e">
        <f t="shared" si="879"/>
        <v>#DIV/0!</v>
      </c>
      <c r="N502" s="113" t="e">
        <f t="shared" si="879"/>
        <v>#DIV/0!</v>
      </c>
      <c r="O502" s="113" t="e">
        <f t="shared" si="879"/>
        <v>#DIV/0!</v>
      </c>
      <c r="P502" s="114" t="e">
        <f t="shared" si="879"/>
        <v>#DIV/0!</v>
      </c>
      <c r="Q502" s="115" t="e">
        <f t="shared" si="879"/>
        <v>#DIV/0!</v>
      </c>
      <c r="R502" s="116" t="e">
        <f t="shared" si="879"/>
        <v>#DIV/0!</v>
      </c>
      <c r="T502" s="91"/>
      <c r="U502" s="100"/>
      <c r="V502" s="111"/>
      <c r="W502" s="112" t="s">
        <v>103</v>
      </c>
      <c r="X502" s="113" t="e">
        <f t="shared" ref="X502:AK502" si="880">X500/X498</f>
        <v>#DIV/0!</v>
      </c>
      <c r="Y502" s="113" t="e">
        <f t="shared" si="880"/>
        <v>#DIV/0!</v>
      </c>
      <c r="Z502" s="113" t="e">
        <f t="shared" si="880"/>
        <v>#DIV/0!</v>
      </c>
      <c r="AA502" s="113" t="e">
        <f t="shared" si="880"/>
        <v>#DIV/0!</v>
      </c>
      <c r="AB502" s="113" t="e">
        <f t="shared" si="880"/>
        <v>#DIV/0!</v>
      </c>
      <c r="AC502" s="113" t="e">
        <f t="shared" si="880"/>
        <v>#DIV/0!</v>
      </c>
      <c r="AD502" s="113" t="e">
        <f t="shared" si="880"/>
        <v>#DIV/0!</v>
      </c>
      <c r="AE502" s="113" t="e">
        <f t="shared" si="880"/>
        <v>#DIV/0!</v>
      </c>
      <c r="AF502" s="113" t="e">
        <f t="shared" si="880"/>
        <v>#DIV/0!</v>
      </c>
      <c r="AG502" s="113" t="e">
        <f t="shared" si="880"/>
        <v>#DIV/0!</v>
      </c>
      <c r="AH502" s="113" t="e">
        <f t="shared" si="880"/>
        <v>#DIV/0!</v>
      </c>
      <c r="AI502" s="114" t="e">
        <f t="shared" si="880"/>
        <v>#DIV/0!</v>
      </c>
      <c r="AJ502" s="115" t="e">
        <f t="shared" si="880"/>
        <v>#DIV/0!</v>
      </c>
      <c r="AK502" s="116" t="e">
        <f t="shared" si="880"/>
        <v>#DIV/0!</v>
      </c>
    </row>
    <row r="503" spans="1:38" ht="15.6" hidden="1" thickBot="1">
      <c r="A503" s="91"/>
      <c r="B503" s="100"/>
      <c r="C503" s="86"/>
      <c r="D503" s="87">
        <v>2019</v>
      </c>
      <c r="E503" s="88"/>
      <c r="F503" s="121"/>
      <c r="G503" s="121"/>
      <c r="H503" s="121"/>
      <c r="I503" s="121"/>
      <c r="J503" s="121"/>
      <c r="K503" s="121"/>
      <c r="L503" s="121"/>
      <c r="M503" s="122"/>
      <c r="N503" s="122"/>
      <c r="O503" s="122"/>
      <c r="P503" s="123"/>
      <c r="Q503" s="89">
        <f t="shared" ref="Q503:Q505" si="881">SUM(E503:P503)</f>
        <v>0</v>
      </c>
      <c r="R503" s="90">
        <f t="shared" ref="R503" si="882">SUM(E503:M503)</f>
        <v>0</v>
      </c>
      <c r="T503" s="91"/>
      <c r="U503" s="100"/>
      <c r="V503" s="86">
        <f t="shared" ref="V503:V504" si="883">C503</f>
        <v>0</v>
      </c>
      <c r="W503" s="87">
        <v>2019</v>
      </c>
      <c r="X503" s="88"/>
      <c r="Y503" s="121"/>
      <c r="Z503" s="121"/>
      <c r="AA503" s="121"/>
      <c r="AB503" s="121"/>
      <c r="AC503" s="121"/>
      <c r="AD503" s="121"/>
      <c r="AE503" s="121"/>
      <c r="AF503" s="122"/>
      <c r="AG503" s="122"/>
      <c r="AH503" s="122"/>
      <c r="AI503" s="123"/>
      <c r="AJ503" s="89">
        <f t="shared" ref="AJ503:AJ505" si="884">SUM(X503:AI503)</f>
        <v>0</v>
      </c>
      <c r="AK503" s="90">
        <f t="shared" ref="AK503:AK505" si="885">SUM(X503:AF503)</f>
        <v>0</v>
      </c>
    </row>
    <row r="504" spans="1:38" ht="15.6" hidden="1" thickBot="1">
      <c r="A504" s="91"/>
      <c r="B504" s="100"/>
      <c r="C504" s="92"/>
      <c r="D504" s="93" t="s">
        <v>92</v>
      </c>
      <c r="E504" s="94"/>
      <c r="F504" s="97"/>
      <c r="G504" s="97"/>
      <c r="H504" s="97"/>
      <c r="I504" s="97"/>
      <c r="J504" s="97"/>
      <c r="K504" s="97"/>
      <c r="L504" s="97"/>
      <c r="M504" s="98"/>
      <c r="N504" s="98"/>
      <c r="O504" s="98"/>
      <c r="P504" s="99"/>
      <c r="Q504" s="95">
        <f t="shared" si="881"/>
        <v>0</v>
      </c>
      <c r="R504" s="96">
        <f t="shared" si="810"/>
        <v>0</v>
      </c>
      <c r="T504" s="91"/>
      <c r="U504" s="100"/>
      <c r="V504" s="92">
        <f t="shared" si="883"/>
        <v>0</v>
      </c>
      <c r="W504" s="93" t="s">
        <v>92</v>
      </c>
      <c r="X504" s="94"/>
      <c r="Y504" s="97"/>
      <c r="Z504" s="97"/>
      <c r="AA504" s="97"/>
      <c r="AB504" s="97"/>
      <c r="AC504" s="97"/>
      <c r="AD504" s="97"/>
      <c r="AE504" s="97"/>
      <c r="AF504" s="98"/>
      <c r="AG504" s="98"/>
      <c r="AH504" s="98"/>
      <c r="AI504" s="99"/>
      <c r="AJ504" s="95">
        <f t="shared" si="884"/>
        <v>0</v>
      </c>
      <c r="AK504" s="96">
        <f t="shared" si="885"/>
        <v>0</v>
      </c>
    </row>
    <row r="505" spans="1:38" ht="15.6" hidden="1" thickBot="1">
      <c r="A505" s="91"/>
      <c r="B505" s="100"/>
      <c r="C505" s="92"/>
      <c r="D505" s="101">
        <v>2020</v>
      </c>
      <c r="E505" s="102"/>
      <c r="F505" s="124"/>
      <c r="G505" s="124"/>
      <c r="H505" s="124"/>
      <c r="I505" s="124"/>
      <c r="J505" s="124"/>
      <c r="K505" s="124"/>
      <c r="L505" s="124"/>
      <c r="M505" s="125"/>
      <c r="N505" s="125"/>
      <c r="O505" s="125"/>
      <c r="P505" s="126"/>
      <c r="Q505" s="103">
        <f t="shared" si="881"/>
        <v>0</v>
      </c>
      <c r="R505" s="104">
        <f t="shared" si="810"/>
        <v>0</v>
      </c>
      <c r="S505" s="105"/>
      <c r="T505" s="91"/>
      <c r="U505" s="100"/>
      <c r="V505" s="92"/>
      <c r="W505" s="101">
        <v>2020</v>
      </c>
      <c r="X505" s="102"/>
      <c r="Y505" s="124"/>
      <c r="Z505" s="124"/>
      <c r="AA505" s="124"/>
      <c r="AB505" s="124"/>
      <c r="AC505" s="124"/>
      <c r="AD505" s="124"/>
      <c r="AE505" s="124"/>
      <c r="AF505" s="125"/>
      <c r="AG505" s="125"/>
      <c r="AH505" s="125"/>
      <c r="AI505" s="126"/>
      <c r="AJ505" s="103">
        <f t="shared" si="884"/>
        <v>0</v>
      </c>
      <c r="AK505" s="104">
        <f t="shared" si="885"/>
        <v>0</v>
      </c>
      <c r="AL505" s="105"/>
    </row>
    <row r="506" spans="1:38" ht="15.6" hidden="1" thickBot="1">
      <c r="A506" s="91"/>
      <c r="B506" s="100"/>
      <c r="C506" s="92"/>
      <c r="D506" s="101" t="s">
        <v>102</v>
      </c>
      <c r="E506" s="106" t="e">
        <f t="shared" ref="E506:R506" si="886">E505/E504</f>
        <v>#DIV/0!</v>
      </c>
      <c r="F506" s="106" t="e">
        <f t="shared" si="886"/>
        <v>#DIV/0!</v>
      </c>
      <c r="G506" s="106" t="e">
        <f t="shared" si="886"/>
        <v>#DIV/0!</v>
      </c>
      <c r="H506" s="106" t="e">
        <f t="shared" si="886"/>
        <v>#DIV/0!</v>
      </c>
      <c r="I506" s="106" t="e">
        <f t="shared" si="886"/>
        <v>#DIV/0!</v>
      </c>
      <c r="J506" s="106" t="e">
        <f t="shared" si="886"/>
        <v>#DIV/0!</v>
      </c>
      <c r="K506" s="106" t="e">
        <f t="shared" si="886"/>
        <v>#DIV/0!</v>
      </c>
      <c r="L506" s="106" t="e">
        <f t="shared" si="886"/>
        <v>#DIV/0!</v>
      </c>
      <c r="M506" s="107" t="e">
        <f t="shared" si="886"/>
        <v>#DIV/0!</v>
      </c>
      <c r="N506" s="107" t="e">
        <f t="shared" si="886"/>
        <v>#DIV/0!</v>
      </c>
      <c r="O506" s="107" t="e">
        <f t="shared" si="886"/>
        <v>#DIV/0!</v>
      </c>
      <c r="P506" s="108" t="e">
        <f t="shared" si="886"/>
        <v>#DIV/0!</v>
      </c>
      <c r="Q506" s="109" t="e">
        <f t="shared" si="886"/>
        <v>#DIV/0!</v>
      </c>
      <c r="R506" s="110" t="e">
        <f t="shared" si="886"/>
        <v>#DIV/0!</v>
      </c>
      <c r="S506" s="105"/>
      <c r="T506" s="91"/>
      <c r="U506" s="100"/>
      <c r="V506" s="92"/>
      <c r="W506" s="101" t="s">
        <v>102</v>
      </c>
      <c r="X506" s="106" t="e">
        <f t="shared" ref="X506:AK506" si="887">X505/X504</f>
        <v>#DIV/0!</v>
      </c>
      <c r="Y506" s="106" t="e">
        <f t="shared" si="887"/>
        <v>#DIV/0!</v>
      </c>
      <c r="Z506" s="106" t="e">
        <f t="shared" si="887"/>
        <v>#DIV/0!</v>
      </c>
      <c r="AA506" s="106" t="e">
        <f t="shared" si="887"/>
        <v>#DIV/0!</v>
      </c>
      <c r="AB506" s="106" t="e">
        <f t="shared" si="887"/>
        <v>#DIV/0!</v>
      </c>
      <c r="AC506" s="106" t="e">
        <f t="shared" si="887"/>
        <v>#DIV/0!</v>
      </c>
      <c r="AD506" s="106" t="e">
        <f t="shared" si="887"/>
        <v>#DIV/0!</v>
      </c>
      <c r="AE506" s="106" t="e">
        <f t="shared" si="887"/>
        <v>#DIV/0!</v>
      </c>
      <c r="AF506" s="107" t="e">
        <f t="shared" si="887"/>
        <v>#DIV/0!</v>
      </c>
      <c r="AG506" s="107" t="e">
        <f t="shared" si="887"/>
        <v>#DIV/0!</v>
      </c>
      <c r="AH506" s="107" t="e">
        <f t="shared" si="887"/>
        <v>#DIV/0!</v>
      </c>
      <c r="AI506" s="108" t="e">
        <f t="shared" si="887"/>
        <v>#DIV/0!</v>
      </c>
      <c r="AJ506" s="109" t="e">
        <f t="shared" si="887"/>
        <v>#DIV/0!</v>
      </c>
      <c r="AK506" s="110" t="e">
        <f t="shared" si="887"/>
        <v>#DIV/0!</v>
      </c>
      <c r="AL506" s="105"/>
    </row>
    <row r="507" spans="1:38" ht="15.6" hidden="1" thickBot="1">
      <c r="A507" s="91"/>
      <c r="B507" s="100"/>
      <c r="C507" s="111"/>
      <c r="D507" s="112" t="s">
        <v>103</v>
      </c>
      <c r="E507" s="113" t="e">
        <f t="shared" ref="E507:R507" si="888">E505/E503</f>
        <v>#DIV/0!</v>
      </c>
      <c r="F507" s="113" t="e">
        <f t="shared" si="888"/>
        <v>#DIV/0!</v>
      </c>
      <c r="G507" s="113" t="e">
        <f t="shared" si="888"/>
        <v>#DIV/0!</v>
      </c>
      <c r="H507" s="113" t="e">
        <f t="shared" si="888"/>
        <v>#DIV/0!</v>
      </c>
      <c r="I507" s="113" t="e">
        <f t="shared" si="888"/>
        <v>#DIV/0!</v>
      </c>
      <c r="J507" s="113" t="e">
        <f t="shared" si="888"/>
        <v>#DIV/0!</v>
      </c>
      <c r="K507" s="113" t="e">
        <f t="shared" si="888"/>
        <v>#DIV/0!</v>
      </c>
      <c r="L507" s="113" t="e">
        <f t="shared" si="888"/>
        <v>#DIV/0!</v>
      </c>
      <c r="M507" s="113" t="e">
        <f t="shared" si="888"/>
        <v>#DIV/0!</v>
      </c>
      <c r="N507" s="113" t="e">
        <f t="shared" si="888"/>
        <v>#DIV/0!</v>
      </c>
      <c r="O507" s="113" t="e">
        <f t="shared" si="888"/>
        <v>#DIV/0!</v>
      </c>
      <c r="P507" s="114" t="e">
        <f t="shared" si="888"/>
        <v>#DIV/0!</v>
      </c>
      <c r="Q507" s="115" t="e">
        <f t="shared" si="888"/>
        <v>#DIV/0!</v>
      </c>
      <c r="R507" s="116" t="e">
        <f t="shared" si="888"/>
        <v>#DIV/0!</v>
      </c>
      <c r="T507" s="91"/>
      <c r="U507" s="100"/>
      <c r="V507" s="111"/>
      <c r="W507" s="112" t="s">
        <v>103</v>
      </c>
      <c r="X507" s="113" t="e">
        <f t="shared" ref="X507:AK507" si="889">X505/X503</f>
        <v>#DIV/0!</v>
      </c>
      <c r="Y507" s="113" t="e">
        <f t="shared" si="889"/>
        <v>#DIV/0!</v>
      </c>
      <c r="Z507" s="113" t="e">
        <f t="shared" si="889"/>
        <v>#DIV/0!</v>
      </c>
      <c r="AA507" s="113" t="e">
        <f t="shared" si="889"/>
        <v>#DIV/0!</v>
      </c>
      <c r="AB507" s="113" t="e">
        <f t="shared" si="889"/>
        <v>#DIV/0!</v>
      </c>
      <c r="AC507" s="113" t="e">
        <f t="shared" si="889"/>
        <v>#DIV/0!</v>
      </c>
      <c r="AD507" s="113" t="e">
        <f t="shared" si="889"/>
        <v>#DIV/0!</v>
      </c>
      <c r="AE507" s="113" t="e">
        <f t="shared" si="889"/>
        <v>#DIV/0!</v>
      </c>
      <c r="AF507" s="113" t="e">
        <f t="shared" si="889"/>
        <v>#DIV/0!</v>
      </c>
      <c r="AG507" s="113" t="e">
        <f t="shared" si="889"/>
        <v>#DIV/0!</v>
      </c>
      <c r="AH507" s="113" t="e">
        <f t="shared" si="889"/>
        <v>#DIV/0!</v>
      </c>
      <c r="AI507" s="114" t="e">
        <f t="shared" si="889"/>
        <v>#DIV/0!</v>
      </c>
      <c r="AJ507" s="115" t="e">
        <f t="shared" si="889"/>
        <v>#DIV/0!</v>
      </c>
      <c r="AK507" s="116" t="e">
        <f t="shared" si="889"/>
        <v>#DIV/0!</v>
      </c>
    </row>
    <row r="508" spans="1:38" ht="15.6" hidden="1" thickBot="1">
      <c r="A508" s="91"/>
      <c r="B508" s="100"/>
      <c r="C508" s="86"/>
      <c r="D508" s="87">
        <v>2019</v>
      </c>
      <c r="E508" s="88"/>
      <c r="F508" s="121"/>
      <c r="G508" s="121"/>
      <c r="H508" s="121"/>
      <c r="I508" s="121"/>
      <c r="J508" s="121"/>
      <c r="K508" s="121"/>
      <c r="L508" s="121"/>
      <c r="M508" s="122"/>
      <c r="N508" s="122"/>
      <c r="O508" s="122"/>
      <c r="P508" s="123"/>
      <c r="Q508" s="89">
        <f t="shared" ref="Q508:Q510" si="890">SUM(E508:P508)</f>
        <v>0</v>
      </c>
      <c r="R508" s="90">
        <f t="shared" ref="R508" si="891">SUM(E508:M508)</f>
        <v>0</v>
      </c>
      <c r="T508" s="91"/>
      <c r="U508" s="100"/>
      <c r="V508" s="86">
        <f t="shared" ref="V508:V509" si="892">C508</f>
        <v>0</v>
      </c>
      <c r="W508" s="87">
        <v>2019</v>
      </c>
      <c r="X508" s="88"/>
      <c r="Y508" s="121"/>
      <c r="Z508" s="121"/>
      <c r="AA508" s="121"/>
      <c r="AB508" s="121"/>
      <c r="AC508" s="121"/>
      <c r="AD508" s="121"/>
      <c r="AE508" s="121"/>
      <c r="AF508" s="122"/>
      <c r="AG508" s="122"/>
      <c r="AH508" s="122"/>
      <c r="AI508" s="123"/>
      <c r="AJ508" s="89">
        <f t="shared" ref="AJ508:AJ510" si="893">SUM(X508:AI508)</f>
        <v>0</v>
      </c>
      <c r="AK508" s="90">
        <f t="shared" ref="AK508:AK510" si="894">SUM(X508:AF508)</f>
        <v>0</v>
      </c>
    </row>
    <row r="509" spans="1:38" ht="15.6" hidden="1" thickBot="1">
      <c r="A509" s="91"/>
      <c r="B509" s="100"/>
      <c r="C509" s="92"/>
      <c r="D509" s="93" t="s">
        <v>92</v>
      </c>
      <c r="E509" s="94"/>
      <c r="F509" s="97"/>
      <c r="G509" s="97"/>
      <c r="H509" s="97"/>
      <c r="I509" s="97"/>
      <c r="J509" s="97"/>
      <c r="K509" s="97"/>
      <c r="L509" s="97"/>
      <c r="M509" s="98"/>
      <c r="N509" s="98"/>
      <c r="O509" s="98"/>
      <c r="P509" s="99"/>
      <c r="Q509" s="95">
        <f t="shared" si="890"/>
        <v>0</v>
      </c>
      <c r="R509" s="96">
        <f t="shared" si="810"/>
        <v>0</v>
      </c>
      <c r="T509" s="91"/>
      <c r="U509" s="100"/>
      <c r="V509" s="92">
        <f t="shared" si="892"/>
        <v>0</v>
      </c>
      <c r="W509" s="93" t="s">
        <v>92</v>
      </c>
      <c r="X509" s="94"/>
      <c r="Y509" s="97"/>
      <c r="Z509" s="97"/>
      <c r="AA509" s="97"/>
      <c r="AB509" s="97"/>
      <c r="AC509" s="97"/>
      <c r="AD509" s="97"/>
      <c r="AE509" s="97"/>
      <c r="AF509" s="98"/>
      <c r="AG509" s="98"/>
      <c r="AH509" s="98"/>
      <c r="AI509" s="99"/>
      <c r="AJ509" s="95">
        <f t="shared" si="893"/>
        <v>0</v>
      </c>
      <c r="AK509" s="96">
        <f t="shared" si="894"/>
        <v>0</v>
      </c>
    </row>
    <row r="510" spans="1:38" ht="15.6" hidden="1" thickBot="1">
      <c r="A510" s="91"/>
      <c r="B510" s="100"/>
      <c r="C510" s="92"/>
      <c r="D510" s="101">
        <v>2020</v>
      </c>
      <c r="E510" s="102"/>
      <c r="F510" s="124"/>
      <c r="G510" s="124"/>
      <c r="H510" s="124"/>
      <c r="I510" s="124"/>
      <c r="J510" s="124"/>
      <c r="K510" s="124"/>
      <c r="L510" s="124"/>
      <c r="M510" s="125"/>
      <c r="N510" s="125"/>
      <c r="O510" s="125"/>
      <c r="P510" s="126"/>
      <c r="Q510" s="103">
        <f t="shared" si="890"/>
        <v>0</v>
      </c>
      <c r="R510" s="104">
        <f t="shared" si="810"/>
        <v>0</v>
      </c>
      <c r="S510" s="105"/>
      <c r="T510" s="91"/>
      <c r="U510" s="100"/>
      <c r="V510" s="92"/>
      <c r="W510" s="101">
        <v>2020</v>
      </c>
      <c r="X510" s="102"/>
      <c r="Y510" s="124"/>
      <c r="Z510" s="124"/>
      <c r="AA510" s="124"/>
      <c r="AB510" s="124"/>
      <c r="AC510" s="124"/>
      <c r="AD510" s="124"/>
      <c r="AE510" s="124"/>
      <c r="AF510" s="125"/>
      <c r="AG510" s="125"/>
      <c r="AH510" s="125"/>
      <c r="AI510" s="126"/>
      <c r="AJ510" s="103">
        <f t="shared" si="893"/>
        <v>0</v>
      </c>
      <c r="AK510" s="104">
        <f t="shared" si="894"/>
        <v>0</v>
      </c>
      <c r="AL510" s="105"/>
    </row>
    <row r="511" spans="1:38" ht="15.6" hidden="1" thickBot="1">
      <c r="A511" s="91"/>
      <c r="B511" s="100"/>
      <c r="C511" s="92"/>
      <c r="D511" s="101" t="s">
        <v>102</v>
      </c>
      <c r="E511" s="106" t="e">
        <f t="shared" ref="E511:R511" si="895">E510/E509</f>
        <v>#DIV/0!</v>
      </c>
      <c r="F511" s="106" t="e">
        <f t="shared" si="895"/>
        <v>#DIV/0!</v>
      </c>
      <c r="G511" s="106" t="e">
        <f t="shared" si="895"/>
        <v>#DIV/0!</v>
      </c>
      <c r="H511" s="106" t="e">
        <f t="shared" si="895"/>
        <v>#DIV/0!</v>
      </c>
      <c r="I511" s="106" t="e">
        <f t="shared" si="895"/>
        <v>#DIV/0!</v>
      </c>
      <c r="J511" s="106" t="e">
        <f t="shared" si="895"/>
        <v>#DIV/0!</v>
      </c>
      <c r="K511" s="106" t="e">
        <f t="shared" si="895"/>
        <v>#DIV/0!</v>
      </c>
      <c r="L511" s="106" t="e">
        <f t="shared" si="895"/>
        <v>#DIV/0!</v>
      </c>
      <c r="M511" s="107" t="e">
        <f t="shared" si="895"/>
        <v>#DIV/0!</v>
      </c>
      <c r="N511" s="107" t="e">
        <f t="shared" si="895"/>
        <v>#DIV/0!</v>
      </c>
      <c r="O511" s="107" t="e">
        <f t="shared" si="895"/>
        <v>#DIV/0!</v>
      </c>
      <c r="P511" s="108" t="e">
        <f t="shared" si="895"/>
        <v>#DIV/0!</v>
      </c>
      <c r="Q511" s="109" t="e">
        <f t="shared" si="895"/>
        <v>#DIV/0!</v>
      </c>
      <c r="R511" s="110" t="e">
        <f t="shared" si="895"/>
        <v>#DIV/0!</v>
      </c>
      <c r="S511" s="105"/>
      <c r="T511" s="91"/>
      <c r="U511" s="100"/>
      <c r="V511" s="92"/>
      <c r="W511" s="101" t="s">
        <v>102</v>
      </c>
      <c r="X511" s="106" t="e">
        <f t="shared" ref="X511:AK511" si="896">X510/X509</f>
        <v>#DIV/0!</v>
      </c>
      <c r="Y511" s="106" t="e">
        <f t="shared" si="896"/>
        <v>#DIV/0!</v>
      </c>
      <c r="Z511" s="106" t="e">
        <f t="shared" si="896"/>
        <v>#DIV/0!</v>
      </c>
      <c r="AA511" s="106" t="e">
        <f t="shared" si="896"/>
        <v>#DIV/0!</v>
      </c>
      <c r="AB511" s="106" t="e">
        <f t="shared" si="896"/>
        <v>#DIV/0!</v>
      </c>
      <c r="AC511" s="106" t="e">
        <f t="shared" si="896"/>
        <v>#DIV/0!</v>
      </c>
      <c r="AD511" s="106" t="e">
        <f t="shared" si="896"/>
        <v>#DIV/0!</v>
      </c>
      <c r="AE511" s="106" t="e">
        <f t="shared" si="896"/>
        <v>#DIV/0!</v>
      </c>
      <c r="AF511" s="107" t="e">
        <f t="shared" si="896"/>
        <v>#DIV/0!</v>
      </c>
      <c r="AG511" s="107" t="e">
        <f t="shared" si="896"/>
        <v>#DIV/0!</v>
      </c>
      <c r="AH511" s="107" t="e">
        <f t="shared" si="896"/>
        <v>#DIV/0!</v>
      </c>
      <c r="AI511" s="108" t="e">
        <f t="shared" si="896"/>
        <v>#DIV/0!</v>
      </c>
      <c r="AJ511" s="109" t="e">
        <f t="shared" si="896"/>
        <v>#DIV/0!</v>
      </c>
      <c r="AK511" s="110" t="e">
        <f t="shared" si="896"/>
        <v>#DIV/0!</v>
      </c>
      <c r="AL511" s="105"/>
    </row>
    <row r="512" spans="1:38" ht="15.6" hidden="1" thickBot="1">
      <c r="A512" s="91"/>
      <c r="B512" s="100"/>
      <c r="C512" s="111"/>
      <c r="D512" s="112" t="s">
        <v>103</v>
      </c>
      <c r="E512" s="113" t="e">
        <f t="shared" ref="E512:R512" si="897">E510/E508</f>
        <v>#DIV/0!</v>
      </c>
      <c r="F512" s="113" t="e">
        <f t="shared" si="897"/>
        <v>#DIV/0!</v>
      </c>
      <c r="G512" s="113" t="e">
        <f t="shared" si="897"/>
        <v>#DIV/0!</v>
      </c>
      <c r="H512" s="113" t="e">
        <f t="shared" si="897"/>
        <v>#DIV/0!</v>
      </c>
      <c r="I512" s="113" t="e">
        <f t="shared" si="897"/>
        <v>#DIV/0!</v>
      </c>
      <c r="J512" s="113" t="e">
        <f t="shared" si="897"/>
        <v>#DIV/0!</v>
      </c>
      <c r="K512" s="113" t="e">
        <f t="shared" si="897"/>
        <v>#DIV/0!</v>
      </c>
      <c r="L512" s="113" t="e">
        <f t="shared" si="897"/>
        <v>#DIV/0!</v>
      </c>
      <c r="M512" s="113" t="e">
        <f t="shared" si="897"/>
        <v>#DIV/0!</v>
      </c>
      <c r="N512" s="113" t="e">
        <f t="shared" si="897"/>
        <v>#DIV/0!</v>
      </c>
      <c r="O512" s="113" t="e">
        <f t="shared" si="897"/>
        <v>#DIV/0!</v>
      </c>
      <c r="P512" s="114" t="e">
        <f t="shared" si="897"/>
        <v>#DIV/0!</v>
      </c>
      <c r="Q512" s="115" t="e">
        <f t="shared" si="897"/>
        <v>#DIV/0!</v>
      </c>
      <c r="R512" s="116" t="e">
        <f t="shared" si="897"/>
        <v>#DIV/0!</v>
      </c>
      <c r="T512" s="91"/>
      <c r="U512" s="100"/>
      <c r="V512" s="111"/>
      <c r="W512" s="112" t="s">
        <v>103</v>
      </c>
      <c r="X512" s="113" t="e">
        <f t="shared" ref="X512:AK512" si="898">X510/X508</f>
        <v>#DIV/0!</v>
      </c>
      <c r="Y512" s="113" t="e">
        <f t="shared" si="898"/>
        <v>#DIV/0!</v>
      </c>
      <c r="Z512" s="113" t="e">
        <f t="shared" si="898"/>
        <v>#DIV/0!</v>
      </c>
      <c r="AA512" s="113" t="e">
        <f t="shared" si="898"/>
        <v>#DIV/0!</v>
      </c>
      <c r="AB512" s="113" t="e">
        <f t="shared" si="898"/>
        <v>#DIV/0!</v>
      </c>
      <c r="AC512" s="113" t="e">
        <f t="shared" si="898"/>
        <v>#DIV/0!</v>
      </c>
      <c r="AD512" s="113" t="e">
        <f t="shared" si="898"/>
        <v>#DIV/0!</v>
      </c>
      <c r="AE512" s="113" t="e">
        <f t="shared" si="898"/>
        <v>#DIV/0!</v>
      </c>
      <c r="AF512" s="113" t="e">
        <f t="shared" si="898"/>
        <v>#DIV/0!</v>
      </c>
      <c r="AG512" s="113" t="e">
        <f t="shared" si="898"/>
        <v>#DIV/0!</v>
      </c>
      <c r="AH512" s="113" t="e">
        <f t="shared" si="898"/>
        <v>#DIV/0!</v>
      </c>
      <c r="AI512" s="114" t="e">
        <f t="shared" si="898"/>
        <v>#DIV/0!</v>
      </c>
      <c r="AJ512" s="115" t="e">
        <f t="shared" si="898"/>
        <v>#DIV/0!</v>
      </c>
      <c r="AK512" s="116" t="e">
        <f t="shared" si="898"/>
        <v>#DIV/0!</v>
      </c>
    </row>
    <row r="513" spans="1:38" ht="15.6" hidden="1" thickBot="1">
      <c r="A513" s="91"/>
      <c r="B513" s="100"/>
      <c r="C513" s="86"/>
      <c r="D513" s="87">
        <v>2019</v>
      </c>
      <c r="E513" s="88"/>
      <c r="F513" s="121"/>
      <c r="G513" s="121"/>
      <c r="H513" s="121"/>
      <c r="I513" s="121"/>
      <c r="J513" s="121"/>
      <c r="K513" s="121"/>
      <c r="L513" s="121"/>
      <c r="M513" s="122"/>
      <c r="N513" s="122"/>
      <c r="O513" s="122"/>
      <c r="P513" s="123"/>
      <c r="Q513" s="89">
        <f t="shared" ref="Q513:Q515" si="899">SUM(E513:P513)</f>
        <v>0</v>
      </c>
      <c r="R513" s="90">
        <f t="shared" ref="R513" si="900">SUM(E513:M513)</f>
        <v>0</v>
      </c>
      <c r="T513" s="91"/>
      <c r="U513" s="100"/>
      <c r="V513" s="86">
        <f t="shared" ref="V513:V514" si="901">C513</f>
        <v>0</v>
      </c>
      <c r="W513" s="87">
        <v>2019</v>
      </c>
      <c r="X513" s="88"/>
      <c r="Y513" s="121"/>
      <c r="Z513" s="121"/>
      <c r="AA513" s="121"/>
      <c r="AB513" s="121"/>
      <c r="AC513" s="121"/>
      <c r="AD513" s="121"/>
      <c r="AE513" s="121"/>
      <c r="AF513" s="122"/>
      <c r="AG513" s="122"/>
      <c r="AH513" s="122"/>
      <c r="AI513" s="123"/>
      <c r="AJ513" s="89">
        <f t="shared" ref="AJ513:AJ515" si="902">SUM(X513:AI513)</f>
        <v>0</v>
      </c>
      <c r="AK513" s="90">
        <f t="shared" ref="AK513:AK515" si="903">SUM(X513:AF513)</f>
        <v>0</v>
      </c>
    </row>
    <row r="514" spans="1:38" ht="15.6" hidden="1" thickBot="1">
      <c r="A514" s="91"/>
      <c r="B514" s="100"/>
      <c r="C514" s="92"/>
      <c r="D514" s="93" t="s">
        <v>92</v>
      </c>
      <c r="E514" s="94"/>
      <c r="F514" s="97"/>
      <c r="G514" s="97"/>
      <c r="H514" s="97"/>
      <c r="I514" s="97"/>
      <c r="J514" s="97"/>
      <c r="K514" s="97"/>
      <c r="L514" s="97"/>
      <c r="M514" s="98"/>
      <c r="N514" s="98"/>
      <c r="O514" s="98"/>
      <c r="P514" s="99"/>
      <c r="Q514" s="95">
        <f t="shared" si="899"/>
        <v>0</v>
      </c>
      <c r="R514" s="96">
        <f t="shared" si="810"/>
        <v>0</v>
      </c>
      <c r="T514" s="91"/>
      <c r="U514" s="100"/>
      <c r="V514" s="92">
        <f t="shared" si="901"/>
        <v>0</v>
      </c>
      <c r="W514" s="93" t="s">
        <v>92</v>
      </c>
      <c r="X514" s="94"/>
      <c r="Y514" s="97"/>
      <c r="Z514" s="97"/>
      <c r="AA514" s="97"/>
      <c r="AB514" s="97"/>
      <c r="AC514" s="97"/>
      <c r="AD514" s="97"/>
      <c r="AE514" s="97"/>
      <c r="AF514" s="98"/>
      <c r="AG514" s="98"/>
      <c r="AH514" s="98"/>
      <c r="AI514" s="99"/>
      <c r="AJ514" s="95">
        <f t="shared" si="902"/>
        <v>0</v>
      </c>
      <c r="AK514" s="96">
        <f t="shared" si="903"/>
        <v>0</v>
      </c>
    </row>
    <row r="515" spans="1:38" ht="15.6" hidden="1" thickBot="1">
      <c r="A515" s="91"/>
      <c r="B515" s="100"/>
      <c r="C515" s="92"/>
      <c r="D515" s="101">
        <v>2020</v>
      </c>
      <c r="E515" s="102"/>
      <c r="F515" s="124"/>
      <c r="G515" s="124"/>
      <c r="H515" s="124"/>
      <c r="I515" s="124"/>
      <c r="J515" s="124"/>
      <c r="K515" s="124"/>
      <c r="L515" s="124"/>
      <c r="M515" s="125"/>
      <c r="N515" s="125"/>
      <c r="O515" s="125"/>
      <c r="P515" s="126"/>
      <c r="Q515" s="103">
        <f t="shared" si="899"/>
        <v>0</v>
      </c>
      <c r="R515" s="104">
        <f t="shared" si="810"/>
        <v>0</v>
      </c>
      <c r="S515" s="105"/>
      <c r="T515" s="91"/>
      <c r="U515" s="100"/>
      <c r="V515" s="92"/>
      <c r="W515" s="101">
        <v>2020</v>
      </c>
      <c r="X515" s="102"/>
      <c r="Y515" s="124"/>
      <c r="Z515" s="124"/>
      <c r="AA515" s="124"/>
      <c r="AB515" s="124"/>
      <c r="AC515" s="124"/>
      <c r="AD515" s="124"/>
      <c r="AE515" s="124"/>
      <c r="AF515" s="125"/>
      <c r="AG515" s="125"/>
      <c r="AH515" s="125"/>
      <c r="AI515" s="126"/>
      <c r="AJ515" s="103">
        <f t="shared" si="902"/>
        <v>0</v>
      </c>
      <c r="AK515" s="104">
        <f t="shared" si="903"/>
        <v>0</v>
      </c>
      <c r="AL515" s="105"/>
    </row>
    <row r="516" spans="1:38" ht="15.6" hidden="1" thickBot="1">
      <c r="A516" s="91"/>
      <c r="B516" s="100"/>
      <c r="C516" s="92"/>
      <c r="D516" s="101" t="s">
        <v>102</v>
      </c>
      <c r="E516" s="106" t="e">
        <f t="shared" ref="E516:R516" si="904">E515/E514</f>
        <v>#DIV/0!</v>
      </c>
      <c r="F516" s="106" t="e">
        <f t="shared" si="904"/>
        <v>#DIV/0!</v>
      </c>
      <c r="G516" s="106" t="e">
        <f t="shared" si="904"/>
        <v>#DIV/0!</v>
      </c>
      <c r="H516" s="106" t="e">
        <f t="shared" si="904"/>
        <v>#DIV/0!</v>
      </c>
      <c r="I516" s="106" t="e">
        <f t="shared" si="904"/>
        <v>#DIV/0!</v>
      </c>
      <c r="J516" s="106" t="e">
        <f t="shared" si="904"/>
        <v>#DIV/0!</v>
      </c>
      <c r="K516" s="106" t="e">
        <f t="shared" si="904"/>
        <v>#DIV/0!</v>
      </c>
      <c r="L516" s="106" t="e">
        <f t="shared" si="904"/>
        <v>#DIV/0!</v>
      </c>
      <c r="M516" s="107" t="e">
        <f t="shared" si="904"/>
        <v>#DIV/0!</v>
      </c>
      <c r="N516" s="107" t="e">
        <f t="shared" si="904"/>
        <v>#DIV/0!</v>
      </c>
      <c r="O516" s="107" t="e">
        <f t="shared" si="904"/>
        <v>#DIV/0!</v>
      </c>
      <c r="P516" s="108" t="e">
        <f t="shared" si="904"/>
        <v>#DIV/0!</v>
      </c>
      <c r="Q516" s="109" t="e">
        <f t="shared" si="904"/>
        <v>#DIV/0!</v>
      </c>
      <c r="R516" s="110" t="e">
        <f t="shared" si="904"/>
        <v>#DIV/0!</v>
      </c>
      <c r="S516" s="105"/>
      <c r="T516" s="91"/>
      <c r="U516" s="100"/>
      <c r="V516" s="92"/>
      <c r="W516" s="101" t="s">
        <v>102</v>
      </c>
      <c r="X516" s="106" t="e">
        <f t="shared" ref="X516:AK516" si="905">X515/X514</f>
        <v>#DIV/0!</v>
      </c>
      <c r="Y516" s="106" t="e">
        <f t="shared" si="905"/>
        <v>#DIV/0!</v>
      </c>
      <c r="Z516" s="106" t="e">
        <f t="shared" si="905"/>
        <v>#DIV/0!</v>
      </c>
      <c r="AA516" s="106" t="e">
        <f t="shared" si="905"/>
        <v>#DIV/0!</v>
      </c>
      <c r="AB516" s="106" t="e">
        <f t="shared" si="905"/>
        <v>#DIV/0!</v>
      </c>
      <c r="AC516" s="106" t="e">
        <f t="shared" si="905"/>
        <v>#DIV/0!</v>
      </c>
      <c r="AD516" s="106" t="e">
        <f t="shared" si="905"/>
        <v>#DIV/0!</v>
      </c>
      <c r="AE516" s="106" t="e">
        <f t="shared" si="905"/>
        <v>#DIV/0!</v>
      </c>
      <c r="AF516" s="107" t="e">
        <f t="shared" si="905"/>
        <v>#DIV/0!</v>
      </c>
      <c r="AG516" s="107" t="e">
        <f t="shared" si="905"/>
        <v>#DIV/0!</v>
      </c>
      <c r="AH516" s="107" t="e">
        <f t="shared" si="905"/>
        <v>#DIV/0!</v>
      </c>
      <c r="AI516" s="108" t="e">
        <f t="shared" si="905"/>
        <v>#DIV/0!</v>
      </c>
      <c r="AJ516" s="109" t="e">
        <f t="shared" si="905"/>
        <v>#DIV/0!</v>
      </c>
      <c r="AK516" s="110" t="e">
        <f t="shared" si="905"/>
        <v>#DIV/0!</v>
      </c>
      <c r="AL516" s="105"/>
    </row>
    <row r="517" spans="1:38" ht="15.6" hidden="1" thickBot="1">
      <c r="A517" s="91"/>
      <c r="B517" s="100"/>
      <c r="C517" s="111"/>
      <c r="D517" s="112" t="s">
        <v>103</v>
      </c>
      <c r="E517" s="113" t="e">
        <f t="shared" ref="E517:R517" si="906">E515/E513</f>
        <v>#DIV/0!</v>
      </c>
      <c r="F517" s="113" t="e">
        <f t="shared" si="906"/>
        <v>#DIV/0!</v>
      </c>
      <c r="G517" s="113" t="e">
        <f t="shared" si="906"/>
        <v>#DIV/0!</v>
      </c>
      <c r="H517" s="113" t="e">
        <f t="shared" si="906"/>
        <v>#DIV/0!</v>
      </c>
      <c r="I517" s="113" t="e">
        <f t="shared" si="906"/>
        <v>#DIV/0!</v>
      </c>
      <c r="J517" s="113" t="e">
        <f t="shared" si="906"/>
        <v>#DIV/0!</v>
      </c>
      <c r="K517" s="113" t="e">
        <f t="shared" si="906"/>
        <v>#DIV/0!</v>
      </c>
      <c r="L517" s="113" t="e">
        <f t="shared" si="906"/>
        <v>#DIV/0!</v>
      </c>
      <c r="M517" s="113" t="e">
        <f t="shared" si="906"/>
        <v>#DIV/0!</v>
      </c>
      <c r="N517" s="113" t="e">
        <f t="shared" si="906"/>
        <v>#DIV/0!</v>
      </c>
      <c r="O517" s="113" t="e">
        <f t="shared" si="906"/>
        <v>#DIV/0!</v>
      </c>
      <c r="P517" s="114" t="e">
        <f t="shared" si="906"/>
        <v>#DIV/0!</v>
      </c>
      <c r="Q517" s="115" t="e">
        <f t="shared" si="906"/>
        <v>#DIV/0!</v>
      </c>
      <c r="R517" s="116" t="e">
        <f t="shared" si="906"/>
        <v>#DIV/0!</v>
      </c>
      <c r="T517" s="91"/>
      <c r="U517" s="100"/>
      <c r="V517" s="111"/>
      <c r="W517" s="112" t="s">
        <v>103</v>
      </c>
      <c r="X517" s="113" t="e">
        <f t="shared" ref="X517:AK517" si="907">X515/X513</f>
        <v>#DIV/0!</v>
      </c>
      <c r="Y517" s="113" t="e">
        <f t="shared" si="907"/>
        <v>#DIV/0!</v>
      </c>
      <c r="Z517" s="113" t="e">
        <f t="shared" si="907"/>
        <v>#DIV/0!</v>
      </c>
      <c r="AA517" s="113" t="e">
        <f t="shared" si="907"/>
        <v>#DIV/0!</v>
      </c>
      <c r="AB517" s="113" t="e">
        <f t="shared" si="907"/>
        <v>#DIV/0!</v>
      </c>
      <c r="AC517" s="113" t="e">
        <f t="shared" si="907"/>
        <v>#DIV/0!</v>
      </c>
      <c r="AD517" s="113" t="e">
        <f t="shared" si="907"/>
        <v>#DIV/0!</v>
      </c>
      <c r="AE517" s="113" t="e">
        <f t="shared" si="907"/>
        <v>#DIV/0!</v>
      </c>
      <c r="AF517" s="113" t="e">
        <f t="shared" si="907"/>
        <v>#DIV/0!</v>
      </c>
      <c r="AG517" s="113" t="e">
        <f t="shared" si="907"/>
        <v>#DIV/0!</v>
      </c>
      <c r="AH517" s="113" t="e">
        <f t="shared" si="907"/>
        <v>#DIV/0!</v>
      </c>
      <c r="AI517" s="114" t="e">
        <f t="shared" si="907"/>
        <v>#DIV/0!</v>
      </c>
      <c r="AJ517" s="115" t="e">
        <f t="shared" si="907"/>
        <v>#DIV/0!</v>
      </c>
      <c r="AK517" s="116" t="e">
        <f t="shared" si="907"/>
        <v>#DIV/0!</v>
      </c>
    </row>
    <row r="518" spans="1:38" ht="15.6" hidden="1" thickBot="1">
      <c r="A518" s="91"/>
      <c r="B518" s="100"/>
      <c r="C518" s="86" t="s">
        <v>116</v>
      </c>
      <c r="D518" s="87">
        <v>2019</v>
      </c>
      <c r="E518" s="88"/>
      <c r="F518" s="121"/>
      <c r="G518" s="121"/>
      <c r="H518" s="121"/>
      <c r="I518" s="121"/>
      <c r="J518" s="121"/>
      <c r="K518" s="121"/>
      <c r="L518" s="121"/>
      <c r="M518" s="122"/>
      <c r="N518" s="122"/>
      <c r="O518" s="122"/>
      <c r="P518" s="123"/>
      <c r="Q518" s="89">
        <f t="shared" ref="Q518:Q520" si="908">SUM(E518:P518)</f>
        <v>0</v>
      </c>
      <c r="R518" s="90">
        <f t="shared" ref="R518" si="909">SUM(E518:M518)</f>
        <v>0</v>
      </c>
      <c r="T518" s="91"/>
      <c r="U518" s="100"/>
      <c r="V518" s="86" t="str">
        <f t="shared" ref="V518:V519" si="910">C518</f>
        <v>その他</v>
      </c>
      <c r="W518" s="87">
        <v>2019</v>
      </c>
      <c r="X518" s="88"/>
      <c r="Y518" s="121"/>
      <c r="Z518" s="121"/>
      <c r="AA518" s="121"/>
      <c r="AB518" s="121"/>
      <c r="AC518" s="121"/>
      <c r="AD518" s="121"/>
      <c r="AE518" s="121"/>
      <c r="AF518" s="122"/>
      <c r="AG518" s="122"/>
      <c r="AH518" s="122"/>
      <c r="AI518" s="123"/>
      <c r="AJ518" s="89">
        <f t="shared" ref="AJ518:AJ520" si="911">SUM(X518:AI518)</f>
        <v>0</v>
      </c>
      <c r="AK518" s="90">
        <f t="shared" ref="AK518:AK520" si="912">SUM(X518:AF518)</f>
        <v>0</v>
      </c>
    </row>
    <row r="519" spans="1:38" ht="15.6" hidden="1" thickBot="1">
      <c r="A519" s="91"/>
      <c r="B519" s="100"/>
      <c r="C519" s="92" t="s">
        <v>129</v>
      </c>
      <c r="D519" s="93" t="s">
        <v>92</v>
      </c>
      <c r="E519" s="94"/>
      <c r="F519" s="97"/>
      <c r="G519" s="97"/>
      <c r="H519" s="97"/>
      <c r="I519" s="97"/>
      <c r="J519" s="97"/>
      <c r="K519" s="97"/>
      <c r="L519" s="97"/>
      <c r="M519" s="98"/>
      <c r="N519" s="98"/>
      <c r="O519" s="98"/>
      <c r="P519" s="99"/>
      <c r="Q519" s="95">
        <f t="shared" si="908"/>
        <v>0</v>
      </c>
      <c r="R519" s="96">
        <f t="shared" si="810"/>
        <v>0</v>
      </c>
      <c r="T519" s="91"/>
      <c r="U519" s="100"/>
      <c r="V519" s="92" t="str">
        <f t="shared" si="910"/>
        <v>Others</v>
      </c>
      <c r="W519" s="93" t="s">
        <v>92</v>
      </c>
      <c r="X519" s="94"/>
      <c r="Y519" s="97"/>
      <c r="Z519" s="97"/>
      <c r="AA519" s="97"/>
      <c r="AB519" s="97"/>
      <c r="AC519" s="97"/>
      <c r="AD519" s="97"/>
      <c r="AE519" s="97"/>
      <c r="AF519" s="98"/>
      <c r="AG519" s="98"/>
      <c r="AH519" s="98"/>
      <c r="AI519" s="99"/>
      <c r="AJ519" s="95">
        <f t="shared" si="911"/>
        <v>0</v>
      </c>
      <c r="AK519" s="96">
        <f t="shared" si="912"/>
        <v>0</v>
      </c>
    </row>
    <row r="520" spans="1:38" ht="15.6" hidden="1" thickBot="1">
      <c r="A520" s="91"/>
      <c r="B520" s="100"/>
      <c r="C520" s="92"/>
      <c r="D520" s="101">
        <v>2020</v>
      </c>
      <c r="E520" s="102"/>
      <c r="F520" s="124"/>
      <c r="G520" s="124"/>
      <c r="H520" s="124"/>
      <c r="I520" s="124"/>
      <c r="J520" s="124"/>
      <c r="K520" s="124"/>
      <c r="L520" s="124"/>
      <c r="M520" s="125"/>
      <c r="N520" s="125"/>
      <c r="O520" s="125"/>
      <c r="P520" s="126"/>
      <c r="Q520" s="103">
        <f t="shared" si="908"/>
        <v>0</v>
      </c>
      <c r="R520" s="104">
        <f t="shared" si="810"/>
        <v>0</v>
      </c>
      <c r="S520" s="105"/>
      <c r="T520" s="91"/>
      <c r="U520" s="100"/>
      <c r="V520" s="92"/>
      <c r="W520" s="101">
        <v>2020</v>
      </c>
      <c r="X520" s="102"/>
      <c r="Y520" s="124"/>
      <c r="Z520" s="124"/>
      <c r="AA520" s="124"/>
      <c r="AB520" s="124"/>
      <c r="AC520" s="124"/>
      <c r="AD520" s="124"/>
      <c r="AE520" s="124"/>
      <c r="AF520" s="125"/>
      <c r="AG520" s="125"/>
      <c r="AH520" s="125"/>
      <c r="AI520" s="126"/>
      <c r="AJ520" s="103">
        <f t="shared" si="911"/>
        <v>0</v>
      </c>
      <c r="AK520" s="104">
        <f t="shared" si="912"/>
        <v>0</v>
      </c>
      <c r="AL520" s="105"/>
    </row>
    <row r="521" spans="1:38" ht="15.6" hidden="1" thickBot="1">
      <c r="A521" s="91"/>
      <c r="B521" s="100"/>
      <c r="C521" s="92"/>
      <c r="D521" s="101" t="s">
        <v>102</v>
      </c>
      <c r="E521" s="106" t="e">
        <f t="shared" ref="E521:R521" si="913">E520/E519</f>
        <v>#DIV/0!</v>
      </c>
      <c r="F521" s="106" t="e">
        <f t="shared" si="913"/>
        <v>#DIV/0!</v>
      </c>
      <c r="G521" s="106" t="e">
        <f t="shared" si="913"/>
        <v>#DIV/0!</v>
      </c>
      <c r="H521" s="106" t="e">
        <f t="shared" si="913"/>
        <v>#DIV/0!</v>
      </c>
      <c r="I521" s="106" t="e">
        <f t="shared" si="913"/>
        <v>#DIV/0!</v>
      </c>
      <c r="J521" s="106" t="e">
        <f t="shared" si="913"/>
        <v>#DIV/0!</v>
      </c>
      <c r="K521" s="106" t="e">
        <f t="shared" si="913"/>
        <v>#DIV/0!</v>
      </c>
      <c r="L521" s="106" t="e">
        <f t="shared" si="913"/>
        <v>#DIV/0!</v>
      </c>
      <c r="M521" s="107" t="e">
        <f t="shared" si="913"/>
        <v>#DIV/0!</v>
      </c>
      <c r="N521" s="107" t="e">
        <f t="shared" si="913"/>
        <v>#DIV/0!</v>
      </c>
      <c r="O521" s="107" t="e">
        <f t="shared" si="913"/>
        <v>#DIV/0!</v>
      </c>
      <c r="P521" s="108" t="e">
        <f t="shared" si="913"/>
        <v>#DIV/0!</v>
      </c>
      <c r="Q521" s="109" t="e">
        <f t="shared" si="913"/>
        <v>#DIV/0!</v>
      </c>
      <c r="R521" s="110" t="e">
        <f t="shared" si="913"/>
        <v>#DIV/0!</v>
      </c>
      <c r="S521" s="105"/>
      <c r="T521" s="91"/>
      <c r="U521" s="100"/>
      <c r="V521" s="92"/>
      <c r="W521" s="101" t="s">
        <v>102</v>
      </c>
      <c r="X521" s="106" t="e">
        <f t="shared" ref="X521:AK521" si="914">X520/X519</f>
        <v>#DIV/0!</v>
      </c>
      <c r="Y521" s="106" t="e">
        <f t="shared" si="914"/>
        <v>#DIV/0!</v>
      </c>
      <c r="Z521" s="106" t="e">
        <f t="shared" si="914"/>
        <v>#DIV/0!</v>
      </c>
      <c r="AA521" s="106" t="e">
        <f t="shared" si="914"/>
        <v>#DIV/0!</v>
      </c>
      <c r="AB521" s="106" t="e">
        <f t="shared" si="914"/>
        <v>#DIV/0!</v>
      </c>
      <c r="AC521" s="106" t="e">
        <f t="shared" si="914"/>
        <v>#DIV/0!</v>
      </c>
      <c r="AD521" s="106" t="e">
        <f t="shared" si="914"/>
        <v>#DIV/0!</v>
      </c>
      <c r="AE521" s="106" t="e">
        <f t="shared" si="914"/>
        <v>#DIV/0!</v>
      </c>
      <c r="AF521" s="107" t="e">
        <f t="shared" si="914"/>
        <v>#DIV/0!</v>
      </c>
      <c r="AG521" s="107" t="e">
        <f t="shared" si="914"/>
        <v>#DIV/0!</v>
      </c>
      <c r="AH521" s="107" t="e">
        <f t="shared" si="914"/>
        <v>#DIV/0!</v>
      </c>
      <c r="AI521" s="108" t="e">
        <f t="shared" si="914"/>
        <v>#DIV/0!</v>
      </c>
      <c r="AJ521" s="109" t="e">
        <f t="shared" si="914"/>
        <v>#DIV/0!</v>
      </c>
      <c r="AK521" s="110" t="e">
        <f t="shared" si="914"/>
        <v>#DIV/0!</v>
      </c>
      <c r="AL521" s="105"/>
    </row>
    <row r="522" spans="1:38" ht="15.6" hidden="1" thickBot="1">
      <c r="A522" s="91"/>
      <c r="B522" s="100"/>
      <c r="C522" s="111"/>
      <c r="D522" s="112" t="s">
        <v>103</v>
      </c>
      <c r="E522" s="113" t="e">
        <f t="shared" ref="E522:R522" si="915">E520/E518</f>
        <v>#DIV/0!</v>
      </c>
      <c r="F522" s="113" t="e">
        <f t="shared" si="915"/>
        <v>#DIV/0!</v>
      </c>
      <c r="G522" s="113" t="e">
        <f t="shared" si="915"/>
        <v>#DIV/0!</v>
      </c>
      <c r="H522" s="113" t="e">
        <f t="shared" si="915"/>
        <v>#DIV/0!</v>
      </c>
      <c r="I522" s="113" t="e">
        <f t="shared" si="915"/>
        <v>#DIV/0!</v>
      </c>
      <c r="J522" s="113" t="e">
        <f t="shared" si="915"/>
        <v>#DIV/0!</v>
      </c>
      <c r="K522" s="113" t="e">
        <f t="shared" si="915"/>
        <v>#DIV/0!</v>
      </c>
      <c r="L522" s="113" t="e">
        <f t="shared" si="915"/>
        <v>#DIV/0!</v>
      </c>
      <c r="M522" s="113" t="e">
        <f t="shared" si="915"/>
        <v>#DIV/0!</v>
      </c>
      <c r="N522" s="113" t="e">
        <f t="shared" si="915"/>
        <v>#DIV/0!</v>
      </c>
      <c r="O522" s="113" t="e">
        <f t="shared" si="915"/>
        <v>#DIV/0!</v>
      </c>
      <c r="P522" s="114" t="e">
        <f t="shared" si="915"/>
        <v>#DIV/0!</v>
      </c>
      <c r="Q522" s="115" t="e">
        <f t="shared" si="915"/>
        <v>#DIV/0!</v>
      </c>
      <c r="R522" s="116" t="e">
        <f t="shared" si="915"/>
        <v>#DIV/0!</v>
      </c>
      <c r="T522" s="91"/>
      <c r="U522" s="100"/>
      <c r="V522" s="111"/>
      <c r="W522" s="112" t="s">
        <v>103</v>
      </c>
      <c r="X522" s="113" t="e">
        <f t="shared" ref="X522:AK522" si="916">X520/X518</f>
        <v>#DIV/0!</v>
      </c>
      <c r="Y522" s="113" t="e">
        <f t="shared" si="916"/>
        <v>#DIV/0!</v>
      </c>
      <c r="Z522" s="113" t="e">
        <f t="shared" si="916"/>
        <v>#DIV/0!</v>
      </c>
      <c r="AA522" s="113" t="e">
        <f t="shared" si="916"/>
        <v>#DIV/0!</v>
      </c>
      <c r="AB522" s="113" t="e">
        <f t="shared" si="916"/>
        <v>#DIV/0!</v>
      </c>
      <c r="AC522" s="113" t="e">
        <f t="shared" si="916"/>
        <v>#DIV/0!</v>
      </c>
      <c r="AD522" s="113" t="e">
        <f t="shared" si="916"/>
        <v>#DIV/0!</v>
      </c>
      <c r="AE522" s="113" t="e">
        <f t="shared" si="916"/>
        <v>#DIV/0!</v>
      </c>
      <c r="AF522" s="113" t="e">
        <f t="shared" si="916"/>
        <v>#DIV/0!</v>
      </c>
      <c r="AG522" s="113" t="e">
        <f t="shared" si="916"/>
        <v>#DIV/0!</v>
      </c>
      <c r="AH522" s="113" t="e">
        <f t="shared" si="916"/>
        <v>#DIV/0!</v>
      </c>
      <c r="AI522" s="114" t="e">
        <f t="shared" si="916"/>
        <v>#DIV/0!</v>
      </c>
      <c r="AJ522" s="115" t="e">
        <f t="shared" si="916"/>
        <v>#DIV/0!</v>
      </c>
      <c r="AK522" s="116" t="e">
        <f t="shared" si="916"/>
        <v>#DIV/0!</v>
      </c>
    </row>
    <row r="523" spans="1:38" ht="15.75" hidden="1" customHeight="1">
      <c r="A523" s="91"/>
      <c r="B523" s="303" t="s">
        <v>152</v>
      </c>
      <c r="C523" s="304"/>
      <c r="D523" s="127">
        <v>2019</v>
      </c>
      <c r="E523" s="128">
        <f>SUM(E518,E513,E508,E503,E498,E493,E488,E483,E478,E473,E468,E463,E458,E453)</f>
        <v>0</v>
      </c>
      <c r="F523" s="129">
        <f t="shared" ref="F523:P523" si="917">SUM(F518,F513,F508,F503,F498,F493,F488,F483,F478,F473,F468,F463,F458,F453)</f>
        <v>0</v>
      </c>
      <c r="G523" s="129">
        <f t="shared" si="917"/>
        <v>0</v>
      </c>
      <c r="H523" s="129">
        <f t="shared" si="917"/>
        <v>0</v>
      </c>
      <c r="I523" s="129">
        <f t="shared" si="917"/>
        <v>0</v>
      </c>
      <c r="J523" s="129">
        <f t="shared" si="917"/>
        <v>0</v>
      </c>
      <c r="K523" s="129">
        <f t="shared" si="917"/>
        <v>0</v>
      </c>
      <c r="L523" s="129">
        <f t="shared" si="917"/>
        <v>0</v>
      </c>
      <c r="M523" s="129">
        <f t="shared" si="917"/>
        <v>0</v>
      </c>
      <c r="N523" s="129">
        <f t="shared" si="917"/>
        <v>0</v>
      </c>
      <c r="O523" s="129">
        <f t="shared" si="917"/>
        <v>0</v>
      </c>
      <c r="P523" s="130">
        <f t="shared" si="917"/>
        <v>0</v>
      </c>
      <c r="Q523" s="131">
        <f>SUM(E523:P523)</f>
        <v>0</v>
      </c>
      <c r="R523" s="90">
        <f t="shared" ref="R523" si="918">SUM(E523:M523)</f>
        <v>0</v>
      </c>
      <c r="T523" s="91"/>
      <c r="U523" s="309" t="s">
        <v>152</v>
      </c>
      <c r="V523" s="310"/>
      <c r="W523" s="132">
        <v>2019</v>
      </c>
      <c r="X523" s="133">
        <f>SUM(X518,X513,X508,X503,X498,X493,X488,X483,X478,X473,X468,X463,X458,X453)</f>
        <v>0</v>
      </c>
      <c r="Y523" s="134">
        <f t="shared" ref="Y523:AI523" si="919">SUM(Y518,Y513,Y508,Y503,Y498,Y493,Y488,Y483,Y478,Y473,Y468,Y463,Y458,Y453)</f>
        <v>0</v>
      </c>
      <c r="Z523" s="134">
        <f t="shared" si="919"/>
        <v>0</v>
      </c>
      <c r="AA523" s="134">
        <f t="shared" si="919"/>
        <v>0</v>
      </c>
      <c r="AB523" s="134">
        <f t="shared" si="919"/>
        <v>0</v>
      </c>
      <c r="AC523" s="134">
        <f t="shared" si="919"/>
        <v>0</v>
      </c>
      <c r="AD523" s="134">
        <f t="shared" si="919"/>
        <v>0</v>
      </c>
      <c r="AE523" s="134">
        <f t="shared" si="919"/>
        <v>0</v>
      </c>
      <c r="AF523" s="134">
        <f t="shared" si="919"/>
        <v>0</v>
      </c>
      <c r="AG523" s="134">
        <f t="shared" si="919"/>
        <v>0</v>
      </c>
      <c r="AH523" s="134">
        <f t="shared" si="919"/>
        <v>0</v>
      </c>
      <c r="AI523" s="135">
        <f t="shared" si="919"/>
        <v>0</v>
      </c>
      <c r="AJ523" s="136">
        <f>SUM(X523:AI523)</f>
        <v>0</v>
      </c>
      <c r="AK523" s="90">
        <f t="shared" ref="AK523:AK525" si="920">SUM(X523:AF523)</f>
        <v>0</v>
      </c>
    </row>
    <row r="524" spans="1:38" ht="15.75" hidden="1" customHeight="1">
      <c r="A524" s="91"/>
      <c r="B524" s="305"/>
      <c r="C524" s="306"/>
      <c r="D524" s="137" t="s">
        <v>92</v>
      </c>
      <c r="E524" s="138">
        <f t="shared" ref="E524:P525" si="921">SUM(E519,E514,E509,E504,E499,E494,E489,E484,E479,E474,E469,E464,E459,E454)</f>
        <v>0</v>
      </c>
      <c r="F524" s="138">
        <f t="shared" si="921"/>
        <v>0</v>
      </c>
      <c r="G524" s="138">
        <f t="shared" si="921"/>
        <v>0</v>
      </c>
      <c r="H524" s="138">
        <f t="shared" si="921"/>
        <v>0</v>
      </c>
      <c r="I524" s="138">
        <f t="shared" si="921"/>
        <v>0</v>
      </c>
      <c r="J524" s="138">
        <f t="shared" si="921"/>
        <v>0</v>
      </c>
      <c r="K524" s="138">
        <f t="shared" si="921"/>
        <v>0</v>
      </c>
      <c r="L524" s="138">
        <f t="shared" si="921"/>
        <v>0</v>
      </c>
      <c r="M524" s="138">
        <f t="shared" si="921"/>
        <v>0</v>
      </c>
      <c r="N524" s="138">
        <f t="shared" si="921"/>
        <v>0</v>
      </c>
      <c r="O524" s="138">
        <f t="shared" si="921"/>
        <v>0</v>
      </c>
      <c r="P524" s="138">
        <f t="shared" si="921"/>
        <v>0</v>
      </c>
      <c r="Q524" s="139">
        <f t="shared" ref="Q524:Q525" si="922">SUM(E524:P524)</f>
        <v>0</v>
      </c>
      <c r="R524" s="96">
        <f t="shared" si="810"/>
        <v>0</v>
      </c>
      <c r="T524" s="91"/>
      <c r="U524" s="311"/>
      <c r="V524" s="312"/>
      <c r="W524" s="140" t="s">
        <v>92</v>
      </c>
      <c r="X524" s="141">
        <f t="shared" ref="X524:AI525" si="923">SUM(X519,X514,X509,X504,X499,X494,X489,X484,X479,X474,X469,X464,X459,X454)</f>
        <v>0</v>
      </c>
      <c r="Y524" s="141">
        <f t="shared" si="923"/>
        <v>0</v>
      </c>
      <c r="Z524" s="141">
        <f t="shared" si="923"/>
        <v>0</v>
      </c>
      <c r="AA524" s="141">
        <f t="shared" si="923"/>
        <v>0</v>
      </c>
      <c r="AB524" s="141">
        <f t="shared" si="923"/>
        <v>0</v>
      </c>
      <c r="AC524" s="141">
        <f t="shared" si="923"/>
        <v>0</v>
      </c>
      <c r="AD524" s="141">
        <f t="shared" si="923"/>
        <v>0</v>
      </c>
      <c r="AE524" s="141">
        <f t="shared" si="923"/>
        <v>0</v>
      </c>
      <c r="AF524" s="141">
        <f t="shared" si="923"/>
        <v>0</v>
      </c>
      <c r="AG524" s="141">
        <f t="shared" si="923"/>
        <v>0</v>
      </c>
      <c r="AH524" s="141">
        <f t="shared" si="923"/>
        <v>0</v>
      </c>
      <c r="AI524" s="141">
        <f t="shared" si="923"/>
        <v>0</v>
      </c>
      <c r="AJ524" s="142">
        <f t="shared" ref="AJ524:AJ525" si="924">SUM(X524:AI524)</f>
        <v>0</v>
      </c>
      <c r="AK524" s="96">
        <f t="shared" si="920"/>
        <v>0</v>
      </c>
    </row>
    <row r="525" spans="1:38" ht="15.75" hidden="1" customHeight="1">
      <c r="A525" s="91"/>
      <c r="B525" s="305"/>
      <c r="C525" s="306"/>
      <c r="D525" s="143">
        <v>2020</v>
      </c>
      <c r="E525" s="144">
        <f>SUM(E520,E515,E510,E505,E500,E495,E490,E485,E480,E475,E470,E465,E460,E455)</f>
        <v>0</v>
      </c>
      <c r="F525" s="144">
        <f t="shared" si="921"/>
        <v>0</v>
      </c>
      <c r="G525" s="144">
        <f t="shared" si="921"/>
        <v>0</v>
      </c>
      <c r="H525" s="144">
        <f t="shared" si="921"/>
        <v>0</v>
      </c>
      <c r="I525" s="144">
        <f t="shared" si="921"/>
        <v>0</v>
      </c>
      <c r="J525" s="144">
        <f t="shared" si="921"/>
        <v>0</v>
      </c>
      <c r="K525" s="144">
        <f t="shared" si="921"/>
        <v>0</v>
      </c>
      <c r="L525" s="144">
        <f t="shared" si="921"/>
        <v>0</v>
      </c>
      <c r="M525" s="144">
        <f t="shared" si="921"/>
        <v>0</v>
      </c>
      <c r="N525" s="144">
        <f t="shared" si="921"/>
        <v>0</v>
      </c>
      <c r="O525" s="144">
        <f t="shared" si="921"/>
        <v>0</v>
      </c>
      <c r="P525" s="144">
        <f t="shared" si="921"/>
        <v>0</v>
      </c>
      <c r="Q525" s="145">
        <f t="shared" si="922"/>
        <v>0</v>
      </c>
      <c r="R525" s="104">
        <f t="shared" si="810"/>
        <v>0</v>
      </c>
      <c r="S525" s="105"/>
      <c r="T525" s="91"/>
      <c r="U525" s="311"/>
      <c r="V525" s="312"/>
      <c r="W525" s="146">
        <v>2020</v>
      </c>
      <c r="X525" s="147">
        <f>SUM(X520,X515,X510,X505,X500,X495,X490,X485,X480,X475,X470,X465,X460,X455)</f>
        <v>0</v>
      </c>
      <c r="Y525" s="147">
        <f t="shared" si="923"/>
        <v>0</v>
      </c>
      <c r="Z525" s="147">
        <f t="shared" si="923"/>
        <v>0</v>
      </c>
      <c r="AA525" s="147">
        <f t="shared" si="923"/>
        <v>0</v>
      </c>
      <c r="AB525" s="147">
        <f t="shared" si="923"/>
        <v>0</v>
      </c>
      <c r="AC525" s="147">
        <f t="shared" si="923"/>
        <v>0</v>
      </c>
      <c r="AD525" s="147">
        <f t="shared" si="923"/>
        <v>0</v>
      </c>
      <c r="AE525" s="147">
        <f t="shared" si="923"/>
        <v>0</v>
      </c>
      <c r="AF525" s="147">
        <f t="shared" si="923"/>
        <v>0</v>
      </c>
      <c r="AG525" s="147">
        <f t="shared" si="923"/>
        <v>0</v>
      </c>
      <c r="AH525" s="147">
        <f t="shared" si="923"/>
        <v>0</v>
      </c>
      <c r="AI525" s="147">
        <f t="shared" si="923"/>
        <v>0</v>
      </c>
      <c r="AJ525" s="148">
        <f t="shared" si="924"/>
        <v>0</v>
      </c>
      <c r="AK525" s="104">
        <f t="shared" si="920"/>
        <v>0</v>
      </c>
      <c r="AL525" s="105"/>
    </row>
    <row r="526" spans="1:38" ht="15.75" hidden="1" customHeight="1">
      <c r="A526" s="91"/>
      <c r="B526" s="305"/>
      <c r="C526" s="306"/>
      <c r="D526" s="143" t="s">
        <v>102</v>
      </c>
      <c r="E526" s="144" t="e">
        <f t="shared" ref="E526:R526" si="925">E525/E524</f>
        <v>#DIV/0!</v>
      </c>
      <c r="F526" s="144" t="e">
        <f t="shared" si="925"/>
        <v>#DIV/0!</v>
      </c>
      <c r="G526" s="144" t="e">
        <f t="shared" si="925"/>
        <v>#DIV/0!</v>
      </c>
      <c r="H526" s="144" t="e">
        <f t="shared" si="925"/>
        <v>#DIV/0!</v>
      </c>
      <c r="I526" s="144" t="e">
        <f t="shared" si="925"/>
        <v>#DIV/0!</v>
      </c>
      <c r="J526" s="144" t="e">
        <f t="shared" si="925"/>
        <v>#DIV/0!</v>
      </c>
      <c r="K526" s="144" t="e">
        <f t="shared" si="925"/>
        <v>#DIV/0!</v>
      </c>
      <c r="L526" s="144" t="e">
        <f t="shared" si="925"/>
        <v>#DIV/0!</v>
      </c>
      <c r="M526" s="144" t="e">
        <f t="shared" si="925"/>
        <v>#DIV/0!</v>
      </c>
      <c r="N526" s="144" t="e">
        <f t="shared" si="925"/>
        <v>#DIV/0!</v>
      </c>
      <c r="O526" s="144" t="e">
        <f t="shared" si="925"/>
        <v>#DIV/0!</v>
      </c>
      <c r="P526" s="172" t="e">
        <f t="shared" si="925"/>
        <v>#DIV/0!</v>
      </c>
      <c r="Q526" s="145" t="e">
        <f t="shared" si="925"/>
        <v>#DIV/0!</v>
      </c>
      <c r="R526" s="104" t="e">
        <f t="shared" si="925"/>
        <v>#DIV/0!</v>
      </c>
      <c r="S526" s="105"/>
      <c r="T526" s="91"/>
      <c r="U526" s="311"/>
      <c r="V526" s="312"/>
      <c r="W526" s="146" t="s">
        <v>102</v>
      </c>
      <c r="X526" s="147" t="e">
        <f t="shared" ref="X526:AK526" si="926">X525/X524</f>
        <v>#DIV/0!</v>
      </c>
      <c r="Y526" s="147" t="e">
        <f t="shared" si="926"/>
        <v>#DIV/0!</v>
      </c>
      <c r="Z526" s="147" t="e">
        <f t="shared" si="926"/>
        <v>#DIV/0!</v>
      </c>
      <c r="AA526" s="147" t="e">
        <f t="shared" si="926"/>
        <v>#DIV/0!</v>
      </c>
      <c r="AB526" s="147" t="e">
        <f t="shared" si="926"/>
        <v>#DIV/0!</v>
      </c>
      <c r="AC526" s="147" t="e">
        <f t="shared" si="926"/>
        <v>#DIV/0!</v>
      </c>
      <c r="AD526" s="147" t="e">
        <f t="shared" si="926"/>
        <v>#DIV/0!</v>
      </c>
      <c r="AE526" s="147" t="e">
        <f t="shared" si="926"/>
        <v>#DIV/0!</v>
      </c>
      <c r="AF526" s="147" t="e">
        <f t="shared" si="926"/>
        <v>#DIV/0!</v>
      </c>
      <c r="AG526" s="147" t="e">
        <f t="shared" si="926"/>
        <v>#DIV/0!</v>
      </c>
      <c r="AH526" s="147" t="e">
        <f t="shared" si="926"/>
        <v>#DIV/0!</v>
      </c>
      <c r="AI526" s="173" t="e">
        <f t="shared" si="926"/>
        <v>#DIV/0!</v>
      </c>
      <c r="AJ526" s="148" t="e">
        <f t="shared" si="926"/>
        <v>#DIV/0!</v>
      </c>
      <c r="AK526" s="104" t="e">
        <f t="shared" si="926"/>
        <v>#DIV/0!</v>
      </c>
      <c r="AL526" s="105"/>
    </row>
    <row r="527" spans="1:38" ht="15.75" hidden="1" customHeight="1">
      <c r="A527" s="155"/>
      <c r="B527" s="307"/>
      <c r="C527" s="308"/>
      <c r="D527" s="156" t="s">
        <v>103</v>
      </c>
      <c r="E527" s="165" t="e">
        <f t="shared" ref="E527:R527" si="927">E525/E523</f>
        <v>#DIV/0!</v>
      </c>
      <c r="F527" s="165" t="e">
        <f t="shared" si="927"/>
        <v>#DIV/0!</v>
      </c>
      <c r="G527" s="165" t="e">
        <f t="shared" si="927"/>
        <v>#DIV/0!</v>
      </c>
      <c r="H527" s="165" t="e">
        <f t="shared" si="927"/>
        <v>#DIV/0!</v>
      </c>
      <c r="I527" s="165" t="e">
        <f t="shared" si="927"/>
        <v>#DIV/0!</v>
      </c>
      <c r="J527" s="165" t="e">
        <f t="shared" si="927"/>
        <v>#DIV/0!</v>
      </c>
      <c r="K527" s="165" t="e">
        <f t="shared" si="927"/>
        <v>#DIV/0!</v>
      </c>
      <c r="L527" s="165" t="e">
        <f t="shared" si="927"/>
        <v>#DIV/0!</v>
      </c>
      <c r="M527" s="165" t="e">
        <f t="shared" si="927"/>
        <v>#DIV/0!</v>
      </c>
      <c r="N527" s="165" t="e">
        <f t="shared" si="927"/>
        <v>#DIV/0!</v>
      </c>
      <c r="O527" s="165" t="e">
        <f t="shared" si="927"/>
        <v>#DIV/0!</v>
      </c>
      <c r="P527" s="166" t="e">
        <f t="shared" si="927"/>
        <v>#DIV/0!</v>
      </c>
      <c r="Q527" s="167" t="e">
        <f t="shared" si="927"/>
        <v>#DIV/0!</v>
      </c>
      <c r="R527" s="168" t="e">
        <f t="shared" si="927"/>
        <v>#DIV/0!</v>
      </c>
      <c r="T527" s="155"/>
      <c r="U527" s="313"/>
      <c r="V527" s="314"/>
      <c r="W527" s="160" t="s">
        <v>103</v>
      </c>
      <c r="X527" s="169" t="e">
        <f t="shared" ref="X527:AK527" si="928">X525/X523</f>
        <v>#DIV/0!</v>
      </c>
      <c r="Y527" s="169" t="e">
        <f t="shared" si="928"/>
        <v>#DIV/0!</v>
      </c>
      <c r="Z527" s="169" t="e">
        <f t="shared" si="928"/>
        <v>#DIV/0!</v>
      </c>
      <c r="AA527" s="169" t="e">
        <f t="shared" si="928"/>
        <v>#DIV/0!</v>
      </c>
      <c r="AB527" s="169" t="e">
        <f t="shared" si="928"/>
        <v>#DIV/0!</v>
      </c>
      <c r="AC527" s="169" t="e">
        <f t="shared" si="928"/>
        <v>#DIV/0!</v>
      </c>
      <c r="AD527" s="169" t="e">
        <f t="shared" si="928"/>
        <v>#DIV/0!</v>
      </c>
      <c r="AE527" s="169" t="e">
        <f t="shared" si="928"/>
        <v>#DIV/0!</v>
      </c>
      <c r="AF527" s="169" t="e">
        <f t="shared" si="928"/>
        <v>#DIV/0!</v>
      </c>
      <c r="AG527" s="169" t="e">
        <f t="shared" si="928"/>
        <v>#DIV/0!</v>
      </c>
      <c r="AH527" s="169" t="e">
        <f t="shared" si="928"/>
        <v>#DIV/0!</v>
      </c>
      <c r="AI527" s="170" t="e">
        <f t="shared" si="928"/>
        <v>#DIV/0!</v>
      </c>
      <c r="AJ527" s="171" t="e">
        <f t="shared" si="928"/>
        <v>#DIV/0!</v>
      </c>
      <c r="AK527" s="168" t="e">
        <f t="shared" si="928"/>
        <v>#DIV/0!</v>
      </c>
    </row>
    <row r="528" spans="1:38" ht="15.6" hidden="1" thickBot="1">
      <c r="A528" s="84" t="s">
        <v>120</v>
      </c>
      <c r="B528" s="85" t="s">
        <v>153</v>
      </c>
      <c r="C528" s="86" t="s">
        <v>122</v>
      </c>
      <c r="D528" s="87">
        <v>2019</v>
      </c>
      <c r="E528" s="88"/>
      <c r="F528" s="121"/>
      <c r="G528" s="121"/>
      <c r="H528" s="121"/>
      <c r="I528" s="121"/>
      <c r="J528" s="121"/>
      <c r="K528" s="121"/>
      <c r="L528" s="121"/>
      <c r="M528" s="122"/>
      <c r="N528" s="122"/>
      <c r="O528" s="122"/>
      <c r="P528" s="123"/>
      <c r="Q528" s="89">
        <f>SUM(E528:P528)</f>
        <v>0</v>
      </c>
      <c r="R528" s="90">
        <f t="shared" ref="R528:R590" si="929">SUM(E528:M528)</f>
        <v>0</v>
      </c>
      <c r="T528" s="84" t="s">
        <v>120</v>
      </c>
      <c r="U528" s="85" t="s">
        <v>153</v>
      </c>
      <c r="V528" s="86" t="str">
        <f>C528</f>
        <v>得意先名</v>
      </c>
      <c r="W528" s="87">
        <v>2019</v>
      </c>
      <c r="X528" s="88"/>
      <c r="Y528" s="121"/>
      <c r="Z528" s="121"/>
      <c r="AA528" s="121"/>
      <c r="AB528" s="121"/>
      <c r="AC528" s="121"/>
      <c r="AD528" s="121"/>
      <c r="AE528" s="121"/>
      <c r="AF528" s="122"/>
      <c r="AG528" s="122"/>
      <c r="AH528" s="122"/>
      <c r="AI528" s="123"/>
      <c r="AJ528" s="89">
        <f>SUM(X528:AI528)</f>
        <v>0</v>
      </c>
      <c r="AK528" s="90">
        <f t="shared" ref="AK528:AK530" si="930">SUM(X528:AF528)</f>
        <v>0</v>
      </c>
    </row>
    <row r="529" spans="1:38" ht="15.6" hidden="1" thickBot="1">
      <c r="A529" s="91"/>
      <c r="B529" s="175" t="s">
        <v>154</v>
      </c>
      <c r="C529" s="92" t="s">
        <v>124</v>
      </c>
      <c r="D529" s="93" t="s">
        <v>92</v>
      </c>
      <c r="E529" s="94"/>
      <c r="F529" s="97"/>
      <c r="G529" s="97"/>
      <c r="H529" s="97"/>
      <c r="I529" s="97"/>
      <c r="J529" s="97"/>
      <c r="K529" s="97"/>
      <c r="L529" s="97"/>
      <c r="M529" s="98"/>
      <c r="N529" s="98"/>
      <c r="O529" s="98"/>
      <c r="P529" s="99"/>
      <c r="Q529" s="95">
        <f>SUM(E529:P529)</f>
        <v>0</v>
      </c>
      <c r="R529" s="96">
        <f t="shared" si="929"/>
        <v>0</v>
      </c>
      <c r="T529" s="91"/>
      <c r="U529" s="175" t="s">
        <v>154</v>
      </c>
      <c r="V529" s="92" t="str">
        <f>C529</f>
        <v>得意先名（英語）</v>
      </c>
      <c r="W529" s="93" t="s">
        <v>92</v>
      </c>
      <c r="X529" s="94"/>
      <c r="Y529" s="97"/>
      <c r="Z529" s="97"/>
      <c r="AA529" s="97"/>
      <c r="AB529" s="97"/>
      <c r="AC529" s="97"/>
      <c r="AD529" s="97"/>
      <c r="AE529" s="97"/>
      <c r="AF529" s="98"/>
      <c r="AG529" s="98"/>
      <c r="AH529" s="98"/>
      <c r="AI529" s="99"/>
      <c r="AJ529" s="95">
        <f>SUM(X529:AI529)</f>
        <v>0</v>
      </c>
      <c r="AK529" s="96">
        <f t="shared" si="930"/>
        <v>0</v>
      </c>
    </row>
    <row r="530" spans="1:38" ht="15.6" hidden="1" thickBot="1">
      <c r="A530" s="91"/>
      <c r="B530" s="100"/>
      <c r="C530" s="92"/>
      <c r="D530" s="101">
        <v>2020</v>
      </c>
      <c r="E530" s="102"/>
      <c r="F530" s="124"/>
      <c r="G530" s="124"/>
      <c r="H530" s="124"/>
      <c r="I530" s="124"/>
      <c r="J530" s="124"/>
      <c r="K530" s="124"/>
      <c r="L530" s="124"/>
      <c r="M530" s="125"/>
      <c r="N530" s="125"/>
      <c r="O530" s="125"/>
      <c r="P530" s="126"/>
      <c r="Q530" s="103">
        <f>SUM(E530:P530)</f>
        <v>0</v>
      </c>
      <c r="R530" s="104">
        <f t="shared" si="929"/>
        <v>0</v>
      </c>
      <c r="S530" s="105"/>
      <c r="T530" s="91"/>
      <c r="U530" s="100"/>
      <c r="V530" s="92"/>
      <c r="W530" s="101">
        <v>2020</v>
      </c>
      <c r="X530" s="102"/>
      <c r="Y530" s="124"/>
      <c r="Z530" s="124"/>
      <c r="AA530" s="124"/>
      <c r="AB530" s="124"/>
      <c r="AC530" s="124"/>
      <c r="AD530" s="124"/>
      <c r="AE530" s="124"/>
      <c r="AF530" s="125"/>
      <c r="AG530" s="125"/>
      <c r="AH530" s="125"/>
      <c r="AI530" s="126"/>
      <c r="AJ530" s="103">
        <f>SUM(X530:AI530)</f>
        <v>0</v>
      </c>
      <c r="AK530" s="104">
        <f t="shared" si="930"/>
        <v>0</v>
      </c>
      <c r="AL530" s="105"/>
    </row>
    <row r="531" spans="1:38" ht="15.6" hidden="1" thickBot="1">
      <c r="A531" s="91"/>
      <c r="B531" s="100"/>
      <c r="C531" s="92"/>
      <c r="D531" s="101" t="s">
        <v>102</v>
      </c>
      <c r="E531" s="106" t="e">
        <f>E530/E529</f>
        <v>#DIV/0!</v>
      </c>
      <c r="F531" s="106" t="e">
        <f t="shared" ref="F531:R531" si="931">F530/F529</f>
        <v>#DIV/0!</v>
      </c>
      <c r="G531" s="106" t="e">
        <f t="shared" si="931"/>
        <v>#DIV/0!</v>
      </c>
      <c r="H531" s="106" t="e">
        <f t="shared" si="931"/>
        <v>#DIV/0!</v>
      </c>
      <c r="I531" s="106" t="e">
        <f t="shared" si="931"/>
        <v>#DIV/0!</v>
      </c>
      <c r="J531" s="106" t="e">
        <f t="shared" si="931"/>
        <v>#DIV/0!</v>
      </c>
      <c r="K531" s="106" t="e">
        <f t="shared" si="931"/>
        <v>#DIV/0!</v>
      </c>
      <c r="L531" s="106" t="e">
        <f t="shared" si="931"/>
        <v>#DIV/0!</v>
      </c>
      <c r="M531" s="107" t="e">
        <f t="shared" si="931"/>
        <v>#DIV/0!</v>
      </c>
      <c r="N531" s="107" t="e">
        <f t="shared" si="931"/>
        <v>#DIV/0!</v>
      </c>
      <c r="O531" s="107" t="e">
        <f t="shared" si="931"/>
        <v>#DIV/0!</v>
      </c>
      <c r="P531" s="108" t="e">
        <f t="shared" si="931"/>
        <v>#DIV/0!</v>
      </c>
      <c r="Q531" s="109" t="e">
        <f t="shared" si="931"/>
        <v>#DIV/0!</v>
      </c>
      <c r="R531" s="110" t="e">
        <f t="shared" si="931"/>
        <v>#DIV/0!</v>
      </c>
      <c r="S531" s="105"/>
      <c r="T531" s="91"/>
      <c r="U531" s="100"/>
      <c r="V531" s="92"/>
      <c r="W531" s="101" t="s">
        <v>102</v>
      </c>
      <c r="X531" s="106" t="e">
        <f>X530/X529</f>
        <v>#DIV/0!</v>
      </c>
      <c r="Y531" s="106" t="e">
        <f t="shared" ref="Y531:AK531" si="932">Y530/Y529</f>
        <v>#DIV/0!</v>
      </c>
      <c r="Z531" s="106" t="e">
        <f t="shared" si="932"/>
        <v>#DIV/0!</v>
      </c>
      <c r="AA531" s="106" t="e">
        <f t="shared" si="932"/>
        <v>#DIV/0!</v>
      </c>
      <c r="AB531" s="106" t="e">
        <f t="shared" si="932"/>
        <v>#DIV/0!</v>
      </c>
      <c r="AC531" s="106" t="e">
        <f t="shared" si="932"/>
        <v>#DIV/0!</v>
      </c>
      <c r="AD531" s="106" t="e">
        <f t="shared" si="932"/>
        <v>#DIV/0!</v>
      </c>
      <c r="AE531" s="106" t="e">
        <f t="shared" si="932"/>
        <v>#DIV/0!</v>
      </c>
      <c r="AF531" s="107" t="e">
        <f t="shared" si="932"/>
        <v>#DIV/0!</v>
      </c>
      <c r="AG531" s="107" t="e">
        <f t="shared" si="932"/>
        <v>#DIV/0!</v>
      </c>
      <c r="AH531" s="107" t="e">
        <f t="shared" si="932"/>
        <v>#DIV/0!</v>
      </c>
      <c r="AI531" s="108" t="e">
        <f t="shared" si="932"/>
        <v>#DIV/0!</v>
      </c>
      <c r="AJ531" s="109" t="e">
        <f t="shared" si="932"/>
        <v>#DIV/0!</v>
      </c>
      <c r="AK531" s="110" t="e">
        <f t="shared" si="932"/>
        <v>#DIV/0!</v>
      </c>
      <c r="AL531" s="105"/>
    </row>
    <row r="532" spans="1:38" ht="15.6" hidden="1" thickBot="1">
      <c r="A532" s="91"/>
      <c r="B532" s="100"/>
      <c r="C532" s="111"/>
      <c r="D532" s="112" t="s">
        <v>103</v>
      </c>
      <c r="E532" s="113" t="e">
        <f>E530/E528</f>
        <v>#DIV/0!</v>
      </c>
      <c r="F532" s="113" t="e">
        <f t="shared" ref="F532:R532" si="933">F530/F528</f>
        <v>#DIV/0!</v>
      </c>
      <c r="G532" s="113" t="e">
        <f t="shared" si="933"/>
        <v>#DIV/0!</v>
      </c>
      <c r="H532" s="113" t="e">
        <f t="shared" si="933"/>
        <v>#DIV/0!</v>
      </c>
      <c r="I532" s="113" t="e">
        <f t="shared" si="933"/>
        <v>#DIV/0!</v>
      </c>
      <c r="J532" s="113" t="e">
        <f t="shared" si="933"/>
        <v>#DIV/0!</v>
      </c>
      <c r="K532" s="113" t="e">
        <f t="shared" si="933"/>
        <v>#DIV/0!</v>
      </c>
      <c r="L532" s="113" t="e">
        <f t="shared" si="933"/>
        <v>#DIV/0!</v>
      </c>
      <c r="M532" s="113" t="e">
        <f t="shared" si="933"/>
        <v>#DIV/0!</v>
      </c>
      <c r="N532" s="113" t="e">
        <f t="shared" si="933"/>
        <v>#DIV/0!</v>
      </c>
      <c r="O532" s="113" t="e">
        <f t="shared" si="933"/>
        <v>#DIV/0!</v>
      </c>
      <c r="P532" s="114" t="e">
        <f t="shared" si="933"/>
        <v>#DIV/0!</v>
      </c>
      <c r="Q532" s="115" t="e">
        <f t="shared" si="933"/>
        <v>#DIV/0!</v>
      </c>
      <c r="R532" s="116" t="e">
        <f t="shared" si="933"/>
        <v>#DIV/0!</v>
      </c>
      <c r="T532" s="91"/>
      <c r="U532" s="100"/>
      <c r="V532" s="111"/>
      <c r="W532" s="112" t="s">
        <v>103</v>
      </c>
      <c r="X532" s="113" t="e">
        <f>X530/X528</f>
        <v>#DIV/0!</v>
      </c>
      <c r="Y532" s="113" t="e">
        <f t="shared" ref="Y532:AK532" si="934">Y530/Y528</f>
        <v>#DIV/0!</v>
      </c>
      <c r="Z532" s="113" t="e">
        <f t="shared" si="934"/>
        <v>#DIV/0!</v>
      </c>
      <c r="AA532" s="113" t="e">
        <f t="shared" si="934"/>
        <v>#DIV/0!</v>
      </c>
      <c r="AB532" s="113" t="e">
        <f t="shared" si="934"/>
        <v>#DIV/0!</v>
      </c>
      <c r="AC532" s="113" t="e">
        <f t="shared" si="934"/>
        <v>#DIV/0!</v>
      </c>
      <c r="AD532" s="113" t="e">
        <f t="shared" si="934"/>
        <v>#DIV/0!</v>
      </c>
      <c r="AE532" s="113" t="e">
        <f t="shared" si="934"/>
        <v>#DIV/0!</v>
      </c>
      <c r="AF532" s="113" t="e">
        <f t="shared" si="934"/>
        <v>#DIV/0!</v>
      </c>
      <c r="AG532" s="113" t="e">
        <f t="shared" si="934"/>
        <v>#DIV/0!</v>
      </c>
      <c r="AH532" s="113" t="e">
        <f t="shared" si="934"/>
        <v>#DIV/0!</v>
      </c>
      <c r="AI532" s="114" t="e">
        <f t="shared" si="934"/>
        <v>#DIV/0!</v>
      </c>
      <c r="AJ532" s="115" t="e">
        <f t="shared" si="934"/>
        <v>#DIV/0!</v>
      </c>
      <c r="AK532" s="116" t="e">
        <f t="shared" si="934"/>
        <v>#DIV/0!</v>
      </c>
    </row>
    <row r="533" spans="1:38" ht="15.6" hidden="1" thickBot="1">
      <c r="A533" s="91"/>
      <c r="B533" s="100"/>
      <c r="C533" s="86"/>
      <c r="D533" s="87">
        <v>2019</v>
      </c>
      <c r="E533" s="88"/>
      <c r="F533" s="121"/>
      <c r="G533" s="121"/>
      <c r="H533" s="121"/>
      <c r="I533" s="121"/>
      <c r="J533" s="121"/>
      <c r="K533" s="121"/>
      <c r="L533" s="121"/>
      <c r="M533" s="122"/>
      <c r="N533" s="122"/>
      <c r="O533" s="122"/>
      <c r="P533" s="123"/>
      <c r="Q533" s="89">
        <f t="shared" ref="Q533:Q535" si="935">SUM(E533:P533)</f>
        <v>0</v>
      </c>
      <c r="R533" s="90">
        <f t="shared" ref="R533" si="936">SUM(E533:M533)</f>
        <v>0</v>
      </c>
      <c r="T533" s="91"/>
      <c r="U533" s="100"/>
      <c r="V533" s="86">
        <f t="shared" ref="V533:V534" si="937">C533</f>
        <v>0</v>
      </c>
      <c r="W533" s="87">
        <v>2019</v>
      </c>
      <c r="X533" s="88"/>
      <c r="Y533" s="121"/>
      <c r="Z533" s="121"/>
      <c r="AA533" s="121"/>
      <c r="AB533" s="121"/>
      <c r="AC533" s="121"/>
      <c r="AD533" s="121"/>
      <c r="AE533" s="121"/>
      <c r="AF533" s="122"/>
      <c r="AG533" s="122"/>
      <c r="AH533" s="122"/>
      <c r="AI533" s="123"/>
      <c r="AJ533" s="89">
        <f t="shared" ref="AJ533:AJ535" si="938">SUM(X533:AI533)</f>
        <v>0</v>
      </c>
      <c r="AK533" s="90">
        <f t="shared" ref="AK533:AK535" si="939">SUM(X533:AF533)</f>
        <v>0</v>
      </c>
    </row>
    <row r="534" spans="1:38" ht="15.6" hidden="1" thickBot="1">
      <c r="A534" s="91"/>
      <c r="B534" s="100"/>
      <c r="C534" s="92"/>
      <c r="D534" s="93" t="s">
        <v>92</v>
      </c>
      <c r="E534" s="94"/>
      <c r="F534" s="97"/>
      <c r="G534" s="97"/>
      <c r="H534" s="97"/>
      <c r="I534" s="97"/>
      <c r="J534" s="97"/>
      <c r="K534" s="97"/>
      <c r="L534" s="97"/>
      <c r="M534" s="98"/>
      <c r="N534" s="98"/>
      <c r="O534" s="98"/>
      <c r="P534" s="99"/>
      <c r="Q534" s="95">
        <f t="shared" si="935"/>
        <v>0</v>
      </c>
      <c r="R534" s="96">
        <f t="shared" si="929"/>
        <v>0</v>
      </c>
      <c r="T534" s="91"/>
      <c r="U534" s="100"/>
      <c r="V534" s="92">
        <f t="shared" si="937"/>
        <v>0</v>
      </c>
      <c r="W534" s="93" t="s">
        <v>92</v>
      </c>
      <c r="X534" s="94"/>
      <c r="Y534" s="97"/>
      <c r="Z534" s="97"/>
      <c r="AA534" s="97"/>
      <c r="AB534" s="97"/>
      <c r="AC534" s="97"/>
      <c r="AD534" s="97"/>
      <c r="AE534" s="97"/>
      <c r="AF534" s="98"/>
      <c r="AG534" s="98"/>
      <c r="AH534" s="98"/>
      <c r="AI534" s="99"/>
      <c r="AJ534" s="95">
        <f t="shared" si="938"/>
        <v>0</v>
      </c>
      <c r="AK534" s="96">
        <f t="shared" si="939"/>
        <v>0</v>
      </c>
    </row>
    <row r="535" spans="1:38" ht="15.6" hidden="1" thickBot="1">
      <c r="A535" s="91"/>
      <c r="B535" s="100"/>
      <c r="C535" s="92"/>
      <c r="D535" s="101">
        <v>2020</v>
      </c>
      <c r="E535" s="102"/>
      <c r="F535" s="124"/>
      <c r="G535" s="124"/>
      <c r="H535" s="124"/>
      <c r="I535" s="124"/>
      <c r="J535" s="124"/>
      <c r="K535" s="124"/>
      <c r="L535" s="124"/>
      <c r="M535" s="125"/>
      <c r="N535" s="125"/>
      <c r="O535" s="125"/>
      <c r="P535" s="126"/>
      <c r="Q535" s="103">
        <f t="shared" si="935"/>
        <v>0</v>
      </c>
      <c r="R535" s="104">
        <f t="shared" si="929"/>
        <v>0</v>
      </c>
      <c r="S535" s="105"/>
      <c r="T535" s="91"/>
      <c r="U535" s="100"/>
      <c r="V535" s="92"/>
      <c r="W535" s="101">
        <v>2020</v>
      </c>
      <c r="X535" s="102"/>
      <c r="Y535" s="124"/>
      <c r="Z535" s="124"/>
      <c r="AA535" s="124"/>
      <c r="AB535" s="124"/>
      <c r="AC535" s="124"/>
      <c r="AD535" s="124"/>
      <c r="AE535" s="124"/>
      <c r="AF535" s="125"/>
      <c r="AG535" s="125"/>
      <c r="AH535" s="125"/>
      <c r="AI535" s="126"/>
      <c r="AJ535" s="103">
        <f t="shared" si="938"/>
        <v>0</v>
      </c>
      <c r="AK535" s="104">
        <f t="shared" si="939"/>
        <v>0</v>
      </c>
      <c r="AL535" s="105"/>
    </row>
    <row r="536" spans="1:38" ht="15.6" hidden="1" thickBot="1">
      <c r="A536" s="91"/>
      <c r="B536" s="100"/>
      <c r="C536" s="92"/>
      <c r="D536" s="101" t="s">
        <v>102</v>
      </c>
      <c r="E536" s="106" t="e">
        <f t="shared" ref="E536:R536" si="940">E535/E534</f>
        <v>#DIV/0!</v>
      </c>
      <c r="F536" s="106" t="e">
        <f t="shared" si="940"/>
        <v>#DIV/0!</v>
      </c>
      <c r="G536" s="106" t="e">
        <f t="shared" si="940"/>
        <v>#DIV/0!</v>
      </c>
      <c r="H536" s="106" t="e">
        <f t="shared" si="940"/>
        <v>#DIV/0!</v>
      </c>
      <c r="I536" s="106" t="e">
        <f t="shared" si="940"/>
        <v>#DIV/0!</v>
      </c>
      <c r="J536" s="106" t="e">
        <f t="shared" si="940"/>
        <v>#DIV/0!</v>
      </c>
      <c r="K536" s="106" t="e">
        <f t="shared" si="940"/>
        <v>#DIV/0!</v>
      </c>
      <c r="L536" s="106" t="e">
        <f t="shared" si="940"/>
        <v>#DIV/0!</v>
      </c>
      <c r="M536" s="107" t="e">
        <f t="shared" si="940"/>
        <v>#DIV/0!</v>
      </c>
      <c r="N536" s="107" t="e">
        <f t="shared" si="940"/>
        <v>#DIV/0!</v>
      </c>
      <c r="O536" s="107" t="e">
        <f t="shared" si="940"/>
        <v>#DIV/0!</v>
      </c>
      <c r="P536" s="108" t="e">
        <f t="shared" si="940"/>
        <v>#DIV/0!</v>
      </c>
      <c r="Q536" s="109" t="e">
        <f t="shared" si="940"/>
        <v>#DIV/0!</v>
      </c>
      <c r="R536" s="110" t="e">
        <f t="shared" si="940"/>
        <v>#DIV/0!</v>
      </c>
      <c r="S536" s="105"/>
      <c r="T536" s="91"/>
      <c r="U536" s="100"/>
      <c r="V536" s="92"/>
      <c r="W536" s="101" t="s">
        <v>102</v>
      </c>
      <c r="X536" s="106" t="e">
        <f t="shared" ref="X536:AK536" si="941">X535/X534</f>
        <v>#DIV/0!</v>
      </c>
      <c r="Y536" s="106" t="e">
        <f t="shared" si="941"/>
        <v>#DIV/0!</v>
      </c>
      <c r="Z536" s="106" t="e">
        <f t="shared" si="941"/>
        <v>#DIV/0!</v>
      </c>
      <c r="AA536" s="106" t="e">
        <f t="shared" si="941"/>
        <v>#DIV/0!</v>
      </c>
      <c r="AB536" s="106" t="e">
        <f t="shared" si="941"/>
        <v>#DIV/0!</v>
      </c>
      <c r="AC536" s="106" t="e">
        <f t="shared" si="941"/>
        <v>#DIV/0!</v>
      </c>
      <c r="AD536" s="106" t="e">
        <f t="shared" si="941"/>
        <v>#DIV/0!</v>
      </c>
      <c r="AE536" s="106" t="e">
        <f t="shared" si="941"/>
        <v>#DIV/0!</v>
      </c>
      <c r="AF536" s="107" t="e">
        <f t="shared" si="941"/>
        <v>#DIV/0!</v>
      </c>
      <c r="AG536" s="107" t="e">
        <f t="shared" si="941"/>
        <v>#DIV/0!</v>
      </c>
      <c r="AH536" s="107" t="e">
        <f t="shared" si="941"/>
        <v>#DIV/0!</v>
      </c>
      <c r="AI536" s="108" t="e">
        <f t="shared" si="941"/>
        <v>#DIV/0!</v>
      </c>
      <c r="AJ536" s="109" t="e">
        <f t="shared" si="941"/>
        <v>#DIV/0!</v>
      </c>
      <c r="AK536" s="110" t="e">
        <f t="shared" si="941"/>
        <v>#DIV/0!</v>
      </c>
      <c r="AL536" s="105"/>
    </row>
    <row r="537" spans="1:38" ht="15.6" hidden="1" thickBot="1">
      <c r="A537" s="91"/>
      <c r="B537" s="100"/>
      <c r="C537" s="111"/>
      <c r="D537" s="112" t="s">
        <v>103</v>
      </c>
      <c r="E537" s="113" t="e">
        <f t="shared" ref="E537:R537" si="942">E535/E533</f>
        <v>#DIV/0!</v>
      </c>
      <c r="F537" s="113" t="e">
        <f t="shared" si="942"/>
        <v>#DIV/0!</v>
      </c>
      <c r="G537" s="113" t="e">
        <f t="shared" si="942"/>
        <v>#DIV/0!</v>
      </c>
      <c r="H537" s="113" t="e">
        <f t="shared" si="942"/>
        <v>#DIV/0!</v>
      </c>
      <c r="I537" s="113" t="e">
        <f t="shared" si="942"/>
        <v>#DIV/0!</v>
      </c>
      <c r="J537" s="113" t="e">
        <f t="shared" si="942"/>
        <v>#DIV/0!</v>
      </c>
      <c r="K537" s="113" t="e">
        <f t="shared" si="942"/>
        <v>#DIV/0!</v>
      </c>
      <c r="L537" s="113" t="e">
        <f t="shared" si="942"/>
        <v>#DIV/0!</v>
      </c>
      <c r="M537" s="113" t="e">
        <f t="shared" si="942"/>
        <v>#DIV/0!</v>
      </c>
      <c r="N537" s="113" t="e">
        <f t="shared" si="942"/>
        <v>#DIV/0!</v>
      </c>
      <c r="O537" s="113" t="e">
        <f t="shared" si="942"/>
        <v>#DIV/0!</v>
      </c>
      <c r="P537" s="114" t="e">
        <f t="shared" si="942"/>
        <v>#DIV/0!</v>
      </c>
      <c r="Q537" s="115" t="e">
        <f t="shared" si="942"/>
        <v>#DIV/0!</v>
      </c>
      <c r="R537" s="116" t="e">
        <f t="shared" si="942"/>
        <v>#DIV/0!</v>
      </c>
      <c r="T537" s="91"/>
      <c r="U537" s="100"/>
      <c r="V537" s="111"/>
      <c r="W537" s="112" t="s">
        <v>103</v>
      </c>
      <c r="X537" s="113" t="e">
        <f t="shared" ref="X537:AK537" si="943">X535/X533</f>
        <v>#DIV/0!</v>
      </c>
      <c r="Y537" s="113" t="e">
        <f t="shared" si="943"/>
        <v>#DIV/0!</v>
      </c>
      <c r="Z537" s="113" t="e">
        <f t="shared" si="943"/>
        <v>#DIV/0!</v>
      </c>
      <c r="AA537" s="113" t="e">
        <f t="shared" si="943"/>
        <v>#DIV/0!</v>
      </c>
      <c r="AB537" s="113" t="e">
        <f t="shared" si="943"/>
        <v>#DIV/0!</v>
      </c>
      <c r="AC537" s="113" t="e">
        <f t="shared" si="943"/>
        <v>#DIV/0!</v>
      </c>
      <c r="AD537" s="113" t="e">
        <f t="shared" si="943"/>
        <v>#DIV/0!</v>
      </c>
      <c r="AE537" s="113" t="e">
        <f t="shared" si="943"/>
        <v>#DIV/0!</v>
      </c>
      <c r="AF537" s="113" t="e">
        <f t="shared" si="943"/>
        <v>#DIV/0!</v>
      </c>
      <c r="AG537" s="113" t="e">
        <f t="shared" si="943"/>
        <v>#DIV/0!</v>
      </c>
      <c r="AH537" s="113" t="e">
        <f t="shared" si="943"/>
        <v>#DIV/0!</v>
      </c>
      <c r="AI537" s="114" t="e">
        <f t="shared" si="943"/>
        <v>#DIV/0!</v>
      </c>
      <c r="AJ537" s="115" t="e">
        <f t="shared" si="943"/>
        <v>#DIV/0!</v>
      </c>
      <c r="AK537" s="116" t="e">
        <f t="shared" si="943"/>
        <v>#DIV/0!</v>
      </c>
    </row>
    <row r="538" spans="1:38" ht="15.6" hidden="1" thickBot="1">
      <c r="A538" s="91"/>
      <c r="B538" s="100"/>
      <c r="C538" s="86"/>
      <c r="D538" s="87">
        <v>2019</v>
      </c>
      <c r="E538" s="88"/>
      <c r="F538" s="121"/>
      <c r="G538" s="121"/>
      <c r="H538" s="121"/>
      <c r="I538" s="121"/>
      <c r="J538" s="121"/>
      <c r="K538" s="121"/>
      <c r="L538" s="121"/>
      <c r="M538" s="122"/>
      <c r="N538" s="122"/>
      <c r="O538" s="122"/>
      <c r="P538" s="123"/>
      <c r="Q538" s="89">
        <f t="shared" ref="Q538:Q540" si="944">SUM(E538:P538)</f>
        <v>0</v>
      </c>
      <c r="R538" s="90">
        <f t="shared" ref="R538" si="945">SUM(E538:M538)</f>
        <v>0</v>
      </c>
      <c r="T538" s="91"/>
      <c r="U538" s="100"/>
      <c r="V538" s="86">
        <f t="shared" ref="V538:V539" si="946">C538</f>
        <v>0</v>
      </c>
      <c r="W538" s="87">
        <v>2019</v>
      </c>
      <c r="X538" s="88"/>
      <c r="Y538" s="121"/>
      <c r="Z538" s="121"/>
      <c r="AA538" s="121"/>
      <c r="AB538" s="121"/>
      <c r="AC538" s="121"/>
      <c r="AD538" s="121"/>
      <c r="AE538" s="121"/>
      <c r="AF538" s="122"/>
      <c r="AG538" s="122"/>
      <c r="AH538" s="122"/>
      <c r="AI538" s="123"/>
      <c r="AJ538" s="89">
        <f t="shared" ref="AJ538:AJ540" si="947">SUM(X538:AI538)</f>
        <v>0</v>
      </c>
      <c r="AK538" s="90">
        <f t="shared" ref="AK538:AK540" si="948">SUM(X538:AF538)</f>
        <v>0</v>
      </c>
    </row>
    <row r="539" spans="1:38" ht="15.6" hidden="1" thickBot="1">
      <c r="A539" s="91"/>
      <c r="B539" s="100"/>
      <c r="C539" s="92"/>
      <c r="D539" s="93" t="s">
        <v>92</v>
      </c>
      <c r="E539" s="94"/>
      <c r="F539" s="97"/>
      <c r="G539" s="97"/>
      <c r="H539" s="97"/>
      <c r="I539" s="97"/>
      <c r="J539" s="97"/>
      <c r="K539" s="97"/>
      <c r="L539" s="97"/>
      <c r="M539" s="98"/>
      <c r="N539" s="98"/>
      <c r="O539" s="98"/>
      <c r="P539" s="99"/>
      <c r="Q539" s="95">
        <f t="shared" si="944"/>
        <v>0</v>
      </c>
      <c r="R539" s="96">
        <f t="shared" si="929"/>
        <v>0</v>
      </c>
      <c r="T539" s="91"/>
      <c r="U539" s="100"/>
      <c r="V539" s="92">
        <f t="shared" si="946"/>
        <v>0</v>
      </c>
      <c r="W539" s="93" t="s">
        <v>92</v>
      </c>
      <c r="X539" s="94"/>
      <c r="Y539" s="97"/>
      <c r="Z539" s="97"/>
      <c r="AA539" s="97"/>
      <c r="AB539" s="97"/>
      <c r="AC539" s="97"/>
      <c r="AD539" s="97"/>
      <c r="AE539" s="97"/>
      <c r="AF539" s="98"/>
      <c r="AG539" s="98"/>
      <c r="AH539" s="98"/>
      <c r="AI539" s="99"/>
      <c r="AJ539" s="95">
        <f t="shared" si="947"/>
        <v>0</v>
      </c>
      <c r="AK539" s="96">
        <f t="shared" si="948"/>
        <v>0</v>
      </c>
    </row>
    <row r="540" spans="1:38" ht="15.6" hidden="1" thickBot="1">
      <c r="A540" s="91"/>
      <c r="B540" s="100"/>
      <c r="C540" s="92"/>
      <c r="D540" s="101">
        <v>2020</v>
      </c>
      <c r="E540" s="102"/>
      <c r="F540" s="124"/>
      <c r="G540" s="124"/>
      <c r="H540" s="124"/>
      <c r="I540" s="124"/>
      <c r="J540" s="124"/>
      <c r="K540" s="124"/>
      <c r="L540" s="124"/>
      <c r="M540" s="125"/>
      <c r="N540" s="125"/>
      <c r="O540" s="125"/>
      <c r="P540" s="126"/>
      <c r="Q540" s="103">
        <f t="shared" si="944"/>
        <v>0</v>
      </c>
      <c r="R540" s="104">
        <f t="shared" si="929"/>
        <v>0</v>
      </c>
      <c r="S540" s="105"/>
      <c r="T540" s="91"/>
      <c r="U540" s="100"/>
      <c r="V540" s="92"/>
      <c r="W540" s="101">
        <v>2020</v>
      </c>
      <c r="X540" s="102"/>
      <c r="Y540" s="124"/>
      <c r="Z540" s="124"/>
      <c r="AA540" s="124"/>
      <c r="AB540" s="124"/>
      <c r="AC540" s="124"/>
      <c r="AD540" s="124"/>
      <c r="AE540" s="124"/>
      <c r="AF540" s="125"/>
      <c r="AG540" s="125"/>
      <c r="AH540" s="125"/>
      <c r="AI540" s="126"/>
      <c r="AJ540" s="103">
        <f t="shared" si="947"/>
        <v>0</v>
      </c>
      <c r="AK540" s="104">
        <f t="shared" si="948"/>
        <v>0</v>
      </c>
      <c r="AL540" s="105"/>
    </row>
    <row r="541" spans="1:38" ht="15.6" hidden="1" thickBot="1">
      <c r="A541" s="91"/>
      <c r="B541" s="100"/>
      <c r="C541" s="92"/>
      <c r="D541" s="101" t="s">
        <v>102</v>
      </c>
      <c r="E541" s="106" t="e">
        <f t="shared" ref="E541:R541" si="949">E540/E539</f>
        <v>#DIV/0!</v>
      </c>
      <c r="F541" s="106" t="e">
        <f t="shared" si="949"/>
        <v>#DIV/0!</v>
      </c>
      <c r="G541" s="106" t="e">
        <f t="shared" si="949"/>
        <v>#DIV/0!</v>
      </c>
      <c r="H541" s="106" t="e">
        <f t="shared" si="949"/>
        <v>#DIV/0!</v>
      </c>
      <c r="I541" s="106" t="e">
        <f t="shared" si="949"/>
        <v>#DIV/0!</v>
      </c>
      <c r="J541" s="106" t="e">
        <f t="shared" si="949"/>
        <v>#DIV/0!</v>
      </c>
      <c r="K541" s="106" t="e">
        <f t="shared" si="949"/>
        <v>#DIV/0!</v>
      </c>
      <c r="L541" s="106" t="e">
        <f t="shared" si="949"/>
        <v>#DIV/0!</v>
      </c>
      <c r="M541" s="107" t="e">
        <f t="shared" si="949"/>
        <v>#DIV/0!</v>
      </c>
      <c r="N541" s="107" t="e">
        <f t="shared" si="949"/>
        <v>#DIV/0!</v>
      </c>
      <c r="O541" s="107" t="e">
        <f t="shared" si="949"/>
        <v>#DIV/0!</v>
      </c>
      <c r="P541" s="108" t="e">
        <f t="shared" si="949"/>
        <v>#DIV/0!</v>
      </c>
      <c r="Q541" s="109" t="e">
        <f t="shared" si="949"/>
        <v>#DIV/0!</v>
      </c>
      <c r="R541" s="110" t="e">
        <f t="shared" si="949"/>
        <v>#DIV/0!</v>
      </c>
      <c r="S541" s="105"/>
      <c r="T541" s="91"/>
      <c r="U541" s="100"/>
      <c r="V541" s="92"/>
      <c r="W541" s="101" t="s">
        <v>102</v>
      </c>
      <c r="X541" s="106" t="e">
        <f t="shared" ref="X541:AK541" si="950">X540/X539</f>
        <v>#DIV/0!</v>
      </c>
      <c r="Y541" s="106" t="e">
        <f t="shared" si="950"/>
        <v>#DIV/0!</v>
      </c>
      <c r="Z541" s="106" t="e">
        <f t="shared" si="950"/>
        <v>#DIV/0!</v>
      </c>
      <c r="AA541" s="106" t="e">
        <f t="shared" si="950"/>
        <v>#DIV/0!</v>
      </c>
      <c r="AB541" s="106" t="e">
        <f t="shared" si="950"/>
        <v>#DIV/0!</v>
      </c>
      <c r="AC541" s="106" t="e">
        <f t="shared" si="950"/>
        <v>#DIV/0!</v>
      </c>
      <c r="AD541" s="106" t="e">
        <f t="shared" si="950"/>
        <v>#DIV/0!</v>
      </c>
      <c r="AE541" s="106" t="e">
        <f t="shared" si="950"/>
        <v>#DIV/0!</v>
      </c>
      <c r="AF541" s="107" t="e">
        <f t="shared" si="950"/>
        <v>#DIV/0!</v>
      </c>
      <c r="AG541" s="107" t="e">
        <f t="shared" si="950"/>
        <v>#DIV/0!</v>
      </c>
      <c r="AH541" s="107" t="e">
        <f t="shared" si="950"/>
        <v>#DIV/0!</v>
      </c>
      <c r="AI541" s="108" t="e">
        <f t="shared" si="950"/>
        <v>#DIV/0!</v>
      </c>
      <c r="AJ541" s="109" t="e">
        <f t="shared" si="950"/>
        <v>#DIV/0!</v>
      </c>
      <c r="AK541" s="110" t="e">
        <f t="shared" si="950"/>
        <v>#DIV/0!</v>
      </c>
      <c r="AL541" s="105"/>
    </row>
    <row r="542" spans="1:38" ht="15.6" hidden="1" thickBot="1">
      <c r="A542" s="91"/>
      <c r="B542" s="100"/>
      <c r="C542" s="111"/>
      <c r="D542" s="112" t="s">
        <v>103</v>
      </c>
      <c r="E542" s="113" t="e">
        <f t="shared" ref="E542:R542" si="951">E540/E538</f>
        <v>#DIV/0!</v>
      </c>
      <c r="F542" s="113" t="e">
        <f t="shared" si="951"/>
        <v>#DIV/0!</v>
      </c>
      <c r="G542" s="113" t="e">
        <f t="shared" si="951"/>
        <v>#DIV/0!</v>
      </c>
      <c r="H542" s="113" t="e">
        <f t="shared" si="951"/>
        <v>#DIV/0!</v>
      </c>
      <c r="I542" s="113" t="e">
        <f t="shared" si="951"/>
        <v>#DIV/0!</v>
      </c>
      <c r="J542" s="113" t="e">
        <f t="shared" si="951"/>
        <v>#DIV/0!</v>
      </c>
      <c r="K542" s="113" t="e">
        <f t="shared" si="951"/>
        <v>#DIV/0!</v>
      </c>
      <c r="L542" s="113" t="e">
        <f t="shared" si="951"/>
        <v>#DIV/0!</v>
      </c>
      <c r="M542" s="113" t="e">
        <f t="shared" si="951"/>
        <v>#DIV/0!</v>
      </c>
      <c r="N542" s="113" t="e">
        <f t="shared" si="951"/>
        <v>#DIV/0!</v>
      </c>
      <c r="O542" s="113" t="e">
        <f t="shared" si="951"/>
        <v>#DIV/0!</v>
      </c>
      <c r="P542" s="114" t="e">
        <f t="shared" si="951"/>
        <v>#DIV/0!</v>
      </c>
      <c r="Q542" s="115" t="e">
        <f t="shared" si="951"/>
        <v>#DIV/0!</v>
      </c>
      <c r="R542" s="116" t="e">
        <f t="shared" si="951"/>
        <v>#DIV/0!</v>
      </c>
      <c r="T542" s="91"/>
      <c r="U542" s="100"/>
      <c r="V542" s="111"/>
      <c r="W542" s="112" t="s">
        <v>103</v>
      </c>
      <c r="X542" s="113" t="e">
        <f t="shared" ref="X542:AK542" si="952">X540/X538</f>
        <v>#DIV/0!</v>
      </c>
      <c r="Y542" s="113" t="e">
        <f t="shared" si="952"/>
        <v>#DIV/0!</v>
      </c>
      <c r="Z542" s="113" t="e">
        <f t="shared" si="952"/>
        <v>#DIV/0!</v>
      </c>
      <c r="AA542" s="113" t="e">
        <f t="shared" si="952"/>
        <v>#DIV/0!</v>
      </c>
      <c r="AB542" s="113" t="e">
        <f t="shared" si="952"/>
        <v>#DIV/0!</v>
      </c>
      <c r="AC542" s="113" t="e">
        <f t="shared" si="952"/>
        <v>#DIV/0!</v>
      </c>
      <c r="AD542" s="113" t="e">
        <f t="shared" si="952"/>
        <v>#DIV/0!</v>
      </c>
      <c r="AE542" s="113" t="e">
        <f t="shared" si="952"/>
        <v>#DIV/0!</v>
      </c>
      <c r="AF542" s="113" t="e">
        <f t="shared" si="952"/>
        <v>#DIV/0!</v>
      </c>
      <c r="AG542" s="113" t="e">
        <f t="shared" si="952"/>
        <v>#DIV/0!</v>
      </c>
      <c r="AH542" s="113" t="e">
        <f t="shared" si="952"/>
        <v>#DIV/0!</v>
      </c>
      <c r="AI542" s="114" t="e">
        <f t="shared" si="952"/>
        <v>#DIV/0!</v>
      </c>
      <c r="AJ542" s="115" t="e">
        <f t="shared" si="952"/>
        <v>#DIV/0!</v>
      </c>
      <c r="AK542" s="116" t="e">
        <f t="shared" si="952"/>
        <v>#DIV/0!</v>
      </c>
    </row>
    <row r="543" spans="1:38" ht="15.6" hidden="1" thickBot="1">
      <c r="A543" s="91"/>
      <c r="B543" s="100"/>
      <c r="C543" s="86"/>
      <c r="D543" s="87">
        <v>2019</v>
      </c>
      <c r="E543" s="88"/>
      <c r="F543" s="121"/>
      <c r="G543" s="121"/>
      <c r="H543" s="121"/>
      <c r="I543" s="121"/>
      <c r="J543" s="121"/>
      <c r="K543" s="121"/>
      <c r="L543" s="121"/>
      <c r="M543" s="122"/>
      <c r="N543" s="122"/>
      <c r="O543" s="122"/>
      <c r="P543" s="123"/>
      <c r="Q543" s="89">
        <f t="shared" ref="Q543:Q545" si="953">SUM(E543:P543)</f>
        <v>0</v>
      </c>
      <c r="R543" s="90">
        <f t="shared" ref="R543" si="954">SUM(E543:M543)</f>
        <v>0</v>
      </c>
      <c r="T543" s="91"/>
      <c r="U543" s="100"/>
      <c r="V543" s="86">
        <f t="shared" ref="V543:V544" si="955">C543</f>
        <v>0</v>
      </c>
      <c r="W543" s="87">
        <v>2019</v>
      </c>
      <c r="X543" s="88"/>
      <c r="Y543" s="121"/>
      <c r="Z543" s="121"/>
      <c r="AA543" s="121"/>
      <c r="AB543" s="121"/>
      <c r="AC543" s="121"/>
      <c r="AD543" s="121"/>
      <c r="AE543" s="121"/>
      <c r="AF543" s="122"/>
      <c r="AG543" s="122"/>
      <c r="AH543" s="122"/>
      <c r="AI543" s="123"/>
      <c r="AJ543" s="89">
        <f t="shared" ref="AJ543:AJ545" si="956">SUM(X543:AI543)</f>
        <v>0</v>
      </c>
      <c r="AK543" s="90">
        <f t="shared" ref="AK543:AK545" si="957">SUM(X543:AF543)</f>
        <v>0</v>
      </c>
    </row>
    <row r="544" spans="1:38" ht="15.6" hidden="1" thickBot="1">
      <c r="A544" s="91"/>
      <c r="B544" s="100"/>
      <c r="C544" s="92"/>
      <c r="D544" s="93" t="s">
        <v>92</v>
      </c>
      <c r="E544" s="94"/>
      <c r="F544" s="97"/>
      <c r="G544" s="97"/>
      <c r="H544" s="97"/>
      <c r="I544" s="97"/>
      <c r="J544" s="97"/>
      <c r="K544" s="97"/>
      <c r="L544" s="97"/>
      <c r="M544" s="98"/>
      <c r="N544" s="98"/>
      <c r="O544" s="98"/>
      <c r="P544" s="99"/>
      <c r="Q544" s="95">
        <f t="shared" si="953"/>
        <v>0</v>
      </c>
      <c r="R544" s="96">
        <f t="shared" si="929"/>
        <v>0</v>
      </c>
      <c r="T544" s="91"/>
      <c r="U544" s="100"/>
      <c r="V544" s="92">
        <f t="shared" si="955"/>
        <v>0</v>
      </c>
      <c r="W544" s="93" t="s">
        <v>92</v>
      </c>
      <c r="X544" s="94"/>
      <c r="Y544" s="97"/>
      <c r="Z544" s="97"/>
      <c r="AA544" s="97"/>
      <c r="AB544" s="97"/>
      <c r="AC544" s="97"/>
      <c r="AD544" s="97"/>
      <c r="AE544" s="97"/>
      <c r="AF544" s="98"/>
      <c r="AG544" s="98"/>
      <c r="AH544" s="98"/>
      <c r="AI544" s="99"/>
      <c r="AJ544" s="95">
        <f t="shared" si="956"/>
        <v>0</v>
      </c>
      <c r="AK544" s="96">
        <f t="shared" si="957"/>
        <v>0</v>
      </c>
    </row>
    <row r="545" spans="1:38" ht="15.6" hidden="1" thickBot="1">
      <c r="A545" s="91"/>
      <c r="B545" s="100"/>
      <c r="C545" s="92"/>
      <c r="D545" s="101">
        <v>2020</v>
      </c>
      <c r="E545" s="102"/>
      <c r="F545" s="124"/>
      <c r="G545" s="124"/>
      <c r="H545" s="124"/>
      <c r="I545" s="124"/>
      <c r="J545" s="124"/>
      <c r="K545" s="124"/>
      <c r="L545" s="124"/>
      <c r="M545" s="125"/>
      <c r="N545" s="125"/>
      <c r="O545" s="125"/>
      <c r="P545" s="126"/>
      <c r="Q545" s="103">
        <f t="shared" si="953"/>
        <v>0</v>
      </c>
      <c r="R545" s="104">
        <f t="shared" si="929"/>
        <v>0</v>
      </c>
      <c r="S545" s="105"/>
      <c r="T545" s="91"/>
      <c r="U545" s="100"/>
      <c r="V545" s="92"/>
      <c r="W545" s="101">
        <v>2020</v>
      </c>
      <c r="X545" s="102"/>
      <c r="Y545" s="124"/>
      <c r="Z545" s="124"/>
      <c r="AA545" s="124"/>
      <c r="AB545" s="124"/>
      <c r="AC545" s="124"/>
      <c r="AD545" s="124"/>
      <c r="AE545" s="124"/>
      <c r="AF545" s="125"/>
      <c r="AG545" s="125"/>
      <c r="AH545" s="125"/>
      <c r="AI545" s="126"/>
      <c r="AJ545" s="103">
        <f t="shared" si="956"/>
        <v>0</v>
      </c>
      <c r="AK545" s="104">
        <f t="shared" si="957"/>
        <v>0</v>
      </c>
      <c r="AL545" s="105"/>
    </row>
    <row r="546" spans="1:38" ht="15.6" hidden="1" thickBot="1">
      <c r="A546" s="91"/>
      <c r="B546" s="100"/>
      <c r="C546" s="92"/>
      <c r="D546" s="101" t="s">
        <v>102</v>
      </c>
      <c r="E546" s="106" t="e">
        <f t="shared" ref="E546:R546" si="958">E545/E544</f>
        <v>#DIV/0!</v>
      </c>
      <c r="F546" s="106" t="e">
        <f t="shared" si="958"/>
        <v>#DIV/0!</v>
      </c>
      <c r="G546" s="106" t="e">
        <f t="shared" si="958"/>
        <v>#DIV/0!</v>
      </c>
      <c r="H546" s="106" t="e">
        <f t="shared" si="958"/>
        <v>#DIV/0!</v>
      </c>
      <c r="I546" s="106" t="e">
        <f t="shared" si="958"/>
        <v>#DIV/0!</v>
      </c>
      <c r="J546" s="106" t="e">
        <f t="shared" si="958"/>
        <v>#DIV/0!</v>
      </c>
      <c r="K546" s="106" t="e">
        <f t="shared" si="958"/>
        <v>#DIV/0!</v>
      </c>
      <c r="L546" s="106" t="e">
        <f t="shared" si="958"/>
        <v>#DIV/0!</v>
      </c>
      <c r="M546" s="107" t="e">
        <f t="shared" si="958"/>
        <v>#DIV/0!</v>
      </c>
      <c r="N546" s="107" t="e">
        <f t="shared" si="958"/>
        <v>#DIV/0!</v>
      </c>
      <c r="O546" s="107" t="e">
        <f t="shared" si="958"/>
        <v>#DIV/0!</v>
      </c>
      <c r="P546" s="108" t="e">
        <f t="shared" si="958"/>
        <v>#DIV/0!</v>
      </c>
      <c r="Q546" s="109" t="e">
        <f t="shared" si="958"/>
        <v>#DIV/0!</v>
      </c>
      <c r="R546" s="110" t="e">
        <f t="shared" si="958"/>
        <v>#DIV/0!</v>
      </c>
      <c r="S546" s="105"/>
      <c r="T546" s="91"/>
      <c r="U546" s="100"/>
      <c r="V546" s="92"/>
      <c r="W546" s="101" t="s">
        <v>102</v>
      </c>
      <c r="X546" s="106" t="e">
        <f t="shared" ref="X546:AK546" si="959">X545/X544</f>
        <v>#DIV/0!</v>
      </c>
      <c r="Y546" s="106" t="e">
        <f t="shared" si="959"/>
        <v>#DIV/0!</v>
      </c>
      <c r="Z546" s="106" t="e">
        <f t="shared" si="959"/>
        <v>#DIV/0!</v>
      </c>
      <c r="AA546" s="106" t="e">
        <f t="shared" si="959"/>
        <v>#DIV/0!</v>
      </c>
      <c r="AB546" s="106" t="e">
        <f t="shared" si="959"/>
        <v>#DIV/0!</v>
      </c>
      <c r="AC546" s="106" t="e">
        <f t="shared" si="959"/>
        <v>#DIV/0!</v>
      </c>
      <c r="AD546" s="106" t="e">
        <f t="shared" si="959"/>
        <v>#DIV/0!</v>
      </c>
      <c r="AE546" s="106" t="e">
        <f t="shared" si="959"/>
        <v>#DIV/0!</v>
      </c>
      <c r="AF546" s="107" t="e">
        <f t="shared" si="959"/>
        <v>#DIV/0!</v>
      </c>
      <c r="AG546" s="107" t="e">
        <f t="shared" si="959"/>
        <v>#DIV/0!</v>
      </c>
      <c r="AH546" s="107" t="e">
        <f t="shared" si="959"/>
        <v>#DIV/0!</v>
      </c>
      <c r="AI546" s="108" t="e">
        <f t="shared" si="959"/>
        <v>#DIV/0!</v>
      </c>
      <c r="AJ546" s="109" t="e">
        <f t="shared" si="959"/>
        <v>#DIV/0!</v>
      </c>
      <c r="AK546" s="110" t="e">
        <f t="shared" si="959"/>
        <v>#DIV/0!</v>
      </c>
      <c r="AL546" s="105"/>
    </row>
    <row r="547" spans="1:38" ht="15.6" hidden="1" thickBot="1">
      <c r="A547" s="91"/>
      <c r="B547" s="100"/>
      <c r="C547" s="111"/>
      <c r="D547" s="112" t="s">
        <v>103</v>
      </c>
      <c r="E547" s="113" t="e">
        <f t="shared" ref="E547:R547" si="960">E545/E543</f>
        <v>#DIV/0!</v>
      </c>
      <c r="F547" s="113" t="e">
        <f t="shared" si="960"/>
        <v>#DIV/0!</v>
      </c>
      <c r="G547" s="113" t="e">
        <f t="shared" si="960"/>
        <v>#DIV/0!</v>
      </c>
      <c r="H547" s="113" t="e">
        <f t="shared" si="960"/>
        <v>#DIV/0!</v>
      </c>
      <c r="I547" s="113" t="e">
        <f t="shared" si="960"/>
        <v>#DIV/0!</v>
      </c>
      <c r="J547" s="113" t="e">
        <f t="shared" si="960"/>
        <v>#DIV/0!</v>
      </c>
      <c r="K547" s="113" t="e">
        <f t="shared" si="960"/>
        <v>#DIV/0!</v>
      </c>
      <c r="L547" s="113" t="e">
        <f t="shared" si="960"/>
        <v>#DIV/0!</v>
      </c>
      <c r="M547" s="113" t="e">
        <f t="shared" si="960"/>
        <v>#DIV/0!</v>
      </c>
      <c r="N547" s="113" t="e">
        <f t="shared" si="960"/>
        <v>#DIV/0!</v>
      </c>
      <c r="O547" s="113" t="e">
        <f t="shared" si="960"/>
        <v>#DIV/0!</v>
      </c>
      <c r="P547" s="114" t="e">
        <f t="shared" si="960"/>
        <v>#DIV/0!</v>
      </c>
      <c r="Q547" s="115" t="e">
        <f t="shared" si="960"/>
        <v>#DIV/0!</v>
      </c>
      <c r="R547" s="116" t="e">
        <f t="shared" si="960"/>
        <v>#DIV/0!</v>
      </c>
      <c r="T547" s="91"/>
      <c r="U547" s="100"/>
      <c r="V547" s="111"/>
      <c r="W547" s="112" t="s">
        <v>103</v>
      </c>
      <c r="X547" s="113" t="e">
        <f t="shared" ref="X547:AK547" si="961">X545/X543</f>
        <v>#DIV/0!</v>
      </c>
      <c r="Y547" s="113" t="e">
        <f t="shared" si="961"/>
        <v>#DIV/0!</v>
      </c>
      <c r="Z547" s="113" t="e">
        <f t="shared" si="961"/>
        <v>#DIV/0!</v>
      </c>
      <c r="AA547" s="113" t="e">
        <f t="shared" si="961"/>
        <v>#DIV/0!</v>
      </c>
      <c r="AB547" s="113" t="e">
        <f t="shared" si="961"/>
        <v>#DIV/0!</v>
      </c>
      <c r="AC547" s="113" t="e">
        <f t="shared" si="961"/>
        <v>#DIV/0!</v>
      </c>
      <c r="AD547" s="113" t="e">
        <f t="shared" si="961"/>
        <v>#DIV/0!</v>
      </c>
      <c r="AE547" s="113" t="e">
        <f t="shared" si="961"/>
        <v>#DIV/0!</v>
      </c>
      <c r="AF547" s="113" t="e">
        <f t="shared" si="961"/>
        <v>#DIV/0!</v>
      </c>
      <c r="AG547" s="113" t="e">
        <f t="shared" si="961"/>
        <v>#DIV/0!</v>
      </c>
      <c r="AH547" s="113" t="e">
        <f t="shared" si="961"/>
        <v>#DIV/0!</v>
      </c>
      <c r="AI547" s="114" t="e">
        <f t="shared" si="961"/>
        <v>#DIV/0!</v>
      </c>
      <c r="AJ547" s="115" t="e">
        <f t="shared" si="961"/>
        <v>#DIV/0!</v>
      </c>
      <c r="AK547" s="116" t="e">
        <f t="shared" si="961"/>
        <v>#DIV/0!</v>
      </c>
    </row>
    <row r="548" spans="1:38" ht="15.6" hidden="1" thickBot="1">
      <c r="A548" s="91"/>
      <c r="B548" s="100"/>
      <c r="C548" s="86"/>
      <c r="D548" s="87">
        <v>2019</v>
      </c>
      <c r="E548" s="88"/>
      <c r="F548" s="121"/>
      <c r="G548" s="121"/>
      <c r="H548" s="121"/>
      <c r="I548" s="121"/>
      <c r="J548" s="121"/>
      <c r="K548" s="121"/>
      <c r="L548" s="121"/>
      <c r="M548" s="122"/>
      <c r="N548" s="122"/>
      <c r="O548" s="122"/>
      <c r="P548" s="123"/>
      <c r="Q548" s="89">
        <f t="shared" ref="Q548:Q550" si="962">SUM(E548:P548)</f>
        <v>0</v>
      </c>
      <c r="R548" s="90">
        <f t="shared" ref="R548" si="963">SUM(E548:M548)</f>
        <v>0</v>
      </c>
      <c r="T548" s="91"/>
      <c r="U548" s="100"/>
      <c r="V548" s="86">
        <f t="shared" ref="V548:V549" si="964">C548</f>
        <v>0</v>
      </c>
      <c r="W548" s="87">
        <v>2019</v>
      </c>
      <c r="X548" s="88"/>
      <c r="Y548" s="121"/>
      <c r="Z548" s="121"/>
      <c r="AA548" s="121"/>
      <c r="AB548" s="121"/>
      <c r="AC548" s="121"/>
      <c r="AD548" s="121"/>
      <c r="AE548" s="121"/>
      <c r="AF548" s="122"/>
      <c r="AG548" s="122"/>
      <c r="AH548" s="122"/>
      <c r="AI548" s="123"/>
      <c r="AJ548" s="89">
        <f t="shared" ref="AJ548:AJ550" si="965">SUM(X548:AI548)</f>
        <v>0</v>
      </c>
      <c r="AK548" s="90">
        <f t="shared" ref="AK548:AK550" si="966">SUM(X548:AF548)</f>
        <v>0</v>
      </c>
    </row>
    <row r="549" spans="1:38" ht="15.6" hidden="1" thickBot="1">
      <c r="A549" s="91"/>
      <c r="B549" s="100"/>
      <c r="C549" s="92"/>
      <c r="D549" s="93" t="s">
        <v>92</v>
      </c>
      <c r="E549" s="94"/>
      <c r="F549" s="97"/>
      <c r="G549" s="97"/>
      <c r="H549" s="97"/>
      <c r="I549" s="97"/>
      <c r="J549" s="97"/>
      <c r="K549" s="97"/>
      <c r="L549" s="97"/>
      <c r="M549" s="98"/>
      <c r="N549" s="98"/>
      <c r="O549" s="98"/>
      <c r="P549" s="99"/>
      <c r="Q549" s="95">
        <f t="shared" si="962"/>
        <v>0</v>
      </c>
      <c r="R549" s="96">
        <f t="shared" si="929"/>
        <v>0</v>
      </c>
      <c r="T549" s="91"/>
      <c r="U549" s="100"/>
      <c r="V549" s="92">
        <f t="shared" si="964"/>
        <v>0</v>
      </c>
      <c r="W549" s="93" t="s">
        <v>92</v>
      </c>
      <c r="X549" s="94"/>
      <c r="Y549" s="97"/>
      <c r="Z549" s="97"/>
      <c r="AA549" s="97"/>
      <c r="AB549" s="97"/>
      <c r="AC549" s="97"/>
      <c r="AD549" s="97"/>
      <c r="AE549" s="97"/>
      <c r="AF549" s="98"/>
      <c r="AG549" s="98"/>
      <c r="AH549" s="98"/>
      <c r="AI549" s="99"/>
      <c r="AJ549" s="95">
        <f t="shared" si="965"/>
        <v>0</v>
      </c>
      <c r="AK549" s="96">
        <f t="shared" si="966"/>
        <v>0</v>
      </c>
    </row>
    <row r="550" spans="1:38" ht="15.6" hidden="1" thickBot="1">
      <c r="A550" s="91"/>
      <c r="B550" s="100"/>
      <c r="C550" s="92"/>
      <c r="D550" s="101">
        <v>2020</v>
      </c>
      <c r="E550" s="102"/>
      <c r="F550" s="124"/>
      <c r="G550" s="124"/>
      <c r="H550" s="124"/>
      <c r="I550" s="124"/>
      <c r="J550" s="124"/>
      <c r="K550" s="124"/>
      <c r="L550" s="124"/>
      <c r="M550" s="125"/>
      <c r="N550" s="125"/>
      <c r="O550" s="125"/>
      <c r="P550" s="126"/>
      <c r="Q550" s="103">
        <f t="shared" si="962"/>
        <v>0</v>
      </c>
      <c r="R550" s="104">
        <f t="shared" si="929"/>
        <v>0</v>
      </c>
      <c r="S550" s="105"/>
      <c r="T550" s="91"/>
      <c r="U550" s="100"/>
      <c r="V550" s="92"/>
      <c r="W550" s="101">
        <v>2020</v>
      </c>
      <c r="X550" s="102"/>
      <c r="Y550" s="124"/>
      <c r="Z550" s="124"/>
      <c r="AA550" s="124"/>
      <c r="AB550" s="124"/>
      <c r="AC550" s="124"/>
      <c r="AD550" s="124"/>
      <c r="AE550" s="124"/>
      <c r="AF550" s="125"/>
      <c r="AG550" s="125"/>
      <c r="AH550" s="125"/>
      <c r="AI550" s="126"/>
      <c r="AJ550" s="103">
        <f t="shared" si="965"/>
        <v>0</v>
      </c>
      <c r="AK550" s="104">
        <f t="shared" si="966"/>
        <v>0</v>
      </c>
      <c r="AL550" s="105"/>
    </row>
    <row r="551" spans="1:38" ht="15.6" hidden="1" thickBot="1">
      <c r="A551" s="91"/>
      <c r="B551" s="100"/>
      <c r="C551" s="92"/>
      <c r="D551" s="101" t="s">
        <v>102</v>
      </c>
      <c r="E551" s="106" t="e">
        <f t="shared" ref="E551:R551" si="967">E550/E549</f>
        <v>#DIV/0!</v>
      </c>
      <c r="F551" s="106" t="e">
        <f t="shared" si="967"/>
        <v>#DIV/0!</v>
      </c>
      <c r="G551" s="106" t="e">
        <f t="shared" si="967"/>
        <v>#DIV/0!</v>
      </c>
      <c r="H551" s="106" t="e">
        <f t="shared" si="967"/>
        <v>#DIV/0!</v>
      </c>
      <c r="I551" s="106" t="e">
        <f t="shared" si="967"/>
        <v>#DIV/0!</v>
      </c>
      <c r="J551" s="106" t="e">
        <f t="shared" si="967"/>
        <v>#DIV/0!</v>
      </c>
      <c r="K551" s="106" t="e">
        <f t="shared" si="967"/>
        <v>#DIV/0!</v>
      </c>
      <c r="L551" s="106" t="e">
        <f t="shared" si="967"/>
        <v>#DIV/0!</v>
      </c>
      <c r="M551" s="107" t="e">
        <f t="shared" si="967"/>
        <v>#DIV/0!</v>
      </c>
      <c r="N551" s="107" t="e">
        <f t="shared" si="967"/>
        <v>#DIV/0!</v>
      </c>
      <c r="O551" s="107" t="e">
        <f t="shared" si="967"/>
        <v>#DIV/0!</v>
      </c>
      <c r="P551" s="108" t="e">
        <f t="shared" si="967"/>
        <v>#DIV/0!</v>
      </c>
      <c r="Q551" s="109" t="e">
        <f t="shared" si="967"/>
        <v>#DIV/0!</v>
      </c>
      <c r="R551" s="110" t="e">
        <f t="shared" si="967"/>
        <v>#DIV/0!</v>
      </c>
      <c r="S551" s="105"/>
      <c r="T551" s="91"/>
      <c r="U551" s="100"/>
      <c r="V551" s="92"/>
      <c r="W551" s="101" t="s">
        <v>102</v>
      </c>
      <c r="X551" s="106" t="e">
        <f t="shared" ref="X551:AK551" si="968">X550/X549</f>
        <v>#DIV/0!</v>
      </c>
      <c r="Y551" s="106" t="e">
        <f t="shared" si="968"/>
        <v>#DIV/0!</v>
      </c>
      <c r="Z551" s="106" t="e">
        <f t="shared" si="968"/>
        <v>#DIV/0!</v>
      </c>
      <c r="AA551" s="106" t="e">
        <f t="shared" si="968"/>
        <v>#DIV/0!</v>
      </c>
      <c r="AB551" s="106" t="e">
        <f t="shared" si="968"/>
        <v>#DIV/0!</v>
      </c>
      <c r="AC551" s="106" t="e">
        <f t="shared" si="968"/>
        <v>#DIV/0!</v>
      </c>
      <c r="AD551" s="106" t="e">
        <f t="shared" si="968"/>
        <v>#DIV/0!</v>
      </c>
      <c r="AE551" s="106" t="e">
        <f t="shared" si="968"/>
        <v>#DIV/0!</v>
      </c>
      <c r="AF551" s="107" t="e">
        <f t="shared" si="968"/>
        <v>#DIV/0!</v>
      </c>
      <c r="AG551" s="107" t="e">
        <f t="shared" si="968"/>
        <v>#DIV/0!</v>
      </c>
      <c r="AH551" s="107" t="e">
        <f t="shared" si="968"/>
        <v>#DIV/0!</v>
      </c>
      <c r="AI551" s="108" t="e">
        <f t="shared" si="968"/>
        <v>#DIV/0!</v>
      </c>
      <c r="AJ551" s="109" t="e">
        <f t="shared" si="968"/>
        <v>#DIV/0!</v>
      </c>
      <c r="AK551" s="110" t="e">
        <f t="shared" si="968"/>
        <v>#DIV/0!</v>
      </c>
      <c r="AL551" s="105"/>
    </row>
    <row r="552" spans="1:38" ht="15.6" hidden="1" thickBot="1">
      <c r="A552" s="91"/>
      <c r="B552" s="100"/>
      <c r="C552" s="111"/>
      <c r="D552" s="112" t="s">
        <v>103</v>
      </c>
      <c r="E552" s="113" t="e">
        <f t="shared" ref="E552:R552" si="969">E550/E548</f>
        <v>#DIV/0!</v>
      </c>
      <c r="F552" s="113" t="e">
        <f t="shared" si="969"/>
        <v>#DIV/0!</v>
      </c>
      <c r="G552" s="113" t="e">
        <f t="shared" si="969"/>
        <v>#DIV/0!</v>
      </c>
      <c r="H552" s="113" t="e">
        <f t="shared" si="969"/>
        <v>#DIV/0!</v>
      </c>
      <c r="I552" s="113" t="e">
        <f t="shared" si="969"/>
        <v>#DIV/0!</v>
      </c>
      <c r="J552" s="113" t="e">
        <f t="shared" si="969"/>
        <v>#DIV/0!</v>
      </c>
      <c r="K552" s="113" t="e">
        <f t="shared" si="969"/>
        <v>#DIV/0!</v>
      </c>
      <c r="L552" s="113" t="e">
        <f t="shared" si="969"/>
        <v>#DIV/0!</v>
      </c>
      <c r="M552" s="113" t="e">
        <f t="shared" si="969"/>
        <v>#DIV/0!</v>
      </c>
      <c r="N552" s="113" t="e">
        <f t="shared" si="969"/>
        <v>#DIV/0!</v>
      </c>
      <c r="O552" s="113" t="e">
        <f t="shared" si="969"/>
        <v>#DIV/0!</v>
      </c>
      <c r="P552" s="114" t="e">
        <f t="shared" si="969"/>
        <v>#DIV/0!</v>
      </c>
      <c r="Q552" s="115" t="e">
        <f t="shared" si="969"/>
        <v>#DIV/0!</v>
      </c>
      <c r="R552" s="116" t="e">
        <f t="shared" si="969"/>
        <v>#DIV/0!</v>
      </c>
      <c r="T552" s="91"/>
      <c r="U552" s="100"/>
      <c r="V552" s="111"/>
      <c r="W552" s="112" t="s">
        <v>103</v>
      </c>
      <c r="X552" s="113" t="e">
        <f t="shared" ref="X552:AK552" si="970">X550/X548</f>
        <v>#DIV/0!</v>
      </c>
      <c r="Y552" s="113" t="e">
        <f t="shared" si="970"/>
        <v>#DIV/0!</v>
      </c>
      <c r="Z552" s="113" t="e">
        <f t="shared" si="970"/>
        <v>#DIV/0!</v>
      </c>
      <c r="AA552" s="113" t="e">
        <f t="shared" si="970"/>
        <v>#DIV/0!</v>
      </c>
      <c r="AB552" s="113" t="e">
        <f t="shared" si="970"/>
        <v>#DIV/0!</v>
      </c>
      <c r="AC552" s="113" t="e">
        <f t="shared" si="970"/>
        <v>#DIV/0!</v>
      </c>
      <c r="AD552" s="113" t="e">
        <f t="shared" si="970"/>
        <v>#DIV/0!</v>
      </c>
      <c r="AE552" s="113" t="e">
        <f t="shared" si="970"/>
        <v>#DIV/0!</v>
      </c>
      <c r="AF552" s="113" t="e">
        <f t="shared" si="970"/>
        <v>#DIV/0!</v>
      </c>
      <c r="AG552" s="113" t="e">
        <f t="shared" si="970"/>
        <v>#DIV/0!</v>
      </c>
      <c r="AH552" s="113" t="e">
        <f t="shared" si="970"/>
        <v>#DIV/0!</v>
      </c>
      <c r="AI552" s="114" t="e">
        <f t="shared" si="970"/>
        <v>#DIV/0!</v>
      </c>
      <c r="AJ552" s="115" t="e">
        <f t="shared" si="970"/>
        <v>#DIV/0!</v>
      </c>
      <c r="AK552" s="116" t="e">
        <f t="shared" si="970"/>
        <v>#DIV/0!</v>
      </c>
    </row>
    <row r="553" spans="1:38" ht="15.6" hidden="1" thickBot="1">
      <c r="A553" s="91"/>
      <c r="B553" s="100"/>
      <c r="C553" s="86"/>
      <c r="D553" s="87">
        <v>2019</v>
      </c>
      <c r="E553" s="88"/>
      <c r="F553" s="121"/>
      <c r="G553" s="121"/>
      <c r="H553" s="121"/>
      <c r="I553" s="121"/>
      <c r="J553" s="121"/>
      <c r="K553" s="121"/>
      <c r="L553" s="121"/>
      <c r="M553" s="122"/>
      <c r="N553" s="122"/>
      <c r="O553" s="122"/>
      <c r="P553" s="123"/>
      <c r="Q553" s="89">
        <f t="shared" ref="Q553:Q555" si="971">SUM(E553:P553)</f>
        <v>0</v>
      </c>
      <c r="R553" s="90">
        <f t="shared" ref="R553" si="972">SUM(E553:M553)</f>
        <v>0</v>
      </c>
      <c r="T553" s="91"/>
      <c r="U553" s="100"/>
      <c r="V553" s="86">
        <f t="shared" ref="V553:V554" si="973">C553</f>
        <v>0</v>
      </c>
      <c r="W553" s="87">
        <v>2019</v>
      </c>
      <c r="X553" s="88"/>
      <c r="Y553" s="121"/>
      <c r="Z553" s="121"/>
      <c r="AA553" s="121"/>
      <c r="AB553" s="121"/>
      <c r="AC553" s="121"/>
      <c r="AD553" s="121"/>
      <c r="AE553" s="121"/>
      <c r="AF553" s="122"/>
      <c r="AG553" s="122"/>
      <c r="AH553" s="122"/>
      <c r="AI553" s="123"/>
      <c r="AJ553" s="89">
        <f t="shared" ref="AJ553:AJ555" si="974">SUM(X553:AI553)</f>
        <v>0</v>
      </c>
      <c r="AK553" s="90">
        <f t="shared" ref="AK553:AK555" si="975">SUM(X553:AF553)</f>
        <v>0</v>
      </c>
    </row>
    <row r="554" spans="1:38" ht="15.6" hidden="1" thickBot="1">
      <c r="A554" s="91"/>
      <c r="B554" s="100"/>
      <c r="C554" s="92"/>
      <c r="D554" s="93" t="s">
        <v>92</v>
      </c>
      <c r="E554" s="94"/>
      <c r="F554" s="97"/>
      <c r="G554" s="97"/>
      <c r="H554" s="97"/>
      <c r="I554" s="97"/>
      <c r="J554" s="97"/>
      <c r="K554" s="97"/>
      <c r="L554" s="97"/>
      <c r="M554" s="98"/>
      <c r="N554" s="98"/>
      <c r="O554" s="98"/>
      <c r="P554" s="99"/>
      <c r="Q554" s="95">
        <f t="shared" si="971"/>
        <v>0</v>
      </c>
      <c r="R554" s="96">
        <f t="shared" si="929"/>
        <v>0</v>
      </c>
      <c r="T554" s="91"/>
      <c r="U554" s="100"/>
      <c r="V554" s="92">
        <f t="shared" si="973"/>
        <v>0</v>
      </c>
      <c r="W554" s="93" t="s">
        <v>92</v>
      </c>
      <c r="X554" s="94"/>
      <c r="Y554" s="97"/>
      <c r="Z554" s="97"/>
      <c r="AA554" s="97"/>
      <c r="AB554" s="97"/>
      <c r="AC554" s="97"/>
      <c r="AD554" s="97"/>
      <c r="AE554" s="97"/>
      <c r="AF554" s="98"/>
      <c r="AG554" s="98"/>
      <c r="AH554" s="98"/>
      <c r="AI554" s="99"/>
      <c r="AJ554" s="95">
        <f t="shared" si="974"/>
        <v>0</v>
      </c>
      <c r="AK554" s="96">
        <f t="shared" si="975"/>
        <v>0</v>
      </c>
    </row>
    <row r="555" spans="1:38" ht="15.6" hidden="1" thickBot="1">
      <c r="A555" s="91"/>
      <c r="B555" s="100"/>
      <c r="C555" s="92"/>
      <c r="D555" s="101">
        <v>2020</v>
      </c>
      <c r="E555" s="102"/>
      <c r="F555" s="124"/>
      <c r="G555" s="124"/>
      <c r="H555" s="124"/>
      <c r="I555" s="124"/>
      <c r="J555" s="124"/>
      <c r="K555" s="124"/>
      <c r="L555" s="124"/>
      <c r="M555" s="125"/>
      <c r="N555" s="125"/>
      <c r="O555" s="125"/>
      <c r="P555" s="126"/>
      <c r="Q555" s="103">
        <f t="shared" si="971"/>
        <v>0</v>
      </c>
      <c r="R555" s="104">
        <f t="shared" si="929"/>
        <v>0</v>
      </c>
      <c r="S555" s="105"/>
      <c r="T555" s="91"/>
      <c r="U555" s="100"/>
      <c r="V555" s="92"/>
      <c r="W555" s="101">
        <v>2020</v>
      </c>
      <c r="X555" s="102"/>
      <c r="Y555" s="124"/>
      <c r="Z555" s="124"/>
      <c r="AA555" s="124"/>
      <c r="AB555" s="124"/>
      <c r="AC555" s="124"/>
      <c r="AD555" s="124"/>
      <c r="AE555" s="124"/>
      <c r="AF555" s="125"/>
      <c r="AG555" s="125"/>
      <c r="AH555" s="125"/>
      <c r="AI555" s="126"/>
      <c r="AJ555" s="103">
        <f t="shared" si="974"/>
        <v>0</v>
      </c>
      <c r="AK555" s="104">
        <f t="shared" si="975"/>
        <v>0</v>
      </c>
      <c r="AL555" s="105"/>
    </row>
    <row r="556" spans="1:38" ht="15.6" hidden="1" thickBot="1">
      <c r="A556" s="91"/>
      <c r="B556" s="100"/>
      <c r="C556" s="92"/>
      <c r="D556" s="101" t="s">
        <v>102</v>
      </c>
      <c r="E556" s="106" t="e">
        <f t="shared" ref="E556:R556" si="976">E555/E554</f>
        <v>#DIV/0!</v>
      </c>
      <c r="F556" s="106" t="e">
        <f t="shared" si="976"/>
        <v>#DIV/0!</v>
      </c>
      <c r="G556" s="106" t="e">
        <f t="shared" si="976"/>
        <v>#DIV/0!</v>
      </c>
      <c r="H556" s="106" t="e">
        <f t="shared" si="976"/>
        <v>#DIV/0!</v>
      </c>
      <c r="I556" s="106" t="e">
        <f t="shared" si="976"/>
        <v>#DIV/0!</v>
      </c>
      <c r="J556" s="106" t="e">
        <f t="shared" si="976"/>
        <v>#DIV/0!</v>
      </c>
      <c r="K556" s="106" t="e">
        <f t="shared" si="976"/>
        <v>#DIV/0!</v>
      </c>
      <c r="L556" s="106" t="e">
        <f t="shared" si="976"/>
        <v>#DIV/0!</v>
      </c>
      <c r="M556" s="107" t="e">
        <f t="shared" si="976"/>
        <v>#DIV/0!</v>
      </c>
      <c r="N556" s="107" t="e">
        <f t="shared" si="976"/>
        <v>#DIV/0!</v>
      </c>
      <c r="O556" s="107" t="e">
        <f t="shared" si="976"/>
        <v>#DIV/0!</v>
      </c>
      <c r="P556" s="108" t="e">
        <f t="shared" si="976"/>
        <v>#DIV/0!</v>
      </c>
      <c r="Q556" s="109" t="e">
        <f t="shared" si="976"/>
        <v>#DIV/0!</v>
      </c>
      <c r="R556" s="110" t="e">
        <f t="shared" si="976"/>
        <v>#DIV/0!</v>
      </c>
      <c r="S556" s="105"/>
      <c r="T556" s="91"/>
      <c r="U556" s="100"/>
      <c r="V556" s="92"/>
      <c r="W556" s="101" t="s">
        <v>102</v>
      </c>
      <c r="X556" s="106" t="e">
        <f t="shared" ref="X556:AK556" si="977">X555/X554</f>
        <v>#DIV/0!</v>
      </c>
      <c r="Y556" s="106" t="e">
        <f t="shared" si="977"/>
        <v>#DIV/0!</v>
      </c>
      <c r="Z556" s="106" t="e">
        <f t="shared" si="977"/>
        <v>#DIV/0!</v>
      </c>
      <c r="AA556" s="106" t="e">
        <f t="shared" si="977"/>
        <v>#DIV/0!</v>
      </c>
      <c r="AB556" s="106" t="e">
        <f t="shared" si="977"/>
        <v>#DIV/0!</v>
      </c>
      <c r="AC556" s="106" t="e">
        <f t="shared" si="977"/>
        <v>#DIV/0!</v>
      </c>
      <c r="AD556" s="106" t="e">
        <f t="shared" si="977"/>
        <v>#DIV/0!</v>
      </c>
      <c r="AE556" s="106" t="e">
        <f t="shared" si="977"/>
        <v>#DIV/0!</v>
      </c>
      <c r="AF556" s="107" t="e">
        <f t="shared" si="977"/>
        <v>#DIV/0!</v>
      </c>
      <c r="AG556" s="107" t="e">
        <f t="shared" si="977"/>
        <v>#DIV/0!</v>
      </c>
      <c r="AH556" s="107" t="e">
        <f t="shared" si="977"/>
        <v>#DIV/0!</v>
      </c>
      <c r="AI556" s="108" t="e">
        <f t="shared" si="977"/>
        <v>#DIV/0!</v>
      </c>
      <c r="AJ556" s="109" t="e">
        <f t="shared" si="977"/>
        <v>#DIV/0!</v>
      </c>
      <c r="AK556" s="110" t="e">
        <f t="shared" si="977"/>
        <v>#DIV/0!</v>
      </c>
      <c r="AL556" s="105"/>
    </row>
    <row r="557" spans="1:38" ht="15.6" hidden="1" thickBot="1">
      <c r="A557" s="91"/>
      <c r="B557" s="100"/>
      <c r="C557" s="111"/>
      <c r="D557" s="112" t="s">
        <v>103</v>
      </c>
      <c r="E557" s="113" t="e">
        <f t="shared" ref="E557:R557" si="978">E555/E553</f>
        <v>#DIV/0!</v>
      </c>
      <c r="F557" s="113" t="e">
        <f t="shared" si="978"/>
        <v>#DIV/0!</v>
      </c>
      <c r="G557" s="113" t="e">
        <f t="shared" si="978"/>
        <v>#DIV/0!</v>
      </c>
      <c r="H557" s="113" t="e">
        <f t="shared" si="978"/>
        <v>#DIV/0!</v>
      </c>
      <c r="I557" s="113" t="e">
        <f t="shared" si="978"/>
        <v>#DIV/0!</v>
      </c>
      <c r="J557" s="113" t="e">
        <f t="shared" si="978"/>
        <v>#DIV/0!</v>
      </c>
      <c r="K557" s="113" t="e">
        <f t="shared" si="978"/>
        <v>#DIV/0!</v>
      </c>
      <c r="L557" s="113" t="e">
        <f t="shared" si="978"/>
        <v>#DIV/0!</v>
      </c>
      <c r="M557" s="113" t="e">
        <f t="shared" si="978"/>
        <v>#DIV/0!</v>
      </c>
      <c r="N557" s="113" t="e">
        <f t="shared" si="978"/>
        <v>#DIV/0!</v>
      </c>
      <c r="O557" s="113" t="e">
        <f t="shared" si="978"/>
        <v>#DIV/0!</v>
      </c>
      <c r="P557" s="114" t="e">
        <f t="shared" si="978"/>
        <v>#DIV/0!</v>
      </c>
      <c r="Q557" s="115" t="e">
        <f t="shared" si="978"/>
        <v>#DIV/0!</v>
      </c>
      <c r="R557" s="116" t="e">
        <f t="shared" si="978"/>
        <v>#DIV/0!</v>
      </c>
      <c r="T557" s="91"/>
      <c r="U557" s="100"/>
      <c r="V557" s="111"/>
      <c r="W557" s="112" t="s">
        <v>103</v>
      </c>
      <c r="X557" s="113" t="e">
        <f t="shared" ref="X557:AK557" si="979">X555/X553</f>
        <v>#DIV/0!</v>
      </c>
      <c r="Y557" s="113" t="e">
        <f t="shared" si="979"/>
        <v>#DIV/0!</v>
      </c>
      <c r="Z557" s="113" t="e">
        <f t="shared" si="979"/>
        <v>#DIV/0!</v>
      </c>
      <c r="AA557" s="113" t="e">
        <f t="shared" si="979"/>
        <v>#DIV/0!</v>
      </c>
      <c r="AB557" s="113" t="e">
        <f t="shared" si="979"/>
        <v>#DIV/0!</v>
      </c>
      <c r="AC557" s="113" t="e">
        <f t="shared" si="979"/>
        <v>#DIV/0!</v>
      </c>
      <c r="AD557" s="113" t="e">
        <f t="shared" si="979"/>
        <v>#DIV/0!</v>
      </c>
      <c r="AE557" s="113" t="e">
        <f t="shared" si="979"/>
        <v>#DIV/0!</v>
      </c>
      <c r="AF557" s="113" t="e">
        <f t="shared" si="979"/>
        <v>#DIV/0!</v>
      </c>
      <c r="AG557" s="113" t="e">
        <f t="shared" si="979"/>
        <v>#DIV/0!</v>
      </c>
      <c r="AH557" s="113" t="e">
        <f t="shared" si="979"/>
        <v>#DIV/0!</v>
      </c>
      <c r="AI557" s="114" t="e">
        <f t="shared" si="979"/>
        <v>#DIV/0!</v>
      </c>
      <c r="AJ557" s="115" t="e">
        <f t="shared" si="979"/>
        <v>#DIV/0!</v>
      </c>
      <c r="AK557" s="116" t="e">
        <f t="shared" si="979"/>
        <v>#DIV/0!</v>
      </c>
    </row>
    <row r="558" spans="1:38" ht="15.6" hidden="1" thickBot="1">
      <c r="A558" s="91"/>
      <c r="B558" s="100"/>
      <c r="C558" s="86"/>
      <c r="D558" s="87">
        <v>2019</v>
      </c>
      <c r="E558" s="88"/>
      <c r="F558" s="121"/>
      <c r="G558" s="121"/>
      <c r="H558" s="121"/>
      <c r="I558" s="121"/>
      <c r="J558" s="121"/>
      <c r="K558" s="121"/>
      <c r="L558" s="121"/>
      <c r="M558" s="122"/>
      <c r="N558" s="122"/>
      <c r="O558" s="122"/>
      <c r="P558" s="123"/>
      <c r="Q558" s="89">
        <f t="shared" ref="Q558:Q560" si="980">SUM(E558:P558)</f>
        <v>0</v>
      </c>
      <c r="R558" s="90">
        <f t="shared" ref="R558" si="981">SUM(E558:M558)</f>
        <v>0</v>
      </c>
      <c r="T558" s="91"/>
      <c r="U558" s="100"/>
      <c r="V558" s="86">
        <f t="shared" ref="V558:V559" si="982">C558</f>
        <v>0</v>
      </c>
      <c r="W558" s="87">
        <v>2019</v>
      </c>
      <c r="X558" s="88"/>
      <c r="Y558" s="121"/>
      <c r="Z558" s="121"/>
      <c r="AA558" s="121"/>
      <c r="AB558" s="121"/>
      <c r="AC558" s="121"/>
      <c r="AD558" s="121"/>
      <c r="AE558" s="121"/>
      <c r="AF558" s="122"/>
      <c r="AG558" s="122"/>
      <c r="AH558" s="122"/>
      <c r="AI558" s="123"/>
      <c r="AJ558" s="89">
        <f t="shared" ref="AJ558:AJ560" si="983">SUM(X558:AI558)</f>
        <v>0</v>
      </c>
      <c r="AK558" s="90">
        <f t="shared" ref="AK558:AK560" si="984">SUM(X558:AF558)</f>
        <v>0</v>
      </c>
    </row>
    <row r="559" spans="1:38" ht="15.6" hidden="1" thickBot="1">
      <c r="A559" s="91"/>
      <c r="B559" s="100"/>
      <c r="C559" s="92"/>
      <c r="D559" s="93" t="s">
        <v>92</v>
      </c>
      <c r="E559" s="94"/>
      <c r="F559" s="97"/>
      <c r="G559" s="97"/>
      <c r="H559" s="97"/>
      <c r="I559" s="97"/>
      <c r="J559" s="97"/>
      <c r="K559" s="97"/>
      <c r="L559" s="97"/>
      <c r="M559" s="98"/>
      <c r="N559" s="98"/>
      <c r="O559" s="98"/>
      <c r="P559" s="99"/>
      <c r="Q559" s="95">
        <f t="shared" si="980"/>
        <v>0</v>
      </c>
      <c r="R559" s="96">
        <f t="shared" si="929"/>
        <v>0</v>
      </c>
      <c r="T559" s="91"/>
      <c r="U559" s="100"/>
      <c r="V559" s="92">
        <f t="shared" si="982"/>
        <v>0</v>
      </c>
      <c r="W559" s="93" t="s">
        <v>92</v>
      </c>
      <c r="X559" s="94"/>
      <c r="Y559" s="97"/>
      <c r="Z559" s="97"/>
      <c r="AA559" s="97"/>
      <c r="AB559" s="97"/>
      <c r="AC559" s="97"/>
      <c r="AD559" s="97"/>
      <c r="AE559" s="97"/>
      <c r="AF559" s="98"/>
      <c r="AG559" s="98"/>
      <c r="AH559" s="98"/>
      <c r="AI559" s="99"/>
      <c r="AJ559" s="95">
        <f t="shared" si="983"/>
        <v>0</v>
      </c>
      <c r="AK559" s="96">
        <f t="shared" si="984"/>
        <v>0</v>
      </c>
    </row>
    <row r="560" spans="1:38" ht="15.6" hidden="1" thickBot="1">
      <c r="A560" s="91"/>
      <c r="B560" s="100"/>
      <c r="C560" s="92"/>
      <c r="D560" s="101">
        <v>2020</v>
      </c>
      <c r="E560" s="102"/>
      <c r="F560" s="124"/>
      <c r="G560" s="124"/>
      <c r="H560" s="124"/>
      <c r="I560" s="124"/>
      <c r="J560" s="124"/>
      <c r="K560" s="124"/>
      <c r="L560" s="124"/>
      <c r="M560" s="125"/>
      <c r="N560" s="125"/>
      <c r="O560" s="125"/>
      <c r="P560" s="126"/>
      <c r="Q560" s="103">
        <f t="shared" si="980"/>
        <v>0</v>
      </c>
      <c r="R560" s="104">
        <f t="shared" si="929"/>
        <v>0</v>
      </c>
      <c r="S560" s="105"/>
      <c r="T560" s="91"/>
      <c r="U560" s="100"/>
      <c r="V560" s="92"/>
      <c r="W560" s="101">
        <v>2020</v>
      </c>
      <c r="X560" s="102"/>
      <c r="Y560" s="124"/>
      <c r="Z560" s="124"/>
      <c r="AA560" s="124"/>
      <c r="AB560" s="124"/>
      <c r="AC560" s="124"/>
      <c r="AD560" s="124"/>
      <c r="AE560" s="124"/>
      <c r="AF560" s="125"/>
      <c r="AG560" s="125"/>
      <c r="AH560" s="125"/>
      <c r="AI560" s="126"/>
      <c r="AJ560" s="103">
        <f t="shared" si="983"/>
        <v>0</v>
      </c>
      <c r="AK560" s="104">
        <f t="shared" si="984"/>
        <v>0</v>
      </c>
      <c r="AL560" s="105"/>
    </row>
    <row r="561" spans="1:38" ht="15.6" hidden="1" thickBot="1">
      <c r="A561" s="91"/>
      <c r="B561" s="100"/>
      <c r="C561" s="92"/>
      <c r="D561" s="101" t="s">
        <v>102</v>
      </c>
      <c r="E561" s="106" t="e">
        <f t="shared" ref="E561:R561" si="985">E560/E559</f>
        <v>#DIV/0!</v>
      </c>
      <c r="F561" s="106" t="e">
        <f t="shared" si="985"/>
        <v>#DIV/0!</v>
      </c>
      <c r="G561" s="106" t="e">
        <f t="shared" si="985"/>
        <v>#DIV/0!</v>
      </c>
      <c r="H561" s="106" t="e">
        <f t="shared" si="985"/>
        <v>#DIV/0!</v>
      </c>
      <c r="I561" s="106" t="e">
        <f t="shared" si="985"/>
        <v>#DIV/0!</v>
      </c>
      <c r="J561" s="106" t="e">
        <f t="shared" si="985"/>
        <v>#DIV/0!</v>
      </c>
      <c r="K561" s="106" t="e">
        <f t="shared" si="985"/>
        <v>#DIV/0!</v>
      </c>
      <c r="L561" s="106" t="e">
        <f t="shared" si="985"/>
        <v>#DIV/0!</v>
      </c>
      <c r="M561" s="107" t="e">
        <f t="shared" si="985"/>
        <v>#DIV/0!</v>
      </c>
      <c r="N561" s="107" t="e">
        <f t="shared" si="985"/>
        <v>#DIV/0!</v>
      </c>
      <c r="O561" s="107" t="e">
        <f t="shared" si="985"/>
        <v>#DIV/0!</v>
      </c>
      <c r="P561" s="108" t="e">
        <f t="shared" si="985"/>
        <v>#DIV/0!</v>
      </c>
      <c r="Q561" s="109" t="e">
        <f t="shared" si="985"/>
        <v>#DIV/0!</v>
      </c>
      <c r="R561" s="110" t="e">
        <f t="shared" si="985"/>
        <v>#DIV/0!</v>
      </c>
      <c r="S561" s="105"/>
      <c r="T561" s="91"/>
      <c r="U561" s="100"/>
      <c r="V561" s="92"/>
      <c r="W561" s="101" t="s">
        <v>102</v>
      </c>
      <c r="X561" s="106" t="e">
        <f t="shared" ref="X561:AK561" si="986">X560/X559</f>
        <v>#DIV/0!</v>
      </c>
      <c r="Y561" s="106" t="e">
        <f t="shared" si="986"/>
        <v>#DIV/0!</v>
      </c>
      <c r="Z561" s="106" t="e">
        <f t="shared" si="986"/>
        <v>#DIV/0!</v>
      </c>
      <c r="AA561" s="106" t="e">
        <f t="shared" si="986"/>
        <v>#DIV/0!</v>
      </c>
      <c r="AB561" s="106" t="e">
        <f t="shared" si="986"/>
        <v>#DIV/0!</v>
      </c>
      <c r="AC561" s="106" t="e">
        <f t="shared" si="986"/>
        <v>#DIV/0!</v>
      </c>
      <c r="AD561" s="106" t="e">
        <f t="shared" si="986"/>
        <v>#DIV/0!</v>
      </c>
      <c r="AE561" s="106" t="e">
        <f t="shared" si="986"/>
        <v>#DIV/0!</v>
      </c>
      <c r="AF561" s="107" t="e">
        <f t="shared" si="986"/>
        <v>#DIV/0!</v>
      </c>
      <c r="AG561" s="107" t="e">
        <f t="shared" si="986"/>
        <v>#DIV/0!</v>
      </c>
      <c r="AH561" s="107" t="e">
        <f t="shared" si="986"/>
        <v>#DIV/0!</v>
      </c>
      <c r="AI561" s="108" t="e">
        <f t="shared" si="986"/>
        <v>#DIV/0!</v>
      </c>
      <c r="AJ561" s="109" t="e">
        <f t="shared" si="986"/>
        <v>#DIV/0!</v>
      </c>
      <c r="AK561" s="110" t="e">
        <f t="shared" si="986"/>
        <v>#DIV/0!</v>
      </c>
      <c r="AL561" s="105"/>
    </row>
    <row r="562" spans="1:38" ht="15.6" hidden="1" thickBot="1">
      <c r="A562" s="91"/>
      <c r="B562" s="100"/>
      <c r="C562" s="111"/>
      <c r="D562" s="112" t="s">
        <v>103</v>
      </c>
      <c r="E562" s="113" t="e">
        <f t="shared" ref="E562:R562" si="987">E560/E558</f>
        <v>#DIV/0!</v>
      </c>
      <c r="F562" s="113" t="e">
        <f t="shared" si="987"/>
        <v>#DIV/0!</v>
      </c>
      <c r="G562" s="113" t="e">
        <f t="shared" si="987"/>
        <v>#DIV/0!</v>
      </c>
      <c r="H562" s="113" t="e">
        <f t="shared" si="987"/>
        <v>#DIV/0!</v>
      </c>
      <c r="I562" s="113" t="e">
        <f t="shared" si="987"/>
        <v>#DIV/0!</v>
      </c>
      <c r="J562" s="113" t="e">
        <f t="shared" si="987"/>
        <v>#DIV/0!</v>
      </c>
      <c r="K562" s="113" t="e">
        <f t="shared" si="987"/>
        <v>#DIV/0!</v>
      </c>
      <c r="L562" s="113" t="e">
        <f t="shared" si="987"/>
        <v>#DIV/0!</v>
      </c>
      <c r="M562" s="113" t="e">
        <f t="shared" si="987"/>
        <v>#DIV/0!</v>
      </c>
      <c r="N562" s="113" t="e">
        <f t="shared" si="987"/>
        <v>#DIV/0!</v>
      </c>
      <c r="O562" s="113" t="e">
        <f t="shared" si="987"/>
        <v>#DIV/0!</v>
      </c>
      <c r="P562" s="114" t="e">
        <f t="shared" si="987"/>
        <v>#DIV/0!</v>
      </c>
      <c r="Q562" s="115" t="e">
        <f t="shared" si="987"/>
        <v>#DIV/0!</v>
      </c>
      <c r="R562" s="116" t="e">
        <f t="shared" si="987"/>
        <v>#DIV/0!</v>
      </c>
      <c r="T562" s="91"/>
      <c r="U562" s="100"/>
      <c r="V562" s="111"/>
      <c r="W562" s="112" t="s">
        <v>103</v>
      </c>
      <c r="X562" s="113" t="e">
        <f t="shared" ref="X562:AK562" si="988">X560/X558</f>
        <v>#DIV/0!</v>
      </c>
      <c r="Y562" s="113" t="e">
        <f t="shared" si="988"/>
        <v>#DIV/0!</v>
      </c>
      <c r="Z562" s="113" t="e">
        <f t="shared" si="988"/>
        <v>#DIV/0!</v>
      </c>
      <c r="AA562" s="113" t="e">
        <f t="shared" si="988"/>
        <v>#DIV/0!</v>
      </c>
      <c r="AB562" s="113" t="e">
        <f t="shared" si="988"/>
        <v>#DIV/0!</v>
      </c>
      <c r="AC562" s="113" t="e">
        <f t="shared" si="988"/>
        <v>#DIV/0!</v>
      </c>
      <c r="AD562" s="113" t="e">
        <f t="shared" si="988"/>
        <v>#DIV/0!</v>
      </c>
      <c r="AE562" s="113" t="e">
        <f t="shared" si="988"/>
        <v>#DIV/0!</v>
      </c>
      <c r="AF562" s="113" t="e">
        <f t="shared" si="988"/>
        <v>#DIV/0!</v>
      </c>
      <c r="AG562" s="113" t="e">
        <f t="shared" si="988"/>
        <v>#DIV/0!</v>
      </c>
      <c r="AH562" s="113" t="e">
        <f t="shared" si="988"/>
        <v>#DIV/0!</v>
      </c>
      <c r="AI562" s="114" t="e">
        <f t="shared" si="988"/>
        <v>#DIV/0!</v>
      </c>
      <c r="AJ562" s="115" t="e">
        <f t="shared" si="988"/>
        <v>#DIV/0!</v>
      </c>
      <c r="AK562" s="116" t="e">
        <f t="shared" si="988"/>
        <v>#DIV/0!</v>
      </c>
    </row>
    <row r="563" spans="1:38" ht="15.6" hidden="1" thickBot="1">
      <c r="A563" s="91"/>
      <c r="B563" s="100"/>
      <c r="C563" s="86"/>
      <c r="D563" s="87">
        <v>2019</v>
      </c>
      <c r="E563" s="88"/>
      <c r="F563" s="121"/>
      <c r="G563" s="121"/>
      <c r="H563" s="121"/>
      <c r="I563" s="121"/>
      <c r="J563" s="121"/>
      <c r="K563" s="121"/>
      <c r="L563" s="121"/>
      <c r="M563" s="122"/>
      <c r="N563" s="122"/>
      <c r="O563" s="122"/>
      <c r="P563" s="123"/>
      <c r="Q563" s="89">
        <f t="shared" ref="Q563:Q565" si="989">SUM(E563:P563)</f>
        <v>0</v>
      </c>
      <c r="R563" s="90">
        <f t="shared" ref="R563" si="990">SUM(E563:M563)</f>
        <v>0</v>
      </c>
      <c r="T563" s="91"/>
      <c r="U563" s="100"/>
      <c r="V563" s="86">
        <f t="shared" ref="V563:V564" si="991">C563</f>
        <v>0</v>
      </c>
      <c r="W563" s="87">
        <v>2019</v>
      </c>
      <c r="X563" s="88"/>
      <c r="Y563" s="121"/>
      <c r="Z563" s="121"/>
      <c r="AA563" s="121"/>
      <c r="AB563" s="121"/>
      <c r="AC563" s="121"/>
      <c r="AD563" s="121"/>
      <c r="AE563" s="121"/>
      <c r="AF563" s="122"/>
      <c r="AG563" s="122"/>
      <c r="AH563" s="122"/>
      <c r="AI563" s="123"/>
      <c r="AJ563" s="89">
        <f t="shared" ref="AJ563:AJ565" si="992">SUM(X563:AI563)</f>
        <v>0</v>
      </c>
      <c r="AK563" s="90">
        <f t="shared" ref="AK563:AK565" si="993">SUM(X563:AF563)</f>
        <v>0</v>
      </c>
    </row>
    <row r="564" spans="1:38" ht="15.6" hidden="1" thickBot="1">
      <c r="A564" s="91"/>
      <c r="B564" s="100"/>
      <c r="C564" s="92"/>
      <c r="D564" s="93" t="s">
        <v>92</v>
      </c>
      <c r="E564" s="94"/>
      <c r="F564" s="97"/>
      <c r="G564" s="97"/>
      <c r="H564" s="97"/>
      <c r="I564" s="97"/>
      <c r="J564" s="97"/>
      <c r="K564" s="97"/>
      <c r="L564" s="97"/>
      <c r="M564" s="98"/>
      <c r="N564" s="98"/>
      <c r="O564" s="98"/>
      <c r="P564" s="99"/>
      <c r="Q564" s="95">
        <f t="shared" si="989"/>
        <v>0</v>
      </c>
      <c r="R564" s="96">
        <f t="shared" si="929"/>
        <v>0</v>
      </c>
      <c r="T564" s="91"/>
      <c r="U564" s="100"/>
      <c r="V564" s="92">
        <f t="shared" si="991"/>
        <v>0</v>
      </c>
      <c r="W564" s="93" t="s">
        <v>92</v>
      </c>
      <c r="X564" s="94"/>
      <c r="Y564" s="97"/>
      <c r="Z564" s="97"/>
      <c r="AA564" s="97"/>
      <c r="AB564" s="97"/>
      <c r="AC564" s="97"/>
      <c r="AD564" s="97"/>
      <c r="AE564" s="97"/>
      <c r="AF564" s="98"/>
      <c r="AG564" s="98"/>
      <c r="AH564" s="98"/>
      <c r="AI564" s="99"/>
      <c r="AJ564" s="95">
        <f t="shared" si="992"/>
        <v>0</v>
      </c>
      <c r="AK564" s="96">
        <f t="shared" si="993"/>
        <v>0</v>
      </c>
    </row>
    <row r="565" spans="1:38" ht="15.6" hidden="1" thickBot="1">
      <c r="A565" s="91"/>
      <c r="B565" s="100"/>
      <c r="C565" s="92"/>
      <c r="D565" s="101">
        <v>2020</v>
      </c>
      <c r="E565" s="102"/>
      <c r="F565" s="124"/>
      <c r="G565" s="124"/>
      <c r="H565" s="124"/>
      <c r="I565" s="124"/>
      <c r="J565" s="124"/>
      <c r="K565" s="124"/>
      <c r="L565" s="124"/>
      <c r="M565" s="125"/>
      <c r="N565" s="125"/>
      <c r="O565" s="125"/>
      <c r="P565" s="126"/>
      <c r="Q565" s="103">
        <f t="shared" si="989"/>
        <v>0</v>
      </c>
      <c r="R565" s="104">
        <f t="shared" si="929"/>
        <v>0</v>
      </c>
      <c r="S565" s="105"/>
      <c r="T565" s="91"/>
      <c r="U565" s="100"/>
      <c r="V565" s="92"/>
      <c r="W565" s="101">
        <v>2020</v>
      </c>
      <c r="X565" s="102"/>
      <c r="Y565" s="124"/>
      <c r="Z565" s="124"/>
      <c r="AA565" s="124"/>
      <c r="AB565" s="124"/>
      <c r="AC565" s="124"/>
      <c r="AD565" s="124"/>
      <c r="AE565" s="124"/>
      <c r="AF565" s="125"/>
      <c r="AG565" s="125"/>
      <c r="AH565" s="125"/>
      <c r="AI565" s="126"/>
      <c r="AJ565" s="103">
        <f t="shared" si="992"/>
        <v>0</v>
      </c>
      <c r="AK565" s="104">
        <f t="shared" si="993"/>
        <v>0</v>
      </c>
      <c r="AL565" s="105"/>
    </row>
    <row r="566" spans="1:38" ht="15.6" hidden="1" thickBot="1">
      <c r="A566" s="91"/>
      <c r="B566" s="100"/>
      <c r="C566" s="92"/>
      <c r="D566" s="101" t="s">
        <v>102</v>
      </c>
      <c r="E566" s="106" t="e">
        <f t="shared" ref="E566:R566" si="994">E565/E564</f>
        <v>#DIV/0!</v>
      </c>
      <c r="F566" s="106" t="e">
        <f t="shared" si="994"/>
        <v>#DIV/0!</v>
      </c>
      <c r="G566" s="106" t="e">
        <f t="shared" si="994"/>
        <v>#DIV/0!</v>
      </c>
      <c r="H566" s="106" t="e">
        <f t="shared" si="994"/>
        <v>#DIV/0!</v>
      </c>
      <c r="I566" s="106" t="e">
        <f t="shared" si="994"/>
        <v>#DIV/0!</v>
      </c>
      <c r="J566" s="106" t="e">
        <f t="shared" si="994"/>
        <v>#DIV/0!</v>
      </c>
      <c r="K566" s="106" t="e">
        <f t="shared" si="994"/>
        <v>#DIV/0!</v>
      </c>
      <c r="L566" s="106" t="e">
        <f t="shared" si="994"/>
        <v>#DIV/0!</v>
      </c>
      <c r="M566" s="107" t="e">
        <f t="shared" si="994"/>
        <v>#DIV/0!</v>
      </c>
      <c r="N566" s="107" t="e">
        <f t="shared" si="994"/>
        <v>#DIV/0!</v>
      </c>
      <c r="O566" s="107" t="e">
        <f t="shared" si="994"/>
        <v>#DIV/0!</v>
      </c>
      <c r="P566" s="108" t="e">
        <f t="shared" si="994"/>
        <v>#DIV/0!</v>
      </c>
      <c r="Q566" s="109" t="e">
        <f t="shared" si="994"/>
        <v>#DIV/0!</v>
      </c>
      <c r="R566" s="110" t="e">
        <f t="shared" si="994"/>
        <v>#DIV/0!</v>
      </c>
      <c r="S566" s="105"/>
      <c r="T566" s="91"/>
      <c r="U566" s="100"/>
      <c r="V566" s="92"/>
      <c r="W566" s="101" t="s">
        <v>102</v>
      </c>
      <c r="X566" s="106" t="e">
        <f t="shared" ref="X566:AK566" si="995">X565/X564</f>
        <v>#DIV/0!</v>
      </c>
      <c r="Y566" s="106" t="e">
        <f t="shared" si="995"/>
        <v>#DIV/0!</v>
      </c>
      <c r="Z566" s="106" t="e">
        <f t="shared" si="995"/>
        <v>#DIV/0!</v>
      </c>
      <c r="AA566" s="106" t="e">
        <f t="shared" si="995"/>
        <v>#DIV/0!</v>
      </c>
      <c r="AB566" s="106" t="e">
        <f t="shared" si="995"/>
        <v>#DIV/0!</v>
      </c>
      <c r="AC566" s="106" t="e">
        <f t="shared" si="995"/>
        <v>#DIV/0!</v>
      </c>
      <c r="AD566" s="106" t="e">
        <f t="shared" si="995"/>
        <v>#DIV/0!</v>
      </c>
      <c r="AE566" s="106" t="e">
        <f t="shared" si="995"/>
        <v>#DIV/0!</v>
      </c>
      <c r="AF566" s="107" t="e">
        <f t="shared" si="995"/>
        <v>#DIV/0!</v>
      </c>
      <c r="AG566" s="107" t="e">
        <f t="shared" si="995"/>
        <v>#DIV/0!</v>
      </c>
      <c r="AH566" s="107" t="e">
        <f t="shared" si="995"/>
        <v>#DIV/0!</v>
      </c>
      <c r="AI566" s="108" t="e">
        <f t="shared" si="995"/>
        <v>#DIV/0!</v>
      </c>
      <c r="AJ566" s="109" t="e">
        <f t="shared" si="995"/>
        <v>#DIV/0!</v>
      </c>
      <c r="AK566" s="110" t="e">
        <f t="shared" si="995"/>
        <v>#DIV/0!</v>
      </c>
      <c r="AL566" s="105"/>
    </row>
    <row r="567" spans="1:38" ht="15.6" hidden="1" thickBot="1">
      <c r="A567" s="91"/>
      <c r="B567" s="100"/>
      <c r="C567" s="111"/>
      <c r="D567" s="112" t="s">
        <v>103</v>
      </c>
      <c r="E567" s="113" t="e">
        <f t="shared" ref="E567:R567" si="996">E565/E563</f>
        <v>#DIV/0!</v>
      </c>
      <c r="F567" s="113" t="e">
        <f t="shared" si="996"/>
        <v>#DIV/0!</v>
      </c>
      <c r="G567" s="113" t="e">
        <f t="shared" si="996"/>
        <v>#DIV/0!</v>
      </c>
      <c r="H567" s="113" t="e">
        <f t="shared" si="996"/>
        <v>#DIV/0!</v>
      </c>
      <c r="I567" s="113" t="e">
        <f t="shared" si="996"/>
        <v>#DIV/0!</v>
      </c>
      <c r="J567" s="113" t="e">
        <f t="shared" si="996"/>
        <v>#DIV/0!</v>
      </c>
      <c r="K567" s="113" t="e">
        <f t="shared" si="996"/>
        <v>#DIV/0!</v>
      </c>
      <c r="L567" s="113" t="e">
        <f t="shared" si="996"/>
        <v>#DIV/0!</v>
      </c>
      <c r="M567" s="113" t="e">
        <f t="shared" si="996"/>
        <v>#DIV/0!</v>
      </c>
      <c r="N567" s="113" t="e">
        <f t="shared" si="996"/>
        <v>#DIV/0!</v>
      </c>
      <c r="O567" s="113" t="e">
        <f t="shared" si="996"/>
        <v>#DIV/0!</v>
      </c>
      <c r="P567" s="114" t="e">
        <f t="shared" si="996"/>
        <v>#DIV/0!</v>
      </c>
      <c r="Q567" s="115" t="e">
        <f t="shared" si="996"/>
        <v>#DIV/0!</v>
      </c>
      <c r="R567" s="116" t="e">
        <f t="shared" si="996"/>
        <v>#DIV/0!</v>
      </c>
      <c r="T567" s="91"/>
      <c r="U567" s="100"/>
      <c r="V567" s="111"/>
      <c r="W567" s="112" t="s">
        <v>103</v>
      </c>
      <c r="X567" s="113" t="e">
        <f t="shared" ref="X567:AK567" si="997">X565/X563</f>
        <v>#DIV/0!</v>
      </c>
      <c r="Y567" s="113" t="e">
        <f t="shared" si="997"/>
        <v>#DIV/0!</v>
      </c>
      <c r="Z567" s="113" t="e">
        <f t="shared" si="997"/>
        <v>#DIV/0!</v>
      </c>
      <c r="AA567" s="113" t="e">
        <f t="shared" si="997"/>
        <v>#DIV/0!</v>
      </c>
      <c r="AB567" s="113" t="e">
        <f t="shared" si="997"/>
        <v>#DIV/0!</v>
      </c>
      <c r="AC567" s="113" t="e">
        <f t="shared" si="997"/>
        <v>#DIV/0!</v>
      </c>
      <c r="AD567" s="113" t="e">
        <f t="shared" si="997"/>
        <v>#DIV/0!</v>
      </c>
      <c r="AE567" s="113" t="e">
        <f t="shared" si="997"/>
        <v>#DIV/0!</v>
      </c>
      <c r="AF567" s="113" t="e">
        <f t="shared" si="997"/>
        <v>#DIV/0!</v>
      </c>
      <c r="AG567" s="113" t="e">
        <f t="shared" si="997"/>
        <v>#DIV/0!</v>
      </c>
      <c r="AH567" s="113" t="e">
        <f t="shared" si="997"/>
        <v>#DIV/0!</v>
      </c>
      <c r="AI567" s="114" t="e">
        <f t="shared" si="997"/>
        <v>#DIV/0!</v>
      </c>
      <c r="AJ567" s="115" t="e">
        <f t="shared" si="997"/>
        <v>#DIV/0!</v>
      </c>
      <c r="AK567" s="116" t="e">
        <f t="shared" si="997"/>
        <v>#DIV/0!</v>
      </c>
    </row>
    <row r="568" spans="1:38" ht="15.6" hidden="1" thickBot="1">
      <c r="A568" s="91"/>
      <c r="B568" s="100"/>
      <c r="C568" s="86"/>
      <c r="D568" s="87">
        <v>2019</v>
      </c>
      <c r="E568" s="88"/>
      <c r="F568" s="121"/>
      <c r="G568" s="121"/>
      <c r="H568" s="121"/>
      <c r="I568" s="121"/>
      <c r="J568" s="121"/>
      <c r="K568" s="121"/>
      <c r="L568" s="121"/>
      <c r="M568" s="122"/>
      <c r="N568" s="122"/>
      <c r="O568" s="122"/>
      <c r="P568" s="123"/>
      <c r="Q568" s="89">
        <f t="shared" ref="Q568:Q570" si="998">SUM(E568:P568)</f>
        <v>0</v>
      </c>
      <c r="R568" s="90">
        <f t="shared" ref="R568" si="999">SUM(E568:M568)</f>
        <v>0</v>
      </c>
      <c r="T568" s="91"/>
      <c r="U568" s="100"/>
      <c r="V568" s="86">
        <f t="shared" ref="V568:V569" si="1000">C568</f>
        <v>0</v>
      </c>
      <c r="W568" s="87">
        <v>2019</v>
      </c>
      <c r="X568" s="88"/>
      <c r="Y568" s="121"/>
      <c r="Z568" s="121"/>
      <c r="AA568" s="121"/>
      <c r="AB568" s="121"/>
      <c r="AC568" s="121"/>
      <c r="AD568" s="121"/>
      <c r="AE568" s="121"/>
      <c r="AF568" s="122"/>
      <c r="AG568" s="122"/>
      <c r="AH568" s="122"/>
      <c r="AI568" s="123"/>
      <c r="AJ568" s="89">
        <f t="shared" ref="AJ568:AJ570" si="1001">SUM(X568:AI568)</f>
        <v>0</v>
      </c>
      <c r="AK568" s="90">
        <f t="shared" ref="AK568:AK570" si="1002">SUM(X568:AF568)</f>
        <v>0</v>
      </c>
    </row>
    <row r="569" spans="1:38" ht="15.6" hidden="1" thickBot="1">
      <c r="A569" s="91"/>
      <c r="B569" s="100"/>
      <c r="C569" s="92"/>
      <c r="D569" s="93" t="s">
        <v>92</v>
      </c>
      <c r="E569" s="94"/>
      <c r="F569" s="97"/>
      <c r="G569" s="97"/>
      <c r="H569" s="97"/>
      <c r="I569" s="97"/>
      <c r="J569" s="97"/>
      <c r="K569" s="97"/>
      <c r="L569" s="97"/>
      <c r="M569" s="98"/>
      <c r="N569" s="98"/>
      <c r="O569" s="98"/>
      <c r="P569" s="99"/>
      <c r="Q569" s="95">
        <f t="shared" si="998"/>
        <v>0</v>
      </c>
      <c r="R569" s="96">
        <f t="shared" si="929"/>
        <v>0</v>
      </c>
      <c r="T569" s="91"/>
      <c r="U569" s="100"/>
      <c r="V569" s="92">
        <f t="shared" si="1000"/>
        <v>0</v>
      </c>
      <c r="W569" s="93" t="s">
        <v>92</v>
      </c>
      <c r="X569" s="94"/>
      <c r="Y569" s="97"/>
      <c r="Z569" s="97"/>
      <c r="AA569" s="97"/>
      <c r="AB569" s="97"/>
      <c r="AC569" s="97"/>
      <c r="AD569" s="97"/>
      <c r="AE569" s="97"/>
      <c r="AF569" s="98"/>
      <c r="AG569" s="98"/>
      <c r="AH569" s="98"/>
      <c r="AI569" s="99"/>
      <c r="AJ569" s="95">
        <f t="shared" si="1001"/>
        <v>0</v>
      </c>
      <c r="AK569" s="96">
        <f t="shared" si="1002"/>
        <v>0</v>
      </c>
    </row>
    <row r="570" spans="1:38" ht="15.6" hidden="1" thickBot="1">
      <c r="A570" s="91"/>
      <c r="B570" s="100"/>
      <c r="C570" s="92"/>
      <c r="D570" s="101">
        <v>2020</v>
      </c>
      <c r="E570" s="102"/>
      <c r="F570" s="124"/>
      <c r="G570" s="124"/>
      <c r="H570" s="124"/>
      <c r="I570" s="124"/>
      <c r="J570" s="124"/>
      <c r="K570" s="124"/>
      <c r="L570" s="124"/>
      <c r="M570" s="125"/>
      <c r="N570" s="125"/>
      <c r="O570" s="125"/>
      <c r="P570" s="126"/>
      <c r="Q570" s="103">
        <f t="shared" si="998"/>
        <v>0</v>
      </c>
      <c r="R570" s="104">
        <f t="shared" si="929"/>
        <v>0</v>
      </c>
      <c r="S570" s="105"/>
      <c r="T570" s="91"/>
      <c r="U570" s="100"/>
      <c r="V570" s="92"/>
      <c r="W570" s="101">
        <v>2020</v>
      </c>
      <c r="X570" s="102"/>
      <c r="Y570" s="124"/>
      <c r="Z570" s="124"/>
      <c r="AA570" s="124"/>
      <c r="AB570" s="124"/>
      <c r="AC570" s="124"/>
      <c r="AD570" s="124"/>
      <c r="AE570" s="124"/>
      <c r="AF570" s="125"/>
      <c r="AG570" s="125"/>
      <c r="AH570" s="125"/>
      <c r="AI570" s="126"/>
      <c r="AJ570" s="103">
        <f t="shared" si="1001"/>
        <v>0</v>
      </c>
      <c r="AK570" s="104">
        <f t="shared" si="1002"/>
        <v>0</v>
      </c>
      <c r="AL570" s="105"/>
    </row>
    <row r="571" spans="1:38" ht="15.6" hidden="1" thickBot="1">
      <c r="A571" s="91"/>
      <c r="B571" s="100"/>
      <c r="C571" s="92"/>
      <c r="D571" s="101" t="s">
        <v>102</v>
      </c>
      <c r="E571" s="106" t="e">
        <f t="shared" ref="E571:R571" si="1003">E570/E569</f>
        <v>#DIV/0!</v>
      </c>
      <c r="F571" s="106" t="e">
        <f t="shared" si="1003"/>
        <v>#DIV/0!</v>
      </c>
      <c r="G571" s="106" t="e">
        <f t="shared" si="1003"/>
        <v>#DIV/0!</v>
      </c>
      <c r="H571" s="106" t="e">
        <f t="shared" si="1003"/>
        <v>#DIV/0!</v>
      </c>
      <c r="I571" s="106" t="e">
        <f t="shared" si="1003"/>
        <v>#DIV/0!</v>
      </c>
      <c r="J571" s="106" t="e">
        <f t="shared" si="1003"/>
        <v>#DIV/0!</v>
      </c>
      <c r="K571" s="106" t="e">
        <f t="shared" si="1003"/>
        <v>#DIV/0!</v>
      </c>
      <c r="L571" s="106" t="e">
        <f t="shared" si="1003"/>
        <v>#DIV/0!</v>
      </c>
      <c r="M571" s="107" t="e">
        <f t="shared" si="1003"/>
        <v>#DIV/0!</v>
      </c>
      <c r="N571" s="107" t="e">
        <f t="shared" si="1003"/>
        <v>#DIV/0!</v>
      </c>
      <c r="O571" s="107" t="e">
        <f t="shared" si="1003"/>
        <v>#DIV/0!</v>
      </c>
      <c r="P571" s="108" t="e">
        <f t="shared" si="1003"/>
        <v>#DIV/0!</v>
      </c>
      <c r="Q571" s="109" t="e">
        <f t="shared" si="1003"/>
        <v>#DIV/0!</v>
      </c>
      <c r="R571" s="110" t="e">
        <f t="shared" si="1003"/>
        <v>#DIV/0!</v>
      </c>
      <c r="S571" s="105"/>
      <c r="T571" s="91"/>
      <c r="U571" s="100"/>
      <c r="V571" s="92"/>
      <c r="W571" s="101" t="s">
        <v>102</v>
      </c>
      <c r="X571" s="106" t="e">
        <f t="shared" ref="X571:AK571" si="1004">X570/X569</f>
        <v>#DIV/0!</v>
      </c>
      <c r="Y571" s="106" t="e">
        <f t="shared" si="1004"/>
        <v>#DIV/0!</v>
      </c>
      <c r="Z571" s="106" t="e">
        <f t="shared" si="1004"/>
        <v>#DIV/0!</v>
      </c>
      <c r="AA571" s="106" t="e">
        <f t="shared" si="1004"/>
        <v>#DIV/0!</v>
      </c>
      <c r="AB571" s="106" t="e">
        <f t="shared" si="1004"/>
        <v>#DIV/0!</v>
      </c>
      <c r="AC571" s="106" t="e">
        <f t="shared" si="1004"/>
        <v>#DIV/0!</v>
      </c>
      <c r="AD571" s="106" t="e">
        <f t="shared" si="1004"/>
        <v>#DIV/0!</v>
      </c>
      <c r="AE571" s="106" t="e">
        <f t="shared" si="1004"/>
        <v>#DIV/0!</v>
      </c>
      <c r="AF571" s="107" t="e">
        <f t="shared" si="1004"/>
        <v>#DIV/0!</v>
      </c>
      <c r="AG571" s="107" t="e">
        <f t="shared" si="1004"/>
        <v>#DIV/0!</v>
      </c>
      <c r="AH571" s="107" t="e">
        <f t="shared" si="1004"/>
        <v>#DIV/0!</v>
      </c>
      <c r="AI571" s="108" t="e">
        <f t="shared" si="1004"/>
        <v>#DIV/0!</v>
      </c>
      <c r="AJ571" s="109" t="e">
        <f t="shared" si="1004"/>
        <v>#DIV/0!</v>
      </c>
      <c r="AK571" s="110" t="e">
        <f t="shared" si="1004"/>
        <v>#DIV/0!</v>
      </c>
      <c r="AL571" s="105"/>
    </row>
    <row r="572" spans="1:38" ht="15.6" hidden="1" thickBot="1">
      <c r="A572" s="91"/>
      <c r="B572" s="100"/>
      <c r="C572" s="111"/>
      <c r="D572" s="112" t="s">
        <v>103</v>
      </c>
      <c r="E572" s="113" t="e">
        <f t="shared" ref="E572:R572" si="1005">E570/E568</f>
        <v>#DIV/0!</v>
      </c>
      <c r="F572" s="113" t="e">
        <f t="shared" si="1005"/>
        <v>#DIV/0!</v>
      </c>
      <c r="G572" s="113" t="e">
        <f t="shared" si="1005"/>
        <v>#DIV/0!</v>
      </c>
      <c r="H572" s="113" t="e">
        <f t="shared" si="1005"/>
        <v>#DIV/0!</v>
      </c>
      <c r="I572" s="113" t="e">
        <f t="shared" si="1005"/>
        <v>#DIV/0!</v>
      </c>
      <c r="J572" s="113" t="e">
        <f t="shared" si="1005"/>
        <v>#DIV/0!</v>
      </c>
      <c r="K572" s="113" t="e">
        <f t="shared" si="1005"/>
        <v>#DIV/0!</v>
      </c>
      <c r="L572" s="113" t="e">
        <f t="shared" si="1005"/>
        <v>#DIV/0!</v>
      </c>
      <c r="M572" s="113" t="e">
        <f t="shared" si="1005"/>
        <v>#DIV/0!</v>
      </c>
      <c r="N572" s="113" t="e">
        <f t="shared" si="1005"/>
        <v>#DIV/0!</v>
      </c>
      <c r="O572" s="113" t="e">
        <f t="shared" si="1005"/>
        <v>#DIV/0!</v>
      </c>
      <c r="P572" s="114" t="e">
        <f t="shared" si="1005"/>
        <v>#DIV/0!</v>
      </c>
      <c r="Q572" s="115" t="e">
        <f t="shared" si="1005"/>
        <v>#DIV/0!</v>
      </c>
      <c r="R572" s="116" t="e">
        <f t="shared" si="1005"/>
        <v>#DIV/0!</v>
      </c>
      <c r="T572" s="91"/>
      <c r="U572" s="100"/>
      <c r="V572" s="111"/>
      <c r="W572" s="112" t="s">
        <v>103</v>
      </c>
      <c r="X572" s="113" t="e">
        <f t="shared" ref="X572:AK572" si="1006">X570/X568</f>
        <v>#DIV/0!</v>
      </c>
      <c r="Y572" s="113" t="e">
        <f t="shared" si="1006"/>
        <v>#DIV/0!</v>
      </c>
      <c r="Z572" s="113" t="e">
        <f t="shared" si="1006"/>
        <v>#DIV/0!</v>
      </c>
      <c r="AA572" s="113" t="e">
        <f t="shared" si="1006"/>
        <v>#DIV/0!</v>
      </c>
      <c r="AB572" s="113" t="e">
        <f t="shared" si="1006"/>
        <v>#DIV/0!</v>
      </c>
      <c r="AC572" s="113" t="e">
        <f t="shared" si="1006"/>
        <v>#DIV/0!</v>
      </c>
      <c r="AD572" s="113" t="e">
        <f t="shared" si="1006"/>
        <v>#DIV/0!</v>
      </c>
      <c r="AE572" s="113" t="e">
        <f t="shared" si="1006"/>
        <v>#DIV/0!</v>
      </c>
      <c r="AF572" s="113" t="e">
        <f t="shared" si="1006"/>
        <v>#DIV/0!</v>
      </c>
      <c r="AG572" s="113" t="e">
        <f t="shared" si="1006"/>
        <v>#DIV/0!</v>
      </c>
      <c r="AH572" s="113" t="e">
        <f t="shared" si="1006"/>
        <v>#DIV/0!</v>
      </c>
      <c r="AI572" s="114" t="e">
        <f t="shared" si="1006"/>
        <v>#DIV/0!</v>
      </c>
      <c r="AJ572" s="115" t="e">
        <f t="shared" si="1006"/>
        <v>#DIV/0!</v>
      </c>
      <c r="AK572" s="116" t="e">
        <f t="shared" si="1006"/>
        <v>#DIV/0!</v>
      </c>
    </row>
    <row r="573" spans="1:38" ht="15.6" hidden="1" thickBot="1">
      <c r="A573" s="91"/>
      <c r="B573" s="100"/>
      <c r="C573" s="86"/>
      <c r="D573" s="87">
        <v>2019</v>
      </c>
      <c r="E573" s="88"/>
      <c r="F573" s="121"/>
      <c r="G573" s="121"/>
      <c r="H573" s="121"/>
      <c r="I573" s="121"/>
      <c r="J573" s="121"/>
      <c r="K573" s="121"/>
      <c r="L573" s="121"/>
      <c r="M573" s="122"/>
      <c r="N573" s="122"/>
      <c r="O573" s="122"/>
      <c r="P573" s="123"/>
      <c r="Q573" s="89">
        <f t="shared" ref="Q573:Q575" si="1007">SUM(E573:P573)</f>
        <v>0</v>
      </c>
      <c r="R573" s="90">
        <f t="shared" ref="R573" si="1008">SUM(E573:M573)</f>
        <v>0</v>
      </c>
      <c r="T573" s="91"/>
      <c r="U573" s="100"/>
      <c r="V573" s="86">
        <f t="shared" ref="V573:V574" si="1009">C573</f>
        <v>0</v>
      </c>
      <c r="W573" s="87">
        <v>2019</v>
      </c>
      <c r="X573" s="88"/>
      <c r="Y573" s="121"/>
      <c r="Z573" s="121"/>
      <c r="AA573" s="121"/>
      <c r="AB573" s="121"/>
      <c r="AC573" s="121"/>
      <c r="AD573" s="121"/>
      <c r="AE573" s="121"/>
      <c r="AF573" s="122"/>
      <c r="AG573" s="122"/>
      <c r="AH573" s="122"/>
      <c r="AI573" s="123"/>
      <c r="AJ573" s="89">
        <f t="shared" ref="AJ573:AJ575" si="1010">SUM(X573:AI573)</f>
        <v>0</v>
      </c>
      <c r="AK573" s="90">
        <f t="shared" ref="AK573:AK575" si="1011">SUM(X573:AF573)</f>
        <v>0</v>
      </c>
    </row>
    <row r="574" spans="1:38" ht="15.6" hidden="1" thickBot="1">
      <c r="A574" s="91"/>
      <c r="B574" s="100"/>
      <c r="C574" s="92"/>
      <c r="D574" s="93" t="s">
        <v>92</v>
      </c>
      <c r="E574" s="94"/>
      <c r="F574" s="97"/>
      <c r="G574" s="97"/>
      <c r="H574" s="97"/>
      <c r="I574" s="97"/>
      <c r="J574" s="97"/>
      <c r="K574" s="97"/>
      <c r="L574" s="97"/>
      <c r="M574" s="98"/>
      <c r="N574" s="98"/>
      <c r="O574" s="98"/>
      <c r="P574" s="99"/>
      <c r="Q574" s="95">
        <f t="shared" si="1007"/>
        <v>0</v>
      </c>
      <c r="R574" s="96">
        <f t="shared" si="929"/>
        <v>0</v>
      </c>
      <c r="T574" s="91"/>
      <c r="U574" s="100"/>
      <c r="V574" s="92">
        <f t="shared" si="1009"/>
        <v>0</v>
      </c>
      <c r="W574" s="93" t="s">
        <v>92</v>
      </c>
      <c r="X574" s="94"/>
      <c r="Y574" s="97"/>
      <c r="Z574" s="97"/>
      <c r="AA574" s="97"/>
      <c r="AB574" s="97"/>
      <c r="AC574" s="97"/>
      <c r="AD574" s="97"/>
      <c r="AE574" s="97"/>
      <c r="AF574" s="98"/>
      <c r="AG574" s="98"/>
      <c r="AH574" s="98"/>
      <c r="AI574" s="99"/>
      <c r="AJ574" s="95">
        <f t="shared" si="1010"/>
        <v>0</v>
      </c>
      <c r="AK574" s="96">
        <f t="shared" si="1011"/>
        <v>0</v>
      </c>
    </row>
    <row r="575" spans="1:38" ht="15.6" hidden="1" thickBot="1">
      <c r="A575" s="91"/>
      <c r="B575" s="100"/>
      <c r="C575" s="92"/>
      <c r="D575" s="101">
        <v>2020</v>
      </c>
      <c r="E575" s="102"/>
      <c r="F575" s="124"/>
      <c r="G575" s="124"/>
      <c r="H575" s="124"/>
      <c r="I575" s="124"/>
      <c r="J575" s="124"/>
      <c r="K575" s="124"/>
      <c r="L575" s="124"/>
      <c r="M575" s="125"/>
      <c r="N575" s="125"/>
      <c r="O575" s="125"/>
      <c r="P575" s="126"/>
      <c r="Q575" s="103">
        <f t="shared" si="1007"/>
        <v>0</v>
      </c>
      <c r="R575" s="104">
        <f t="shared" si="929"/>
        <v>0</v>
      </c>
      <c r="S575" s="105"/>
      <c r="T575" s="91"/>
      <c r="U575" s="100"/>
      <c r="V575" s="92"/>
      <c r="W575" s="101">
        <v>2020</v>
      </c>
      <c r="X575" s="102"/>
      <c r="Y575" s="124"/>
      <c r="Z575" s="124"/>
      <c r="AA575" s="124"/>
      <c r="AB575" s="124"/>
      <c r="AC575" s="124"/>
      <c r="AD575" s="124"/>
      <c r="AE575" s="124"/>
      <c r="AF575" s="125"/>
      <c r="AG575" s="125"/>
      <c r="AH575" s="125"/>
      <c r="AI575" s="126"/>
      <c r="AJ575" s="103">
        <f t="shared" si="1010"/>
        <v>0</v>
      </c>
      <c r="AK575" s="104">
        <f t="shared" si="1011"/>
        <v>0</v>
      </c>
      <c r="AL575" s="105"/>
    </row>
    <row r="576" spans="1:38" ht="15.6" hidden="1" thickBot="1">
      <c r="A576" s="91"/>
      <c r="B576" s="100"/>
      <c r="C576" s="92"/>
      <c r="D576" s="101" t="s">
        <v>102</v>
      </c>
      <c r="E576" s="106" t="e">
        <f t="shared" ref="E576:R576" si="1012">E575/E574</f>
        <v>#DIV/0!</v>
      </c>
      <c r="F576" s="106" t="e">
        <f t="shared" si="1012"/>
        <v>#DIV/0!</v>
      </c>
      <c r="G576" s="106" t="e">
        <f t="shared" si="1012"/>
        <v>#DIV/0!</v>
      </c>
      <c r="H576" s="106" t="e">
        <f t="shared" si="1012"/>
        <v>#DIV/0!</v>
      </c>
      <c r="I576" s="106" t="e">
        <f t="shared" si="1012"/>
        <v>#DIV/0!</v>
      </c>
      <c r="J576" s="106" t="e">
        <f t="shared" si="1012"/>
        <v>#DIV/0!</v>
      </c>
      <c r="K576" s="106" t="e">
        <f t="shared" si="1012"/>
        <v>#DIV/0!</v>
      </c>
      <c r="L576" s="106" t="e">
        <f t="shared" si="1012"/>
        <v>#DIV/0!</v>
      </c>
      <c r="M576" s="107" t="e">
        <f t="shared" si="1012"/>
        <v>#DIV/0!</v>
      </c>
      <c r="N576" s="107" t="e">
        <f t="shared" si="1012"/>
        <v>#DIV/0!</v>
      </c>
      <c r="O576" s="107" t="e">
        <f t="shared" si="1012"/>
        <v>#DIV/0!</v>
      </c>
      <c r="P576" s="108" t="e">
        <f t="shared" si="1012"/>
        <v>#DIV/0!</v>
      </c>
      <c r="Q576" s="109" t="e">
        <f t="shared" si="1012"/>
        <v>#DIV/0!</v>
      </c>
      <c r="R576" s="110" t="e">
        <f t="shared" si="1012"/>
        <v>#DIV/0!</v>
      </c>
      <c r="S576" s="105"/>
      <c r="T576" s="91"/>
      <c r="U576" s="100"/>
      <c r="V576" s="92"/>
      <c r="W576" s="101" t="s">
        <v>102</v>
      </c>
      <c r="X576" s="106" t="e">
        <f t="shared" ref="X576:AK576" si="1013">X575/X574</f>
        <v>#DIV/0!</v>
      </c>
      <c r="Y576" s="106" t="e">
        <f t="shared" si="1013"/>
        <v>#DIV/0!</v>
      </c>
      <c r="Z576" s="106" t="e">
        <f t="shared" si="1013"/>
        <v>#DIV/0!</v>
      </c>
      <c r="AA576" s="106" t="e">
        <f t="shared" si="1013"/>
        <v>#DIV/0!</v>
      </c>
      <c r="AB576" s="106" t="e">
        <f t="shared" si="1013"/>
        <v>#DIV/0!</v>
      </c>
      <c r="AC576" s="106" t="e">
        <f t="shared" si="1013"/>
        <v>#DIV/0!</v>
      </c>
      <c r="AD576" s="106" t="e">
        <f t="shared" si="1013"/>
        <v>#DIV/0!</v>
      </c>
      <c r="AE576" s="106" t="e">
        <f t="shared" si="1013"/>
        <v>#DIV/0!</v>
      </c>
      <c r="AF576" s="107" t="e">
        <f t="shared" si="1013"/>
        <v>#DIV/0!</v>
      </c>
      <c r="AG576" s="107" t="e">
        <f t="shared" si="1013"/>
        <v>#DIV/0!</v>
      </c>
      <c r="AH576" s="107" t="e">
        <f t="shared" si="1013"/>
        <v>#DIV/0!</v>
      </c>
      <c r="AI576" s="108" t="e">
        <f t="shared" si="1013"/>
        <v>#DIV/0!</v>
      </c>
      <c r="AJ576" s="109" t="e">
        <f t="shared" si="1013"/>
        <v>#DIV/0!</v>
      </c>
      <c r="AK576" s="110" t="e">
        <f t="shared" si="1013"/>
        <v>#DIV/0!</v>
      </c>
      <c r="AL576" s="105"/>
    </row>
    <row r="577" spans="1:38" ht="15.6" hidden="1" thickBot="1">
      <c r="A577" s="91"/>
      <c r="B577" s="100"/>
      <c r="C577" s="111"/>
      <c r="D577" s="112" t="s">
        <v>103</v>
      </c>
      <c r="E577" s="113" t="e">
        <f t="shared" ref="E577:R577" si="1014">E575/E573</f>
        <v>#DIV/0!</v>
      </c>
      <c r="F577" s="113" t="e">
        <f t="shared" si="1014"/>
        <v>#DIV/0!</v>
      </c>
      <c r="G577" s="113" t="e">
        <f t="shared" si="1014"/>
        <v>#DIV/0!</v>
      </c>
      <c r="H577" s="113" t="e">
        <f t="shared" si="1014"/>
        <v>#DIV/0!</v>
      </c>
      <c r="I577" s="113" t="e">
        <f t="shared" si="1014"/>
        <v>#DIV/0!</v>
      </c>
      <c r="J577" s="113" t="e">
        <f t="shared" si="1014"/>
        <v>#DIV/0!</v>
      </c>
      <c r="K577" s="113" t="e">
        <f t="shared" si="1014"/>
        <v>#DIV/0!</v>
      </c>
      <c r="L577" s="113" t="e">
        <f t="shared" si="1014"/>
        <v>#DIV/0!</v>
      </c>
      <c r="M577" s="113" t="e">
        <f t="shared" si="1014"/>
        <v>#DIV/0!</v>
      </c>
      <c r="N577" s="113" t="e">
        <f t="shared" si="1014"/>
        <v>#DIV/0!</v>
      </c>
      <c r="O577" s="113" t="e">
        <f t="shared" si="1014"/>
        <v>#DIV/0!</v>
      </c>
      <c r="P577" s="114" t="e">
        <f t="shared" si="1014"/>
        <v>#DIV/0!</v>
      </c>
      <c r="Q577" s="115" t="e">
        <f t="shared" si="1014"/>
        <v>#DIV/0!</v>
      </c>
      <c r="R577" s="116" t="e">
        <f t="shared" si="1014"/>
        <v>#DIV/0!</v>
      </c>
      <c r="T577" s="91"/>
      <c r="U577" s="100"/>
      <c r="V577" s="111"/>
      <c r="W577" s="112" t="s">
        <v>103</v>
      </c>
      <c r="X577" s="113" t="e">
        <f t="shared" ref="X577:AK577" si="1015">X575/X573</f>
        <v>#DIV/0!</v>
      </c>
      <c r="Y577" s="113" t="e">
        <f t="shared" si="1015"/>
        <v>#DIV/0!</v>
      </c>
      <c r="Z577" s="113" t="e">
        <f t="shared" si="1015"/>
        <v>#DIV/0!</v>
      </c>
      <c r="AA577" s="113" t="e">
        <f t="shared" si="1015"/>
        <v>#DIV/0!</v>
      </c>
      <c r="AB577" s="113" t="e">
        <f t="shared" si="1015"/>
        <v>#DIV/0!</v>
      </c>
      <c r="AC577" s="113" t="e">
        <f t="shared" si="1015"/>
        <v>#DIV/0!</v>
      </c>
      <c r="AD577" s="113" t="e">
        <f t="shared" si="1015"/>
        <v>#DIV/0!</v>
      </c>
      <c r="AE577" s="113" t="e">
        <f t="shared" si="1015"/>
        <v>#DIV/0!</v>
      </c>
      <c r="AF577" s="113" t="e">
        <f t="shared" si="1015"/>
        <v>#DIV/0!</v>
      </c>
      <c r="AG577" s="113" t="e">
        <f t="shared" si="1015"/>
        <v>#DIV/0!</v>
      </c>
      <c r="AH577" s="113" t="e">
        <f t="shared" si="1015"/>
        <v>#DIV/0!</v>
      </c>
      <c r="AI577" s="114" t="e">
        <f t="shared" si="1015"/>
        <v>#DIV/0!</v>
      </c>
      <c r="AJ577" s="115" t="e">
        <f t="shared" si="1015"/>
        <v>#DIV/0!</v>
      </c>
      <c r="AK577" s="116" t="e">
        <f t="shared" si="1015"/>
        <v>#DIV/0!</v>
      </c>
    </row>
    <row r="578" spans="1:38" ht="15.6" hidden="1" thickBot="1">
      <c r="A578" s="91"/>
      <c r="B578" s="100"/>
      <c r="C578" s="86"/>
      <c r="D578" s="87">
        <v>2019</v>
      </c>
      <c r="E578" s="88"/>
      <c r="F578" s="121"/>
      <c r="G578" s="121"/>
      <c r="H578" s="121"/>
      <c r="I578" s="121"/>
      <c r="J578" s="121"/>
      <c r="K578" s="121"/>
      <c r="L578" s="121"/>
      <c r="M578" s="122"/>
      <c r="N578" s="122"/>
      <c r="O578" s="122"/>
      <c r="P578" s="123"/>
      <c r="Q578" s="89">
        <f t="shared" ref="Q578:Q580" si="1016">SUM(E578:P578)</f>
        <v>0</v>
      </c>
      <c r="R578" s="90">
        <f t="shared" ref="R578" si="1017">SUM(E578:M578)</f>
        <v>0</v>
      </c>
      <c r="T578" s="91"/>
      <c r="U578" s="100"/>
      <c r="V578" s="86">
        <f t="shared" ref="V578:V579" si="1018">C578</f>
        <v>0</v>
      </c>
      <c r="W578" s="87">
        <v>2019</v>
      </c>
      <c r="X578" s="88"/>
      <c r="Y578" s="121"/>
      <c r="Z578" s="121"/>
      <c r="AA578" s="121"/>
      <c r="AB578" s="121"/>
      <c r="AC578" s="121"/>
      <c r="AD578" s="121"/>
      <c r="AE578" s="121"/>
      <c r="AF578" s="122"/>
      <c r="AG578" s="122"/>
      <c r="AH578" s="122"/>
      <c r="AI578" s="123"/>
      <c r="AJ578" s="89">
        <f t="shared" ref="AJ578:AJ580" si="1019">SUM(X578:AI578)</f>
        <v>0</v>
      </c>
      <c r="AK578" s="90">
        <f t="shared" ref="AK578:AK580" si="1020">SUM(X578:AF578)</f>
        <v>0</v>
      </c>
    </row>
    <row r="579" spans="1:38" ht="15.6" hidden="1" thickBot="1">
      <c r="A579" s="91"/>
      <c r="B579" s="100"/>
      <c r="C579" s="92"/>
      <c r="D579" s="93" t="s">
        <v>92</v>
      </c>
      <c r="E579" s="94"/>
      <c r="F579" s="97"/>
      <c r="G579" s="97"/>
      <c r="H579" s="97"/>
      <c r="I579" s="97"/>
      <c r="J579" s="97"/>
      <c r="K579" s="97"/>
      <c r="L579" s="97"/>
      <c r="M579" s="98"/>
      <c r="N579" s="98"/>
      <c r="O579" s="98"/>
      <c r="P579" s="99"/>
      <c r="Q579" s="95">
        <f t="shared" si="1016"/>
        <v>0</v>
      </c>
      <c r="R579" s="96">
        <f t="shared" si="929"/>
        <v>0</v>
      </c>
      <c r="T579" s="91"/>
      <c r="U579" s="100"/>
      <c r="V579" s="92">
        <f t="shared" si="1018"/>
        <v>0</v>
      </c>
      <c r="W579" s="93" t="s">
        <v>92</v>
      </c>
      <c r="X579" s="94"/>
      <c r="Y579" s="97"/>
      <c r="Z579" s="97"/>
      <c r="AA579" s="97"/>
      <c r="AB579" s="97"/>
      <c r="AC579" s="97"/>
      <c r="AD579" s="97"/>
      <c r="AE579" s="97"/>
      <c r="AF579" s="98"/>
      <c r="AG579" s="98"/>
      <c r="AH579" s="98"/>
      <c r="AI579" s="99"/>
      <c r="AJ579" s="95">
        <f t="shared" si="1019"/>
        <v>0</v>
      </c>
      <c r="AK579" s="96">
        <f t="shared" si="1020"/>
        <v>0</v>
      </c>
    </row>
    <row r="580" spans="1:38" ht="15.6" hidden="1" thickBot="1">
      <c r="A580" s="91"/>
      <c r="B580" s="100"/>
      <c r="C580" s="92"/>
      <c r="D580" s="101">
        <v>2020</v>
      </c>
      <c r="E580" s="102"/>
      <c r="F580" s="124"/>
      <c r="G580" s="124"/>
      <c r="H580" s="124"/>
      <c r="I580" s="124"/>
      <c r="J580" s="124"/>
      <c r="K580" s="124"/>
      <c r="L580" s="124"/>
      <c r="M580" s="125"/>
      <c r="N580" s="125"/>
      <c r="O580" s="125"/>
      <c r="P580" s="126"/>
      <c r="Q580" s="103">
        <f t="shared" si="1016"/>
        <v>0</v>
      </c>
      <c r="R580" s="104">
        <f t="shared" si="929"/>
        <v>0</v>
      </c>
      <c r="S580" s="105"/>
      <c r="T580" s="91"/>
      <c r="U580" s="100"/>
      <c r="V580" s="92"/>
      <c r="W580" s="101">
        <v>2020</v>
      </c>
      <c r="X580" s="102"/>
      <c r="Y580" s="124"/>
      <c r="Z580" s="124"/>
      <c r="AA580" s="124"/>
      <c r="AB580" s="124"/>
      <c r="AC580" s="124"/>
      <c r="AD580" s="124"/>
      <c r="AE580" s="124"/>
      <c r="AF580" s="125"/>
      <c r="AG580" s="125"/>
      <c r="AH580" s="125"/>
      <c r="AI580" s="126"/>
      <c r="AJ580" s="103">
        <f t="shared" si="1019"/>
        <v>0</v>
      </c>
      <c r="AK580" s="104">
        <f t="shared" si="1020"/>
        <v>0</v>
      </c>
      <c r="AL580" s="105"/>
    </row>
    <row r="581" spans="1:38" ht="15.6" hidden="1" thickBot="1">
      <c r="A581" s="91"/>
      <c r="B581" s="100"/>
      <c r="C581" s="92"/>
      <c r="D581" s="101" t="s">
        <v>102</v>
      </c>
      <c r="E581" s="106" t="e">
        <f t="shared" ref="E581:R581" si="1021">E580/E579</f>
        <v>#DIV/0!</v>
      </c>
      <c r="F581" s="106" t="e">
        <f t="shared" si="1021"/>
        <v>#DIV/0!</v>
      </c>
      <c r="G581" s="106" t="e">
        <f t="shared" si="1021"/>
        <v>#DIV/0!</v>
      </c>
      <c r="H581" s="106" t="e">
        <f t="shared" si="1021"/>
        <v>#DIV/0!</v>
      </c>
      <c r="I581" s="106" t="e">
        <f t="shared" si="1021"/>
        <v>#DIV/0!</v>
      </c>
      <c r="J581" s="106" t="e">
        <f t="shared" si="1021"/>
        <v>#DIV/0!</v>
      </c>
      <c r="K581" s="106" t="e">
        <f t="shared" si="1021"/>
        <v>#DIV/0!</v>
      </c>
      <c r="L581" s="106" t="e">
        <f t="shared" si="1021"/>
        <v>#DIV/0!</v>
      </c>
      <c r="M581" s="107" t="e">
        <f t="shared" si="1021"/>
        <v>#DIV/0!</v>
      </c>
      <c r="N581" s="107" t="e">
        <f t="shared" si="1021"/>
        <v>#DIV/0!</v>
      </c>
      <c r="O581" s="107" t="e">
        <f t="shared" si="1021"/>
        <v>#DIV/0!</v>
      </c>
      <c r="P581" s="108" t="e">
        <f t="shared" si="1021"/>
        <v>#DIV/0!</v>
      </c>
      <c r="Q581" s="109" t="e">
        <f t="shared" si="1021"/>
        <v>#DIV/0!</v>
      </c>
      <c r="R581" s="110" t="e">
        <f t="shared" si="1021"/>
        <v>#DIV/0!</v>
      </c>
      <c r="S581" s="105"/>
      <c r="T581" s="91"/>
      <c r="U581" s="100"/>
      <c r="V581" s="92"/>
      <c r="W581" s="101" t="s">
        <v>102</v>
      </c>
      <c r="X581" s="106" t="e">
        <f t="shared" ref="X581:AK581" si="1022">X580/X579</f>
        <v>#DIV/0!</v>
      </c>
      <c r="Y581" s="106" t="e">
        <f t="shared" si="1022"/>
        <v>#DIV/0!</v>
      </c>
      <c r="Z581" s="106" t="e">
        <f t="shared" si="1022"/>
        <v>#DIV/0!</v>
      </c>
      <c r="AA581" s="106" t="e">
        <f t="shared" si="1022"/>
        <v>#DIV/0!</v>
      </c>
      <c r="AB581" s="106" t="e">
        <f t="shared" si="1022"/>
        <v>#DIV/0!</v>
      </c>
      <c r="AC581" s="106" t="e">
        <f t="shared" si="1022"/>
        <v>#DIV/0!</v>
      </c>
      <c r="AD581" s="106" t="e">
        <f t="shared" si="1022"/>
        <v>#DIV/0!</v>
      </c>
      <c r="AE581" s="106" t="e">
        <f t="shared" si="1022"/>
        <v>#DIV/0!</v>
      </c>
      <c r="AF581" s="107" t="e">
        <f t="shared" si="1022"/>
        <v>#DIV/0!</v>
      </c>
      <c r="AG581" s="107" t="e">
        <f t="shared" si="1022"/>
        <v>#DIV/0!</v>
      </c>
      <c r="AH581" s="107" t="e">
        <f t="shared" si="1022"/>
        <v>#DIV/0!</v>
      </c>
      <c r="AI581" s="108" t="e">
        <f t="shared" si="1022"/>
        <v>#DIV/0!</v>
      </c>
      <c r="AJ581" s="109" t="e">
        <f t="shared" si="1022"/>
        <v>#DIV/0!</v>
      </c>
      <c r="AK581" s="110" t="e">
        <f t="shared" si="1022"/>
        <v>#DIV/0!</v>
      </c>
      <c r="AL581" s="105"/>
    </row>
    <row r="582" spans="1:38" ht="15.6" hidden="1" thickBot="1">
      <c r="A582" s="91"/>
      <c r="B582" s="100"/>
      <c r="C582" s="111"/>
      <c r="D582" s="112" t="s">
        <v>103</v>
      </c>
      <c r="E582" s="113" t="e">
        <f t="shared" ref="E582:R582" si="1023">E580/E578</f>
        <v>#DIV/0!</v>
      </c>
      <c r="F582" s="113" t="e">
        <f t="shared" si="1023"/>
        <v>#DIV/0!</v>
      </c>
      <c r="G582" s="113" t="e">
        <f t="shared" si="1023"/>
        <v>#DIV/0!</v>
      </c>
      <c r="H582" s="113" t="e">
        <f t="shared" si="1023"/>
        <v>#DIV/0!</v>
      </c>
      <c r="I582" s="113" t="e">
        <f t="shared" si="1023"/>
        <v>#DIV/0!</v>
      </c>
      <c r="J582" s="113" t="e">
        <f t="shared" si="1023"/>
        <v>#DIV/0!</v>
      </c>
      <c r="K582" s="113" t="e">
        <f t="shared" si="1023"/>
        <v>#DIV/0!</v>
      </c>
      <c r="L582" s="113" t="e">
        <f t="shared" si="1023"/>
        <v>#DIV/0!</v>
      </c>
      <c r="M582" s="113" t="e">
        <f t="shared" si="1023"/>
        <v>#DIV/0!</v>
      </c>
      <c r="N582" s="113" t="e">
        <f t="shared" si="1023"/>
        <v>#DIV/0!</v>
      </c>
      <c r="O582" s="113" t="e">
        <f t="shared" si="1023"/>
        <v>#DIV/0!</v>
      </c>
      <c r="P582" s="114" t="e">
        <f t="shared" si="1023"/>
        <v>#DIV/0!</v>
      </c>
      <c r="Q582" s="115" t="e">
        <f t="shared" si="1023"/>
        <v>#DIV/0!</v>
      </c>
      <c r="R582" s="116" t="e">
        <f t="shared" si="1023"/>
        <v>#DIV/0!</v>
      </c>
      <c r="T582" s="91"/>
      <c r="U582" s="100"/>
      <c r="V582" s="111"/>
      <c r="W582" s="112" t="s">
        <v>103</v>
      </c>
      <c r="X582" s="113" t="e">
        <f t="shared" ref="X582:AK582" si="1024">X580/X578</f>
        <v>#DIV/0!</v>
      </c>
      <c r="Y582" s="113" t="e">
        <f t="shared" si="1024"/>
        <v>#DIV/0!</v>
      </c>
      <c r="Z582" s="113" t="e">
        <f t="shared" si="1024"/>
        <v>#DIV/0!</v>
      </c>
      <c r="AA582" s="113" t="e">
        <f t="shared" si="1024"/>
        <v>#DIV/0!</v>
      </c>
      <c r="AB582" s="113" t="e">
        <f t="shared" si="1024"/>
        <v>#DIV/0!</v>
      </c>
      <c r="AC582" s="113" t="e">
        <f t="shared" si="1024"/>
        <v>#DIV/0!</v>
      </c>
      <c r="AD582" s="113" t="e">
        <f t="shared" si="1024"/>
        <v>#DIV/0!</v>
      </c>
      <c r="AE582" s="113" t="e">
        <f t="shared" si="1024"/>
        <v>#DIV/0!</v>
      </c>
      <c r="AF582" s="113" t="e">
        <f t="shared" si="1024"/>
        <v>#DIV/0!</v>
      </c>
      <c r="AG582" s="113" t="e">
        <f t="shared" si="1024"/>
        <v>#DIV/0!</v>
      </c>
      <c r="AH582" s="113" t="e">
        <f t="shared" si="1024"/>
        <v>#DIV/0!</v>
      </c>
      <c r="AI582" s="114" t="e">
        <f t="shared" si="1024"/>
        <v>#DIV/0!</v>
      </c>
      <c r="AJ582" s="115" t="e">
        <f t="shared" si="1024"/>
        <v>#DIV/0!</v>
      </c>
      <c r="AK582" s="116" t="e">
        <f t="shared" si="1024"/>
        <v>#DIV/0!</v>
      </c>
    </row>
    <row r="583" spans="1:38" ht="15.6" hidden="1" thickBot="1">
      <c r="A583" s="91"/>
      <c r="B583" s="100"/>
      <c r="C583" s="86"/>
      <c r="D583" s="87">
        <v>2019</v>
      </c>
      <c r="E583" s="88"/>
      <c r="F583" s="121"/>
      <c r="G583" s="121"/>
      <c r="H583" s="121"/>
      <c r="I583" s="121"/>
      <c r="J583" s="121"/>
      <c r="K583" s="121"/>
      <c r="L583" s="121"/>
      <c r="M583" s="122"/>
      <c r="N583" s="122"/>
      <c r="O583" s="122"/>
      <c r="P583" s="123"/>
      <c r="Q583" s="89">
        <f t="shared" ref="Q583:Q585" si="1025">SUM(E583:P583)</f>
        <v>0</v>
      </c>
      <c r="R583" s="90">
        <f t="shared" ref="R583" si="1026">SUM(E583:M583)</f>
        <v>0</v>
      </c>
      <c r="T583" s="91"/>
      <c r="U583" s="100"/>
      <c r="V583" s="86">
        <f t="shared" ref="V583:V584" si="1027">C583</f>
        <v>0</v>
      </c>
      <c r="W583" s="87">
        <v>2019</v>
      </c>
      <c r="X583" s="88"/>
      <c r="Y583" s="121"/>
      <c r="Z583" s="121"/>
      <c r="AA583" s="121"/>
      <c r="AB583" s="121"/>
      <c r="AC583" s="121"/>
      <c r="AD583" s="121"/>
      <c r="AE583" s="121"/>
      <c r="AF583" s="122"/>
      <c r="AG583" s="122"/>
      <c r="AH583" s="122"/>
      <c r="AI583" s="123"/>
      <c r="AJ583" s="89">
        <f t="shared" ref="AJ583:AJ585" si="1028">SUM(X583:AI583)</f>
        <v>0</v>
      </c>
      <c r="AK583" s="90">
        <f t="shared" ref="AK583:AK585" si="1029">SUM(X583:AF583)</f>
        <v>0</v>
      </c>
    </row>
    <row r="584" spans="1:38" ht="15.6" hidden="1" thickBot="1">
      <c r="A584" s="91"/>
      <c r="B584" s="100"/>
      <c r="C584" s="92"/>
      <c r="D584" s="93" t="s">
        <v>92</v>
      </c>
      <c r="E584" s="94"/>
      <c r="F584" s="97"/>
      <c r="G584" s="97"/>
      <c r="H584" s="97"/>
      <c r="I584" s="97"/>
      <c r="J584" s="97"/>
      <c r="K584" s="97"/>
      <c r="L584" s="97"/>
      <c r="M584" s="98"/>
      <c r="N584" s="98"/>
      <c r="O584" s="98"/>
      <c r="P584" s="99"/>
      <c r="Q584" s="95">
        <f t="shared" si="1025"/>
        <v>0</v>
      </c>
      <c r="R584" s="96">
        <f t="shared" si="929"/>
        <v>0</v>
      </c>
      <c r="T584" s="91"/>
      <c r="U584" s="100"/>
      <c r="V584" s="92">
        <f t="shared" si="1027"/>
        <v>0</v>
      </c>
      <c r="W584" s="93" t="s">
        <v>92</v>
      </c>
      <c r="X584" s="94"/>
      <c r="Y584" s="97"/>
      <c r="Z584" s="97"/>
      <c r="AA584" s="97"/>
      <c r="AB584" s="97"/>
      <c r="AC584" s="97"/>
      <c r="AD584" s="97"/>
      <c r="AE584" s="97"/>
      <c r="AF584" s="98"/>
      <c r="AG584" s="98"/>
      <c r="AH584" s="98"/>
      <c r="AI584" s="99"/>
      <c r="AJ584" s="95">
        <f t="shared" si="1028"/>
        <v>0</v>
      </c>
      <c r="AK584" s="96">
        <f t="shared" si="1029"/>
        <v>0</v>
      </c>
    </row>
    <row r="585" spans="1:38" ht="15.6" hidden="1" thickBot="1">
      <c r="A585" s="91"/>
      <c r="B585" s="100"/>
      <c r="C585" s="92"/>
      <c r="D585" s="101">
        <v>2020</v>
      </c>
      <c r="E585" s="102"/>
      <c r="F585" s="124"/>
      <c r="G585" s="124"/>
      <c r="H585" s="124"/>
      <c r="I585" s="124"/>
      <c r="J585" s="124"/>
      <c r="K585" s="124"/>
      <c r="L585" s="124"/>
      <c r="M585" s="125"/>
      <c r="N585" s="125"/>
      <c r="O585" s="125"/>
      <c r="P585" s="126"/>
      <c r="Q585" s="103">
        <f t="shared" si="1025"/>
        <v>0</v>
      </c>
      <c r="R585" s="104">
        <f t="shared" si="929"/>
        <v>0</v>
      </c>
      <c r="S585" s="105"/>
      <c r="T585" s="91"/>
      <c r="U585" s="100"/>
      <c r="V585" s="92"/>
      <c r="W585" s="101">
        <v>2020</v>
      </c>
      <c r="X585" s="102"/>
      <c r="Y585" s="124"/>
      <c r="Z585" s="124"/>
      <c r="AA585" s="124"/>
      <c r="AB585" s="124"/>
      <c r="AC585" s="124"/>
      <c r="AD585" s="124"/>
      <c r="AE585" s="124"/>
      <c r="AF585" s="125"/>
      <c r="AG585" s="125"/>
      <c r="AH585" s="125"/>
      <c r="AI585" s="126"/>
      <c r="AJ585" s="103">
        <f t="shared" si="1028"/>
        <v>0</v>
      </c>
      <c r="AK585" s="104">
        <f t="shared" si="1029"/>
        <v>0</v>
      </c>
      <c r="AL585" s="105"/>
    </row>
    <row r="586" spans="1:38" ht="15.6" hidden="1" thickBot="1">
      <c r="A586" s="91"/>
      <c r="B586" s="100"/>
      <c r="C586" s="92"/>
      <c r="D586" s="101" t="s">
        <v>102</v>
      </c>
      <c r="E586" s="106" t="e">
        <f t="shared" ref="E586:R586" si="1030">E585/E584</f>
        <v>#DIV/0!</v>
      </c>
      <c r="F586" s="106" t="e">
        <f t="shared" si="1030"/>
        <v>#DIV/0!</v>
      </c>
      <c r="G586" s="106" t="e">
        <f t="shared" si="1030"/>
        <v>#DIV/0!</v>
      </c>
      <c r="H586" s="106" t="e">
        <f t="shared" si="1030"/>
        <v>#DIV/0!</v>
      </c>
      <c r="I586" s="106" t="e">
        <f t="shared" si="1030"/>
        <v>#DIV/0!</v>
      </c>
      <c r="J586" s="106" t="e">
        <f t="shared" si="1030"/>
        <v>#DIV/0!</v>
      </c>
      <c r="K586" s="106" t="e">
        <f t="shared" si="1030"/>
        <v>#DIV/0!</v>
      </c>
      <c r="L586" s="106" t="e">
        <f t="shared" si="1030"/>
        <v>#DIV/0!</v>
      </c>
      <c r="M586" s="107" t="e">
        <f t="shared" si="1030"/>
        <v>#DIV/0!</v>
      </c>
      <c r="N586" s="107" t="e">
        <f t="shared" si="1030"/>
        <v>#DIV/0!</v>
      </c>
      <c r="O586" s="107" t="e">
        <f t="shared" si="1030"/>
        <v>#DIV/0!</v>
      </c>
      <c r="P586" s="108" t="e">
        <f t="shared" si="1030"/>
        <v>#DIV/0!</v>
      </c>
      <c r="Q586" s="109" t="e">
        <f t="shared" si="1030"/>
        <v>#DIV/0!</v>
      </c>
      <c r="R586" s="110" t="e">
        <f t="shared" si="1030"/>
        <v>#DIV/0!</v>
      </c>
      <c r="S586" s="105"/>
      <c r="T586" s="91"/>
      <c r="U586" s="100"/>
      <c r="V586" s="92"/>
      <c r="W586" s="101" t="s">
        <v>102</v>
      </c>
      <c r="X586" s="106" t="e">
        <f t="shared" ref="X586:AK586" si="1031">X585/X584</f>
        <v>#DIV/0!</v>
      </c>
      <c r="Y586" s="106" t="e">
        <f t="shared" si="1031"/>
        <v>#DIV/0!</v>
      </c>
      <c r="Z586" s="106" t="e">
        <f t="shared" si="1031"/>
        <v>#DIV/0!</v>
      </c>
      <c r="AA586" s="106" t="e">
        <f t="shared" si="1031"/>
        <v>#DIV/0!</v>
      </c>
      <c r="AB586" s="106" t="e">
        <f t="shared" si="1031"/>
        <v>#DIV/0!</v>
      </c>
      <c r="AC586" s="106" t="e">
        <f t="shared" si="1031"/>
        <v>#DIV/0!</v>
      </c>
      <c r="AD586" s="106" t="e">
        <f t="shared" si="1031"/>
        <v>#DIV/0!</v>
      </c>
      <c r="AE586" s="106" t="e">
        <f t="shared" si="1031"/>
        <v>#DIV/0!</v>
      </c>
      <c r="AF586" s="107" t="e">
        <f t="shared" si="1031"/>
        <v>#DIV/0!</v>
      </c>
      <c r="AG586" s="107" t="e">
        <f t="shared" si="1031"/>
        <v>#DIV/0!</v>
      </c>
      <c r="AH586" s="107" t="e">
        <f t="shared" si="1031"/>
        <v>#DIV/0!</v>
      </c>
      <c r="AI586" s="108" t="e">
        <f t="shared" si="1031"/>
        <v>#DIV/0!</v>
      </c>
      <c r="AJ586" s="109" t="e">
        <f t="shared" si="1031"/>
        <v>#DIV/0!</v>
      </c>
      <c r="AK586" s="110" t="e">
        <f t="shared" si="1031"/>
        <v>#DIV/0!</v>
      </c>
      <c r="AL586" s="105"/>
    </row>
    <row r="587" spans="1:38" ht="15.6" hidden="1" thickBot="1">
      <c r="A587" s="91"/>
      <c r="B587" s="100"/>
      <c r="C587" s="111"/>
      <c r="D587" s="112" t="s">
        <v>103</v>
      </c>
      <c r="E587" s="113" t="e">
        <f t="shared" ref="E587:R587" si="1032">E585/E583</f>
        <v>#DIV/0!</v>
      </c>
      <c r="F587" s="113" t="e">
        <f t="shared" si="1032"/>
        <v>#DIV/0!</v>
      </c>
      <c r="G587" s="113" t="e">
        <f t="shared" si="1032"/>
        <v>#DIV/0!</v>
      </c>
      <c r="H587" s="113" t="e">
        <f t="shared" si="1032"/>
        <v>#DIV/0!</v>
      </c>
      <c r="I587" s="113" t="e">
        <f t="shared" si="1032"/>
        <v>#DIV/0!</v>
      </c>
      <c r="J587" s="113" t="e">
        <f t="shared" si="1032"/>
        <v>#DIV/0!</v>
      </c>
      <c r="K587" s="113" t="e">
        <f t="shared" si="1032"/>
        <v>#DIV/0!</v>
      </c>
      <c r="L587" s="113" t="e">
        <f t="shared" si="1032"/>
        <v>#DIV/0!</v>
      </c>
      <c r="M587" s="113" t="e">
        <f t="shared" si="1032"/>
        <v>#DIV/0!</v>
      </c>
      <c r="N587" s="113" t="e">
        <f t="shared" si="1032"/>
        <v>#DIV/0!</v>
      </c>
      <c r="O587" s="113" t="e">
        <f t="shared" si="1032"/>
        <v>#DIV/0!</v>
      </c>
      <c r="P587" s="114" t="e">
        <f t="shared" si="1032"/>
        <v>#DIV/0!</v>
      </c>
      <c r="Q587" s="115" t="e">
        <f t="shared" si="1032"/>
        <v>#DIV/0!</v>
      </c>
      <c r="R587" s="116" t="e">
        <f t="shared" si="1032"/>
        <v>#DIV/0!</v>
      </c>
      <c r="T587" s="91"/>
      <c r="U587" s="100"/>
      <c r="V587" s="111"/>
      <c r="W587" s="112" t="s">
        <v>103</v>
      </c>
      <c r="X587" s="113" t="e">
        <f t="shared" ref="X587:AK587" si="1033">X585/X583</f>
        <v>#DIV/0!</v>
      </c>
      <c r="Y587" s="113" t="e">
        <f t="shared" si="1033"/>
        <v>#DIV/0!</v>
      </c>
      <c r="Z587" s="113" t="e">
        <f t="shared" si="1033"/>
        <v>#DIV/0!</v>
      </c>
      <c r="AA587" s="113" t="e">
        <f t="shared" si="1033"/>
        <v>#DIV/0!</v>
      </c>
      <c r="AB587" s="113" t="e">
        <f t="shared" si="1033"/>
        <v>#DIV/0!</v>
      </c>
      <c r="AC587" s="113" t="e">
        <f t="shared" si="1033"/>
        <v>#DIV/0!</v>
      </c>
      <c r="AD587" s="113" t="e">
        <f t="shared" si="1033"/>
        <v>#DIV/0!</v>
      </c>
      <c r="AE587" s="113" t="e">
        <f t="shared" si="1033"/>
        <v>#DIV/0!</v>
      </c>
      <c r="AF587" s="113" t="e">
        <f t="shared" si="1033"/>
        <v>#DIV/0!</v>
      </c>
      <c r="AG587" s="113" t="e">
        <f t="shared" si="1033"/>
        <v>#DIV/0!</v>
      </c>
      <c r="AH587" s="113" t="e">
        <f t="shared" si="1033"/>
        <v>#DIV/0!</v>
      </c>
      <c r="AI587" s="114" t="e">
        <f t="shared" si="1033"/>
        <v>#DIV/0!</v>
      </c>
      <c r="AJ587" s="115" t="e">
        <f t="shared" si="1033"/>
        <v>#DIV/0!</v>
      </c>
      <c r="AK587" s="116" t="e">
        <f t="shared" si="1033"/>
        <v>#DIV/0!</v>
      </c>
    </row>
    <row r="588" spans="1:38" ht="15.6" hidden="1" thickBot="1">
      <c r="A588" s="91"/>
      <c r="B588" s="100"/>
      <c r="C588" s="86"/>
      <c r="D588" s="87">
        <v>2019</v>
      </c>
      <c r="E588" s="88"/>
      <c r="F588" s="121"/>
      <c r="G588" s="121"/>
      <c r="H588" s="121"/>
      <c r="I588" s="121"/>
      <c r="J588" s="121"/>
      <c r="K588" s="121"/>
      <c r="L588" s="121"/>
      <c r="M588" s="122"/>
      <c r="N588" s="122"/>
      <c r="O588" s="122"/>
      <c r="P588" s="123"/>
      <c r="Q588" s="89">
        <f t="shared" ref="Q588:Q590" si="1034">SUM(E588:P588)</f>
        <v>0</v>
      </c>
      <c r="R588" s="90">
        <f t="shared" ref="R588" si="1035">SUM(E588:M588)</f>
        <v>0</v>
      </c>
      <c r="T588" s="91"/>
      <c r="U588" s="100"/>
      <c r="V588" s="86">
        <f t="shared" ref="V588:V589" si="1036">C588</f>
        <v>0</v>
      </c>
      <c r="W588" s="87">
        <v>2019</v>
      </c>
      <c r="X588" s="88"/>
      <c r="Y588" s="121"/>
      <c r="Z588" s="121"/>
      <c r="AA588" s="121"/>
      <c r="AB588" s="121"/>
      <c r="AC588" s="121"/>
      <c r="AD588" s="121"/>
      <c r="AE588" s="121"/>
      <c r="AF588" s="122"/>
      <c r="AG588" s="122"/>
      <c r="AH588" s="122"/>
      <c r="AI588" s="123"/>
      <c r="AJ588" s="89">
        <f t="shared" ref="AJ588:AJ590" si="1037">SUM(X588:AI588)</f>
        <v>0</v>
      </c>
      <c r="AK588" s="90">
        <f t="shared" ref="AK588:AK590" si="1038">SUM(X588:AF588)</f>
        <v>0</v>
      </c>
    </row>
    <row r="589" spans="1:38" ht="15.6" hidden="1" thickBot="1">
      <c r="A589" s="91"/>
      <c r="B589" s="100"/>
      <c r="C589" s="92"/>
      <c r="D589" s="93" t="s">
        <v>92</v>
      </c>
      <c r="E589" s="94"/>
      <c r="F589" s="97"/>
      <c r="G589" s="97"/>
      <c r="H589" s="97"/>
      <c r="I589" s="97"/>
      <c r="J589" s="97"/>
      <c r="K589" s="97"/>
      <c r="L589" s="97"/>
      <c r="M589" s="98"/>
      <c r="N589" s="98"/>
      <c r="O589" s="98"/>
      <c r="P589" s="99"/>
      <c r="Q589" s="95">
        <f t="shared" si="1034"/>
        <v>0</v>
      </c>
      <c r="R589" s="96">
        <f t="shared" si="929"/>
        <v>0</v>
      </c>
      <c r="T589" s="91"/>
      <c r="U589" s="100"/>
      <c r="V589" s="92">
        <f t="shared" si="1036"/>
        <v>0</v>
      </c>
      <c r="W589" s="93" t="s">
        <v>92</v>
      </c>
      <c r="X589" s="94"/>
      <c r="Y589" s="97"/>
      <c r="Z589" s="97"/>
      <c r="AA589" s="97"/>
      <c r="AB589" s="97"/>
      <c r="AC589" s="97"/>
      <c r="AD589" s="97"/>
      <c r="AE589" s="97"/>
      <c r="AF589" s="98"/>
      <c r="AG589" s="98"/>
      <c r="AH589" s="98"/>
      <c r="AI589" s="99"/>
      <c r="AJ589" s="95">
        <f t="shared" si="1037"/>
        <v>0</v>
      </c>
      <c r="AK589" s="96">
        <f t="shared" si="1038"/>
        <v>0</v>
      </c>
    </row>
    <row r="590" spans="1:38" ht="15.6" hidden="1" thickBot="1">
      <c r="A590" s="91"/>
      <c r="B590" s="100"/>
      <c r="C590" s="92"/>
      <c r="D590" s="101">
        <v>2020</v>
      </c>
      <c r="E590" s="102"/>
      <c r="F590" s="124"/>
      <c r="G590" s="124"/>
      <c r="H590" s="124"/>
      <c r="I590" s="124"/>
      <c r="J590" s="124"/>
      <c r="K590" s="124"/>
      <c r="L590" s="124"/>
      <c r="M590" s="125"/>
      <c r="N590" s="125"/>
      <c r="O590" s="125"/>
      <c r="P590" s="126"/>
      <c r="Q590" s="103">
        <f t="shared" si="1034"/>
        <v>0</v>
      </c>
      <c r="R590" s="104">
        <f t="shared" si="929"/>
        <v>0</v>
      </c>
      <c r="S590" s="105"/>
      <c r="T590" s="91"/>
      <c r="U590" s="100"/>
      <c r="V590" s="92"/>
      <c r="W590" s="101">
        <v>2020</v>
      </c>
      <c r="X590" s="102"/>
      <c r="Y590" s="124"/>
      <c r="Z590" s="124"/>
      <c r="AA590" s="124"/>
      <c r="AB590" s="124"/>
      <c r="AC590" s="124"/>
      <c r="AD590" s="124"/>
      <c r="AE590" s="124"/>
      <c r="AF590" s="125"/>
      <c r="AG590" s="125"/>
      <c r="AH590" s="125"/>
      <c r="AI590" s="126"/>
      <c r="AJ590" s="103">
        <f t="shared" si="1037"/>
        <v>0</v>
      </c>
      <c r="AK590" s="104">
        <f t="shared" si="1038"/>
        <v>0</v>
      </c>
      <c r="AL590" s="105"/>
    </row>
    <row r="591" spans="1:38" ht="15.6" hidden="1" thickBot="1">
      <c r="A591" s="91"/>
      <c r="B591" s="100"/>
      <c r="C591" s="92"/>
      <c r="D591" s="101" t="s">
        <v>102</v>
      </c>
      <c r="E591" s="106" t="e">
        <f t="shared" ref="E591:R591" si="1039">E590/E589</f>
        <v>#DIV/0!</v>
      </c>
      <c r="F591" s="106" t="e">
        <f t="shared" si="1039"/>
        <v>#DIV/0!</v>
      </c>
      <c r="G591" s="106" t="e">
        <f t="shared" si="1039"/>
        <v>#DIV/0!</v>
      </c>
      <c r="H591" s="106" t="e">
        <f t="shared" si="1039"/>
        <v>#DIV/0!</v>
      </c>
      <c r="I591" s="106" t="e">
        <f t="shared" si="1039"/>
        <v>#DIV/0!</v>
      </c>
      <c r="J591" s="106" t="e">
        <f t="shared" si="1039"/>
        <v>#DIV/0!</v>
      </c>
      <c r="K591" s="106" t="e">
        <f t="shared" si="1039"/>
        <v>#DIV/0!</v>
      </c>
      <c r="L591" s="106" t="e">
        <f t="shared" si="1039"/>
        <v>#DIV/0!</v>
      </c>
      <c r="M591" s="107" t="e">
        <f t="shared" si="1039"/>
        <v>#DIV/0!</v>
      </c>
      <c r="N591" s="107" t="e">
        <f t="shared" si="1039"/>
        <v>#DIV/0!</v>
      </c>
      <c r="O591" s="107" t="e">
        <f t="shared" si="1039"/>
        <v>#DIV/0!</v>
      </c>
      <c r="P591" s="108" t="e">
        <f t="shared" si="1039"/>
        <v>#DIV/0!</v>
      </c>
      <c r="Q591" s="109" t="e">
        <f t="shared" si="1039"/>
        <v>#DIV/0!</v>
      </c>
      <c r="R591" s="110" t="e">
        <f t="shared" si="1039"/>
        <v>#DIV/0!</v>
      </c>
      <c r="S591" s="105"/>
      <c r="T591" s="91"/>
      <c r="U591" s="100"/>
      <c r="V591" s="92"/>
      <c r="W591" s="101" t="s">
        <v>102</v>
      </c>
      <c r="X591" s="106" t="e">
        <f t="shared" ref="X591:AK591" si="1040">X590/X589</f>
        <v>#DIV/0!</v>
      </c>
      <c r="Y591" s="106" t="e">
        <f t="shared" si="1040"/>
        <v>#DIV/0!</v>
      </c>
      <c r="Z591" s="106" t="e">
        <f t="shared" si="1040"/>
        <v>#DIV/0!</v>
      </c>
      <c r="AA591" s="106" t="e">
        <f t="shared" si="1040"/>
        <v>#DIV/0!</v>
      </c>
      <c r="AB591" s="106" t="e">
        <f t="shared" si="1040"/>
        <v>#DIV/0!</v>
      </c>
      <c r="AC591" s="106" t="e">
        <f t="shared" si="1040"/>
        <v>#DIV/0!</v>
      </c>
      <c r="AD591" s="106" t="e">
        <f t="shared" si="1040"/>
        <v>#DIV/0!</v>
      </c>
      <c r="AE591" s="106" t="e">
        <f t="shared" si="1040"/>
        <v>#DIV/0!</v>
      </c>
      <c r="AF591" s="107" t="e">
        <f t="shared" si="1040"/>
        <v>#DIV/0!</v>
      </c>
      <c r="AG591" s="107" t="e">
        <f t="shared" si="1040"/>
        <v>#DIV/0!</v>
      </c>
      <c r="AH591" s="107" t="e">
        <f t="shared" si="1040"/>
        <v>#DIV/0!</v>
      </c>
      <c r="AI591" s="108" t="e">
        <f t="shared" si="1040"/>
        <v>#DIV/0!</v>
      </c>
      <c r="AJ591" s="109" t="e">
        <f t="shared" si="1040"/>
        <v>#DIV/0!</v>
      </c>
      <c r="AK591" s="110" t="e">
        <f t="shared" si="1040"/>
        <v>#DIV/0!</v>
      </c>
      <c r="AL591" s="105"/>
    </row>
    <row r="592" spans="1:38" ht="15.6" hidden="1" thickBot="1">
      <c r="A592" s="91"/>
      <c r="B592" s="100"/>
      <c r="C592" s="111"/>
      <c r="D592" s="112" t="s">
        <v>103</v>
      </c>
      <c r="E592" s="113" t="e">
        <f t="shared" ref="E592:R592" si="1041">E590/E588</f>
        <v>#DIV/0!</v>
      </c>
      <c r="F592" s="113" t="e">
        <f t="shared" si="1041"/>
        <v>#DIV/0!</v>
      </c>
      <c r="G592" s="113" t="e">
        <f t="shared" si="1041"/>
        <v>#DIV/0!</v>
      </c>
      <c r="H592" s="113" t="e">
        <f t="shared" si="1041"/>
        <v>#DIV/0!</v>
      </c>
      <c r="I592" s="113" t="e">
        <f t="shared" si="1041"/>
        <v>#DIV/0!</v>
      </c>
      <c r="J592" s="113" t="e">
        <f t="shared" si="1041"/>
        <v>#DIV/0!</v>
      </c>
      <c r="K592" s="113" t="e">
        <f t="shared" si="1041"/>
        <v>#DIV/0!</v>
      </c>
      <c r="L592" s="113" t="e">
        <f t="shared" si="1041"/>
        <v>#DIV/0!</v>
      </c>
      <c r="M592" s="113" t="e">
        <f t="shared" si="1041"/>
        <v>#DIV/0!</v>
      </c>
      <c r="N592" s="113" t="e">
        <f t="shared" si="1041"/>
        <v>#DIV/0!</v>
      </c>
      <c r="O592" s="113" t="e">
        <f t="shared" si="1041"/>
        <v>#DIV/0!</v>
      </c>
      <c r="P592" s="114" t="e">
        <f t="shared" si="1041"/>
        <v>#DIV/0!</v>
      </c>
      <c r="Q592" s="115" t="e">
        <f t="shared" si="1041"/>
        <v>#DIV/0!</v>
      </c>
      <c r="R592" s="116" t="e">
        <f t="shared" si="1041"/>
        <v>#DIV/0!</v>
      </c>
      <c r="T592" s="91"/>
      <c r="U592" s="100"/>
      <c r="V592" s="111"/>
      <c r="W592" s="112" t="s">
        <v>103</v>
      </c>
      <c r="X592" s="113" t="e">
        <f t="shared" ref="X592:AK592" si="1042">X590/X588</f>
        <v>#DIV/0!</v>
      </c>
      <c r="Y592" s="113" t="e">
        <f t="shared" si="1042"/>
        <v>#DIV/0!</v>
      </c>
      <c r="Z592" s="113" t="e">
        <f t="shared" si="1042"/>
        <v>#DIV/0!</v>
      </c>
      <c r="AA592" s="113" t="e">
        <f t="shared" si="1042"/>
        <v>#DIV/0!</v>
      </c>
      <c r="AB592" s="113" t="e">
        <f t="shared" si="1042"/>
        <v>#DIV/0!</v>
      </c>
      <c r="AC592" s="113" t="e">
        <f t="shared" si="1042"/>
        <v>#DIV/0!</v>
      </c>
      <c r="AD592" s="113" t="e">
        <f t="shared" si="1042"/>
        <v>#DIV/0!</v>
      </c>
      <c r="AE592" s="113" t="e">
        <f t="shared" si="1042"/>
        <v>#DIV/0!</v>
      </c>
      <c r="AF592" s="113" t="e">
        <f t="shared" si="1042"/>
        <v>#DIV/0!</v>
      </c>
      <c r="AG592" s="113" t="e">
        <f t="shared" si="1042"/>
        <v>#DIV/0!</v>
      </c>
      <c r="AH592" s="113" t="e">
        <f t="shared" si="1042"/>
        <v>#DIV/0!</v>
      </c>
      <c r="AI592" s="114" t="e">
        <f t="shared" si="1042"/>
        <v>#DIV/0!</v>
      </c>
      <c r="AJ592" s="115" t="e">
        <f t="shared" si="1042"/>
        <v>#DIV/0!</v>
      </c>
      <c r="AK592" s="116" t="e">
        <f t="shared" si="1042"/>
        <v>#DIV/0!</v>
      </c>
    </row>
    <row r="593" spans="1:38" ht="15.6" hidden="1" thickBot="1">
      <c r="A593" s="91"/>
      <c r="B593" s="100"/>
      <c r="C593" s="86" t="s">
        <v>116</v>
      </c>
      <c r="D593" s="87">
        <v>2019</v>
      </c>
      <c r="E593" s="88"/>
      <c r="F593" s="121"/>
      <c r="G593" s="121"/>
      <c r="H593" s="121"/>
      <c r="I593" s="121"/>
      <c r="J593" s="121"/>
      <c r="K593" s="121"/>
      <c r="L593" s="121"/>
      <c r="M593" s="122"/>
      <c r="N593" s="122"/>
      <c r="O593" s="122"/>
      <c r="P593" s="123"/>
      <c r="Q593" s="89">
        <f t="shared" ref="Q593:Q595" si="1043">SUM(E593:P593)</f>
        <v>0</v>
      </c>
      <c r="R593" s="90">
        <f t="shared" ref="R593:R655" si="1044">SUM(E593:M593)</f>
        <v>0</v>
      </c>
      <c r="T593" s="91"/>
      <c r="U593" s="100"/>
      <c r="V593" s="86" t="str">
        <f t="shared" ref="V593:V594" si="1045">C593</f>
        <v>その他</v>
      </c>
      <c r="W593" s="87">
        <v>2019</v>
      </c>
      <c r="X593" s="88"/>
      <c r="Y593" s="121"/>
      <c r="Z593" s="121"/>
      <c r="AA593" s="121"/>
      <c r="AB593" s="121"/>
      <c r="AC593" s="121"/>
      <c r="AD593" s="121"/>
      <c r="AE593" s="121"/>
      <c r="AF593" s="122"/>
      <c r="AG593" s="122"/>
      <c r="AH593" s="122"/>
      <c r="AI593" s="123"/>
      <c r="AJ593" s="89">
        <f t="shared" ref="AJ593:AJ595" si="1046">SUM(X593:AI593)</f>
        <v>0</v>
      </c>
      <c r="AK593" s="90">
        <f t="shared" ref="AK593:AK595" si="1047">SUM(X593:AF593)</f>
        <v>0</v>
      </c>
    </row>
    <row r="594" spans="1:38" ht="15.6" hidden="1" thickBot="1">
      <c r="A594" s="91"/>
      <c r="B594" s="100"/>
      <c r="C594" s="92" t="s">
        <v>129</v>
      </c>
      <c r="D594" s="93" t="s">
        <v>92</v>
      </c>
      <c r="E594" s="94"/>
      <c r="F594" s="97"/>
      <c r="G594" s="97"/>
      <c r="H594" s="97"/>
      <c r="I594" s="97"/>
      <c r="J594" s="97"/>
      <c r="K594" s="97"/>
      <c r="L594" s="97"/>
      <c r="M594" s="98"/>
      <c r="N594" s="98"/>
      <c r="O594" s="98"/>
      <c r="P594" s="99"/>
      <c r="Q594" s="95">
        <f t="shared" si="1043"/>
        <v>0</v>
      </c>
      <c r="R594" s="96">
        <f t="shared" si="1044"/>
        <v>0</v>
      </c>
      <c r="T594" s="91"/>
      <c r="U594" s="100"/>
      <c r="V594" s="92" t="str">
        <f t="shared" si="1045"/>
        <v>Others</v>
      </c>
      <c r="W594" s="93" t="s">
        <v>92</v>
      </c>
      <c r="X594" s="94"/>
      <c r="Y594" s="97"/>
      <c r="Z594" s="97"/>
      <c r="AA594" s="97"/>
      <c r="AB594" s="97"/>
      <c r="AC594" s="97"/>
      <c r="AD594" s="97"/>
      <c r="AE594" s="97"/>
      <c r="AF594" s="98"/>
      <c r="AG594" s="98"/>
      <c r="AH594" s="98"/>
      <c r="AI594" s="99"/>
      <c r="AJ594" s="95">
        <f t="shared" si="1046"/>
        <v>0</v>
      </c>
      <c r="AK594" s="96">
        <f t="shared" si="1047"/>
        <v>0</v>
      </c>
    </row>
    <row r="595" spans="1:38" ht="15.6" hidden="1" thickBot="1">
      <c r="A595" s="91"/>
      <c r="B595" s="100"/>
      <c r="C595" s="92"/>
      <c r="D595" s="101">
        <v>2020</v>
      </c>
      <c r="E595" s="102"/>
      <c r="F595" s="124"/>
      <c r="G595" s="124"/>
      <c r="H595" s="124"/>
      <c r="I595" s="124"/>
      <c r="J595" s="124"/>
      <c r="K595" s="124"/>
      <c r="L595" s="124"/>
      <c r="M595" s="125"/>
      <c r="N595" s="125"/>
      <c r="O595" s="125"/>
      <c r="P595" s="126"/>
      <c r="Q595" s="103">
        <f t="shared" si="1043"/>
        <v>0</v>
      </c>
      <c r="R595" s="104">
        <f t="shared" si="1044"/>
        <v>0</v>
      </c>
      <c r="S595" s="105"/>
      <c r="T595" s="91"/>
      <c r="U595" s="100"/>
      <c r="V595" s="92"/>
      <c r="W595" s="101">
        <v>2020</v>
      </c>
      <c r="X595" s="102"/>
      <c r="Y595" s="124"/>
      <c r="Z595" s="124"/>
      <c r="AA595" s="124"/>
      <c r="AB595" s="124"/>
      <c r="AC595" s="124"/>
      <c r="AD595" s="124"/>
      <c r="AE595" s="124"/>
      <c r="AF595" s="125"/>
      <c r="AG595" s="125"/>
      <c r="AH595" s="125"/>
      <c r="AI595" s="126"/>
      <c r="AJ595" s="103">
        <f t="shared" si="1046"/>
        <v>0</v>
      </c>
      <c r="AK595" s="104">
        <f t="shared" si="1047"/>
        <v>0</v>
      </c>
      <c r="AL595" s="105"/>
    </row>
    <row r="596" spans="1:38" ht="15.6" hidden="1" thickBot="1">
      <c r="A596" s="91"/>
      <c r="B596" s="100"/>
      <c r="C596" s="92"/>
      <c r="D596" s="101" t="s">
        <v>102</v>
      </c>
      <c r="E596" s="106" t="e">
        <f t="shared" ref="E596:R596" si="1048">E595/E594</f>
        <v>#DIV/0!</v>
      </c>
      <c r="F596" s="106" t="e">
        <f t="shared" si="1048"/>
        <v>#DIV/0!</v>
      </c>
      <c r="G596" s="106" t="e">
        <f t="shared" si="1048"/>
        <v>#DIV/0!</v>
      </c>
      <c r="H596" s="106" t="e">
        <f t="shared" si="1048"/>
        <v>#DIV/0!</v>
      </c>
      <c r="I596" s="106" t="e">
        <f t="shared" si="1048"/>
        <v>#DIV/0!</v>
      </c>
      <c r="J596" s="106" t="e">
        <f t="shared" si="1048"/>
        <v>#DIV/0!</v>
      </c>
      <c r="K596" s="106" t="e">
        <f t="shared" si="1048"/>
        <v>#DIV/0!</v>
      </c>
      <c r="L596" s="106" t="e">
        <f t="shared" si="1048"/>
        <v>#DIV/0!</v>
      </c>
      <c r="M596" s="107" t="e">
        <f t="shared" si="1048"/>
        <v>#DIV/0!</v>
      </c>
      <c r="N596" s="107" t="e">
        <f t="shared" si="1048"/>
        <v>#DIV/0!</v>
      </c>
      <c r="O596" s="107" t="e">
        <f t="shared" si="1048"/>
        <v>#DIV/0!</v>
      </c>
      <c r="P596" s="108" t="e">
        <f t="shared" si="1048"/>
        <v>#DIV/0!</v>
      </c>
      <c r="Q596" s="109" t="e">
        <f t="shared" si="1048"/>
        <v>#DIV/0!</v>
      </c>
      <c r="R596" s="110" t="e">
        <f t="shared" si="1048"/>
        <v>#DIV/0!</v>
      </c>
      <c r="S596" s="105"/>
      <c r="T596" s="91"/>
      <c r="U596" s="100"/>
      <c r="V596" s="92"/>
      <c r="W596" s="101" t="s">
        <v>102</v>
      </c>
      <c r="X596" s="106" t="e">
        <f t="shared" ref="X596:AK596" si="1049">X595/X594</f>
        <v>#DIV/0!</v>
      </c>
      <c r="Y596" s="106" t="e">
        <f t="shared" si="1049"/>
        <v>#DIV/0!</v>
      </c>
      <c r="Z596" s="106" t="e">
        <f t="shared" si="1049"/>
        <v>#DIV/0!</v>
      </c>
      <c r="AA596" s="106" t="e">
        <f t="shared" si="1049"/>
        <v>#DIV/0!</v>
      </c>
      <c r="AB596" s="106" t="e">
        <f t="shared" si="1049"/>
        <v>#DIV/0!</v>
      </c>
      <c r="AC596" s="106" t="e">
        <f t="shared" si="1049"/>
        <v>#DIV/0!</v>
      </c>
      <c r="AD596" s="106" t="e">
        <f t="shared" si="1049"/>
        <v>#DIV/0!</v>
      </c>
      <c r="AE596" s="106" t="e">
        <f t="shared" si="1049"/>
        <v>#DIV/0!</v>
      </c>
      <c r="AF596" s="107" t="e">
        <f t="shared" si="1049"/>
        <v>#DIV/0!</v>
      </c>
      <c r="AG596" s="107" t="e">
        <f t="shared" si="1049"/>
        <v>#DIV/0!</v>
      </c>
      <c r="AH596" s="107" t="e">
        <f t="shared" si="1049"/>
        <v>#DIV/0!</v>
      </c>
      <c r="AI596" s="108" t="e">
        <f t="shared" si="1049"/>
        <v>#DIV/0!</v>
      </c>
      <c r="AJ596" s="109" t="e">
        <f t="shared" si="1049"/>
        <v>#DIV/0!</v>
      </c>
      <c r="AK596" s="110" t="e">
        <f t="shared" si="1049"/>
        <v>#DIV/0!</v>
      </c>
      <c r="AL596" s="105"/>
    </row>
    <row r="597" spans="1:38" ht="15.6" hidden="1" thickBot="1">
      <c r="A597" s="91"/>
      <c r="B597" s="100"/>
      <c r="C597" s="111"/>
      <c r="D597" s="112" t="s">
        <v>103</v>
      </c>
      <c r="E597" s="113" t="e">
        <f t="shared" ref="E597:R597" si="1050">E595/E593</f>
        <v>#DIV/0!</v>
      </c>
      <c r="F597" s="113" t="e">
        <f t="shared" si="1050"/>
        <v>#DIV/0!</v>
      </c>
      <c r="G597" s="113" t="e">
        <f t="shared" si="1050"/>
        <v>#DIV/0!</v>
      </c>
      <c r="H597" s="113" t="e">
        <f t="shared" si="1050"/>
        <v>#DIV/0!</v>
      </c>
      <c r="I597" s="113" t="e">
        <f t="shared" si="1050"/>
        <v>#DIV/0!</v>
      </c>
      <c r="J597" s="113" t="e">
        <f t="shared" si="1050"/>
        <v>#DIV/0!</v>
      </c>
      <c r="K597" s="113" t="e">
        <f t="shared" si="1050"/>
        <v>#DIV/0!</v>
      </c>
      <c r="L597" s="113" t="e">
        <f t="shared" si="1050"/>
        <v>#DIV/0!</v>
      </c>
      <c r="M597" s="113" t="e">
        <f t="shared" si="1050"/>
        <v>#DIV/0!</v>
      </c>
      <c r="N597" s="113" t="e">
        <f t="shared" si="1050"/>
        <v>#DIV/0!</v>
      </c>
      <c r="O597" s="113" t="e">
        <f t="shared" si="1050"/>
        <v>#DIV/0!</v>
      </c>
      <c r="P597" s="114" t="e">
        <f t="shared" si="1050"/>
        <v>#DIV/0!</v>
      </c>
      <c r="Q597" s="115" t="e">
        <f t="shared" si="1050"/>
        <v>#DIV/0!</v>
      </c>
      <c r="R597" s="116" t="e">
        <f t="shared" si="1050"/>
        <v>#DIV/0!</v>
      </c>
      <c r="T597" s="91"/>
      <c r="U597" s="100"/>
      <c r="V597" s="111"/>
      <c r="W597" s="112" t="s">
        <v>103</v>
      </c>
      <c r="X597" s="113" t="e">
        <f t="shared" ref="X597:AK597" si="1051">X595/X593</f>
        <v>#DIV/0!</v>
      </c>
      <c r="Y597" s="113" t="e">
        <f t="shared" si="1051"/>
        <v>#DIV/0!</v>
      </c>
      <c r="Z597" s="113" t="e">
        <f t="shared" si="1051"/>
        <v>#DIV/0!</v>
      </c>
      <c r="AA597" s="113" t="e">
        <f t="shared" si="1051"/>
        <v>#DIV/0!</v>
      </c>
      <c r="AB597" s="113" t="e">
        <f t="shared" si="1051"/>
        <v>#DIV/0!</v>
      </c>
      <c r="AC597" s="113" t="e">
        <f t="shared" si="1051"/>
        <v>#DIV/0!</v>
      </c>
      <c r="AD597" s="113" t="e">
        <f t="shared" si="1051"/>
        <v>#DIV/0!</v>
      </c>
      <c r="AE597" s="113" t="e">
        <f t="shared" si="1051"/>
        <v>#DIV/0!</v>
      </c>
      <c r="AF597" s="113" t="e">
        <f t="shared" si="1051"/>
        <v>#DIV/0!</v>
      </c>
      <c r="AG597" s="113" t="e">
        <f t="shared" si="1051"/>
        <v>#DIV/0!</v>
      </c>
      <c r="AH597" s="113" t="e">
        <f t="shared" si="1051"/>
        <v>#DIV/0!</v>
      </c>
      <c r="AI597" s="114" t="e">
        <f t="shared" si="1051"/>
        <v>#DIV/0!</v>
      </c>
      <c r="AJ597" s="115" t="e">
        <f t="shared" si="1051"/>
        <v>#DIV/0!</v>
      </c>
      <c r="AK597" s="116" t="e">
        <f t="shared" si="1051"/>
        <v>#DIV/0!</v>
      </c>
    </row>
    <row r="598" spans="1:38" ht="15.6" hidden="1" thickBot="1">
      <c r="A598" s="91"/>
      <c r="B598" s="291" t="s">
        <v>155</v>
      </c>
      <c r="C598" s="292"/>
      <c r="D598" s="127">
        <v>2019</v>
      </c>
      <c r="E598" s="128">
        <f>SUM(E593,E588,E583,E578,E573,E568,E563,E558,E553,E548,E543,E538,E533,E528)</f>
        <v>0</v>
      </c>
      <c r="F598" s="129">
        <f t="shared" ref="F598:P598" si="1052">SUM(F593,F588,F583,F578,F573,F568,F563,F558,F553,F548,F543,F538,F533,F528)</f>
        <v>0</v>
      </c>
      <c r="G598" s="129">
        <f t="shared" si="1052"/>
        <v>0</v>
      </c>
      <c r="H598" s="129">
        <f t="shared" si="1052"/>
        <v>0</v>
      </c>
      <c r="I598" s="129">
        <f t="shared" si="1052"/>
        <v>0</v>
      </c>
      <c r="J598" s="129">
        <f t="shared" si="1052"/>
        <v>0</v>
      </c>
      <c r="K598" s="129">
        <f t="shared" si="1052"/>
        <v>0</v>
      </c>
      <c r="L598" s="129">
        <f t="shared" si="1052"/>
        <v>0</v>
      </c>
      <c r="M598" s="129">
        <f t="shared" si="1052"/>
        <v>0</v>
      </c>
      <c r="N598" s="129">
        <f t="shared" si="1052"/>
        <v>0</v>
      </c>
      <c r="O598" s="129">
        <f t="shared" si="1052"/>
        <v>0</v>
      </c>
      <c r="P598" s="130">
        <f t="shared" si="1052"/>
        <v>0</v>
      </c>
      <c r="Q598" s="131">
        <f>SUM(E598:P598)</f>
        <v>0</v>
      </c>
      <c r="R598" s="90">
        <f t="shared" ref="R598" si="1053">SUM(E598:M598)</f>
        <v>0</v>
      </c>
      <c r="T598" s="91"/>
      <c r="U598" s="297" t="s">
        <v>155</v>
      </c>
      <c r="V598" s="298"/>
      <c r="W598" s="132">
        <v>2019</v>
      </c>
      <c r="X598" s="133">
        <f>SUM(X593,X588,X583,X578,X573,X568,X563,X558,X553,X548,X543,X538,X533,X528)</f>
        <v>0</v>
      </c>
      <c r="Y598" s="134">
        <f t="shared" ref="Y598:AI598" si="1054">SUM(Y593,Y588,Y583,Y578,Y573,Y568,Y563,Y558,Y553,Y548,Y543,Y538,Y533,Y528)</f>
        <v>0</v>
      </c>
      <c r="Z598" s="134">
        <f t="shared" si="1054"/>
        <v>0</v>
      </c>
      <c r="AA598" s="134">
        <f t="shared" si="1054"/>
        <v>0</v>
      </c>
      <c r="AB598" s="134">
        <f t="shared" si="1054"/>
        <v>0</v>
      </c>
      <c r="AC598" s="134">
        <f t="shared" si="1054"/>
        <v>0</v>
      </c>
      <c r="AD598" s="134">
        <f t="shared" si="1054"/>
        <v>0</v>
      </c>
      <c r="AE598" s="134">
        <f t="shared" si="1054"/>
        <v>0</v>
      </c>
      <c r="AF598" s="134">
        <f t="shared" si="1054"/>
        <v>0</v>
      </c>
      <c r="AG598" s="134">
        <f t="shared" si="1054"/>
        <v>0</v>
      </c>
      <c r="AH598" s="134">
        <f t="shared" si="1054"/>
        <v>0</v>
      </c>
      <c r="AI598" s="135">
        <f t="shared" si="1054"/>
        <v>0</v>
      </c>
      <c r="AJ598" s="136">
        <f>SUM(X598:AI598)</f>
        <v>0</v>
      </c>
      <c r="AK598" s="90">
        <f t="shared" ref="AK598:AK600" si="1055">SUM(X598:AF598)</f>
        <v>0</v>
      </c>
    </row>
    <row r="599" spans="1:38" ht="15.6" hidden="1" thickBot="1">
      <c r="A599" s="91"/>
      <c r="B599" s="293"/>
      <c r="C599" s="294"/>
      <c r="D599" s="137" t="s">
        <v>92</v>
      </c>
      <c r="E599" s="138">
        <f t="shared" ref="E599:P600" si="1056">SUM(E594,E589,E584,E579,E574,E569,E564,E559,E554,E549,E544,E539,E534,E529)</f>
        <v>0</v>
      </c>
      <c r="F599" s="138">
        <f t="shared" si="1056"/>
        <v>0</v>
      </c>
      <c r="G599" s="138">
        <f t="shared" si="1056"/>
        <v>0</v>
      </c>
      <c r="H599" s="138">
        <f t="shared" si="1056"/>
        <v>0</v>
      </c>
      <c r="I599" s="138">
        <f t="shared" si="1056"/>
        <v>0</v>
      </c>
      <c r="J599" s="138">
        <f t="shared" si="1056"/>
        <v>0</v>
      </c>
      <c r="K599" s="138">
        <f t="shared" si="1056"/>
        <v>0</v>
      </c>
      <c r="L599" s="138">
        <f t="shared" si="1056"/>
        <v>0</v>
      </c>
      <c r="M599" s="138">
        <f t="shared" si="1056"/>
        <v>0</v>
      </c>
      <c r="N599" s="138">
        <f t="shared" si="1056"/>
        <v>0</v>
      </c>
      <c r="O599" s="138">
        <f t="shared" si="1056"/>
        <v>0</v>
      </c>
      <c r="P599" s="138">
        <f t="shared" si="1056"/>
        <v>0</v>
      </c>
      <c r="Q599" s="139">
        <f t="shared" ref="Q599:Q600" si="1057">SUM(E599:P599)</f>
        <v>0</v>
      </c>
      <c r="R599" s="96">
        <f t="shared" si="1044"/>
        <v>0</v>
      </c>
      <c r="T599" s="91"/>
      <c r="U599" s="299"/>
      <c r="V599" s="300"/>
      <c r="W599" s="140" t="s">
        <v>92</v>
      </c>
      <c r="X599" s="141">
        <f t="shared" ref="X599:AI600" si="1058">SUM(X594,X589,X584,X579,X574,X569,X564,X559,X554,X549,X544,X539,X534,X529)</f>
        <v>0</v>
      </c>
      <c r="Y599" s="141">
        <f t="shared" si="1058"/>
        <v>0</v>
      </c>
      <c r="Z599" s="141">
        <f t="shared" si="1058"/>
        <v>0</v>
      </c>
      <c r="AA599" s="141">
        <f t="shared" si="1058"/>
        <v>0</v>
      </c>
      <c r="AB599" s="141">
        <f t="shared" si="1058"/>
        <v>0</v>
      </c>
      <c r="AC599" s="141">
        <f t="shared" si="1058"/>
        <v>0</v>
      </c>
      <c r="AD599" s="141">
        <f t="shared" si="1058"/>
        <v>0</v>
      </c>
      <c r="AE599" s="141">
        <f t="shared" si="1058"/>
        <v>0</v>
      </c>
      <c r="AF599" s="141">
        <f t="shared" si="1058"/>
        <v>0</v>
      </c>
      <c r="AG599" s="141">
        <f t="shared" si="1058"/>
        <v>0</v>
      </c>
      <c r="AH599" s="141">
        <f t="shared" si="1058"/>
        <v>0</v>
      </c>
      <c r="AI599" s="141">
        <f t="shared" si="1058"/>
        <v>0</v>
      </c>
      <c r="AJ599" s="142">
        <f t="shared" ref="AJ599:AJ600" si="1059">SUM(X599:AI599)</f>
        <v>0</v>
      </c>
      <c r="AK599" s="96">
        <f t="shared" si="1055"/>
        <v>0</v>
      </c>
    </row>
    <row r="600" spans="1:38" ht="15.6" hidden="1" thickBot="1">
      <c r="A600" s="91"/>
      <c r="B600" s="293"/>
      <c r="C600" s="294"/>
      <c r="D600" s="143">
        <v>2020</v>
      </c>
      <c r="E600" s="144">
        <f>SUM(E595,E590,E585,E580,E575,E570,E565,E560,E555,E550,E545,E540,E535,E530)</f>
        <v>0</v>
      </c>
      <c r="F600" s="144">
        <f t="shared" si="1056"/>
        <v>0</v>
      </c>
      <c r="G600" s="144">
        <f t="shared" si="1056"/>
        <v>0</v>
      </c>
      <c r="H600" s="144">
        <f t="shared" si="1056"/>
        <v>0</v>
      </c>
      <c r="I600" s="144">
        <f t="shared" si="1056"/>
        <v>0</v>
      </c>
      <c r="J600" s="144">
        <f t="shared" si="1056"/>
        <v>0</v>
      </c>
      <c r="K600" s="144">
        <f t="shared" si="1056"/>
        <v>0</v>
      </c>
      <c r="L600" s="144">
        <f t="shared" si="1056"/>
        <v>0</v>
      </c>
      <c r="M600" s="144">
        <f t="shared" si="1056"/>
        <v>0</v>
      </c>
      <c r="N600" s="144">
        <f t="shared" si="1056"/>
        <v>0</v>
      </c>
      <c r="O600" s="144">
        <f t="shared" si="1056"/>
        <v>0</v>
      </c>
      <c r="P600" s="144">
        <f t="shared" si="1056"/>
        <v>0</v>
      </c>
      <c r="Q600" s="145">
        <f t="shared" si="1057"/>
        <v>0</v>
      </c>
      <c r="R600" s="104">
        <f t="shared" si="1044"/>
        <v>0</v>
      </c>
      <c r="S600" s="105"/>
      <c r="T600" s="91"/>
      <c r="U600" s="299"/>
      <c r="V600" s="300"/>
      <c r="W600" s="146">
        <v>2020</v>
      </c>
      <c r="X600" s="147">
        <f>SUM(X595,X590,X585,X580,X575,X570,X565,X560,X555,X550,X545,X540,X535,X530)</f>
        <v>0</v>
      </c>
      <c r="Y600" s="147">
        <f t="shared" si="1058"/>
        <v>0</v>
      </c>
      <c r="Z600" s="147">
        <f t="shared" si="1058"/>
        <v>0</v>
      </c>
      <c r="AA600" s="147">
        <f t="shared" si="1058"/>
        <v>0</v>
      </c>
      <c r="AB600" s="147">
        <f t="shared" si="1058"/>
        <v>0</v>
      </c>
      <c r="AC600" s="147">
        <f t="shared" si="1058"/>
        <v>0</v>
      </c>
      <c r="AD600" s="147">
        <f t="shared" si="1058"/>
        <v>0</v>
      </c>
      <c r="AE600" s="147">
        <f t="shared" si="1058"/>
        <v>0</v>
      </c>
      <c r="AF600" s="147">
        <f t="shared" si="1058"/>
        <v>0</v>
      </c>
      <c r="AG600" s="147">
        <f t="shared" si="1058"/>
        <v>0</v>
      </c>
      <c r="AH600" s="147">
        <f t="shared" si="1058"/>
        <v>0</v>
      </c>
      <c r="AI600" s="147">
        <f t="shared" si="1058"/>
        <v>0</v>
      </c>
      <c r="AJ600" s="148">
        <f t="shared" si="1059"/>
        <v>0</v>
      </c>
      <c r="AK600" s="104">
        <f t="shared" si="1055"/>
        <v>0</v>
      </c>
      <c r="AL600" s="105"/>
    </row>
    <row r="601" spans="1:38" ht="15.6" hidden="1" thickBot="1">
      <c r="A601" s="91"/>
      <c r="B601" s="293"/>
      <c r="C601" s="294"/>
      <c r="D601" s="143" t="s">
        <v>102</v>
      </c>
      <c r="E601" s="149" t="e">
        <f t="shared" ref="E601:R601" si="1060">E600/E599</f>
        <v>#DIV/0!</v>
      </c>
      <c r="F601" s="149" t="e">
        <f t="shared" si="1060"/>
        <v>#DIV/0!</v>
      </c>
      <c r="G601" s="149" t="e">
        <f t="shared" si="1060"/>
        <v>#DIV/0!</v>
      </c>
      <c r="H601" s="149" t="e">
        <f t="shared" si="1060"/>
        <v>#DIV/0!</v>
      </c>
      <c r="I601" s="149" t="e">
        <f t="shared" si="1060"/>
        <v>#DIV/0!</v>
      </c>
      <c r="J601" s="149" t="e">
        <f t="shared" si="1060"/>
        <v>#DIV/0!</v>
      </c>
      <c r="K601" s="149" t="e">
        <f t="shared" si="1060"/>
        <v>#DIV/0!</v>
      </c>
      <c r="L601" s="149" t="e">
        <f t="shared" si="1060"/>
        <v>#DIV/0!</v>
      </c>
      <c r="M601" s="149" t="e">
        <f t="shared" si="1060"/>
        <v>#DIV/0!</v>
      </c>
      <c r="N601" s="149" t="e">
        <f t="shared" si="1060"/>
        <v>#DIV/0!</v>
      </c>
      <c r="O601" s="149" t="e">
        <f t="shared" si="1060"/>
        <v>#DIV/0!</v>
      </c>
      <c r="P601" s="150" t="e">
        <f t="shared" si="1060"/>
        <v>#DIV/0!</v>
      </c>
      <c r="Q601" s="151" t="e">
        <f t="shared" si="1060"/>
        <v>#DIV/0!</v>
      </c>
      <c r="R601" s="104" t="e">
        <f t="shared" si="1060"/>
        <v>#DIV/0!</v>
      </c>
      <c r="S601" s="105"/>
      <c r="T601" s="91"/>
      <c r="U601" s="299"/>
      <c r="V601" s="300"/>
      <c r="W601" s="146" t="s">
        <v>102</v>
      </c>
      <c r="X601" s="152" t="e">
        <f t="shared" ref="X601:AK601" si="1061">X600/X599</f>
        <v>#DIV/0!</v>
      </c>
      <c r="Y601" s="152" t="e">
        <f t="shared" si="1061"/>
        <v>#DIV/0!</v>
      </c>
      <c r="Z601" s="152" t="e">
        <f t="shared" si="1061"/>
        <v>#DIV/0!</v>
      </c>
      <c r="AA601" s="152" t="e">
        <f t="shared" si="1061"/>
        <v>#DIV/0!</v>
      </c>
      <c r="AB601" s="152" t="e">
        <f t="shared" si="1061"/>
        <v>#DIV/0!</v>
      </c>
      <c r="AC601" s="152" t="e">
        <f t="shared" si="1061"/>
        <v>#DIV/0!</v>
      </c>
      <c r="AD601" s="152" t="e">
        <f t="shared" si="1061"/>
        <v>#DIV/0!</v>
      </c>
      <c r="AE601" s="152" t="e">
        <f t="shared" si="1061"/>
        <v>#DIV/0!</v>
      </c>
      <c r="AF601" s="152" t="e">
        <f t="shared" si="1061"/>
        <v>#DIV/0!</v>
      </c>
      <c r="AG601" s="152" t="e">
        <f t="shared" si="1061"/>
        <v>#DIV/0!</v>
      </c>
      <c r="AH601" s="152" t="e">
        <f t="shared" si="1061"/>
        <v>#DIV/0!</v>
      </c>
      <c r="AI601" s="153" t="e">
        <f t="shared" si="1061"/>
        <v>#DIV/0!</v>
      </c>
      <c r="AJ601" s="154" t="e">
        <f t="shared" si="1061"/>
        <v>#DIV/0!</v>
      </c>
      <c r="AK601" s="104" t="e">
        <f t="shared" si="1061"/>
        <v>#DIV/0!</v>
      </c>
      <c r="AL601" s="105"/>
    </row>
    <row r="602" spans="1:38" ht="15.6" hidden="1" thickBot="1">
      <c r="A602" s="155"/>
      <c r="B602" s="295"/>
      <c r="C602" s="296"/>
      <c r="D602" s="156" t="s">
        <v>103</v>
      </c>
      <c r="E602" s="165" t="e">
        <f t="shared" ref="E602:R602" si="1062">E600/E598</f>
        <v>#DIV/0!</v>
      </c>
      <c r="F602" s="165" t="e">
        <f t="shared" si="1062"/>
        <v>#DIV/0!</v>
      </c>
      <c r="G602" s="165" t="e">
        <f t="shared" si="1062"/>
        <v>#DIV/0!</v>
      </c>
      <c r="H602" s="165" t="e">
        <f t="shared" si="1062"/>
        <v>#DIV/0!</v>
      </c>
      <c r="I602" s="165" t="e">
        <f t="shared" si="1062"/>
        <v>#DIV/0!</v>
      </c>
      <c r="J602" s="165" t="e">
        <f t="shared" si="1062"/>
        <v>#DIV/0!</v>
      </c>
      <c r="K602" s="165" t="e">
        <f t="shared" si="1062"/>
        <v>#DIV/0!</v>
      </c>
      <c r="L602" s="165" t="e">
        <f t="shared" si="1062"/>
        <v>#DIV/0!</v>
      </c>
      <c r="M602" s="165" t="e">
        <f t="shared" si="1062"/>
        <v>#DIV/0!</v>
      </c>
      <c r="N602" s="165" t="e">
        <f t="shared" si="1062"/>
        <v>#DIV/0!</v>
      </c>
      <c r="O602" s="165" t="e">
        <f t="shared" si="1062"/>
        <v>#DIV/0!</v>
      </c>
      <c r="P602" s="166" t="e">
        <f t="shared" si="1062"/>
        <v>#DIV/0!</v>
      </c>
      <c r="Q602" s="167" t="e">
        <f t="shared" si="1062"/>
        <v>#DIV/0!</v>
      </c>
      <c r="R602" s="168" t="e">
        <f t="shared" si="1062"/>
        <v>#DIV/0!</v>
      </c>
      <c r="T602" s="155"/>
      <c r="U602" s="301"/>
      <c r="V602" s="302"/>
      <c r="W602" s="160" t="s">
        <v>103</v>
      </c>
      <c r="X602" s="169" t="e">
        <f t="shared" ref="X602:AK602" si="1063">X600/X598</f>
        <v>#DIV/0!</v>
      </c>
      <c r="Y602" s="169" t="e">
        <f t="shared" si="1063"/>
        <v>#DIV/0!</v>
      </c>
      <c r="Z602" s="169" t="e">
        <f t="shared" si="1063"/>
        <v>#DIV/0!</v>
      </c>
      <c r="AA602" s="169" t="e">
        <f t="shared" si="1063"/>
        <v>#DIV/0!</v>
      </c>
      <c r="AB602" s="169" t="e">
        <f t="shared" si="1063"/>
        <v>#DIV/0!</v>
      </c>
      <c r="AC602" s="169" t="e">
        <f t="shared" si="1063"/>
        <v>#DIV/0!</v>
      </c>
      <c r="AD602" s="169" t="e">
        <f t="shared" si="1063"/>
        <v>#DIV/0!</v>
      </c>
      <c r="AE602" s="169" t="e">
        <f t="shared" si="1063"/>
        <v>#DIV/0!</v>
      </c>
      <c r="AF602" s="169" t="e">
        <f t="shared" si="1063"/>
        <v>#DIV/0!</v>
      </c>
      <c r="AG602" s="169" t="e">
        <f t="shared" si="1063"/>
        <v>#DIV/0!</v>
      </c>
      <c r="AH602" s="169" t="e">
        <f t="shared" si="1063"/>
        <v>#DIV/0!</v>
      </c>
      <c r="AI602" s="170" t="e">
        <f t="shared" si="1063"/>
        <v>#DIV/0!</v>
      </c>
      <c r="AJ602" s="171" t="e">
        <f t="shared" si="1063"/>
        <v>#DIV/0!</v>
      </c>
      <c r="AK602" s="168" t="e">
        <f t="shared" si="1063"/>
        <v>#DIV/0!</v>
      </c>
    </row>
    <row r="603" spans="1:38" ht="15.6" hidden="1" thickBot="1">
      <c r="A603" s="84" t="s">
        <v>120</v>
      </c>
      <c r="B603" s="85" t="s">
        <v>156</v>
      </c>
      <c r="C603" s="86" t="s">
        <v>122</v>
      </c>
      <c r="D603" s="87">
        <v>2019</v>
      </c>
      <c r="E603" s="88"/>
      <c r="F603" s="121"/>
      <c r="G603" s="121"/>
      <c r="H603" s="121"/>
      <c r="I603" s="121"/>
      <c r="J603" s="121"/>
      <c r="K603" s="121"/>
      <c r="L603" s="121"/>
      <c r="M603" s="122"/>
      <c r="N603" s="122"/>
      <c r="O603" s="122"/>
      <c r="P603" s="123"/>
      <c r="Q603" s="89">
        <f>SUM(E603:P603)</f>
        <v>0</v>
      </c>
      <c r="R603" s="90">
        <f t="shared" ref="R603" si="1064">SUM(E603:M603)</f>
        <v>0</v>
      </c>
      <c r="T603" s="84" t="s">
        <v>120</v>
      </c>
      <c r="U603" s="85" t="s">
        <v>156</v>
      </c>
      <c r="V603" s="86" t="str">
        <f>C603</f>
        <v>得意先名</v>
      </c>
      <c r="W603" s="87">
        <v>2019</v>
      </c>
      <c r="X603" s="88"/>
      <c r="Y603" s="121"/>
      <c r="Z603" s="121"/>
      <c r="AA603" s="121"/>
      <c r="AB603" s="121"/>
      <c r="AC603" s="121"/>
      <c r="AD603" s="121"/>
      <c r="AE603" s="121"/>
      <c r="AF603" s="122"/>
      <c r="AG603" s="122"/>
      <c r="AH603" s="122"/>
      <c r="AI603" s="123"/>
      <c r="AJ603" s="89">
        <f>SUM(X603:AI603)</f>
        <v>0</v>
      </c>
      <c r="AK603" s="90">
        <f t="shared" ref="AK603:AK605" si="1065">SUM(X603:AF603)</f>
        <v>0</v>
      </c>
    </row>
    <row r="604" spans="1:38" ht="15.6" hidden="1" thickBot="1">
      <c r="A604" s="91"/>
      <c r="B604" s="175" t="s">
        <v>157</v>
      </c>
      <c r="C604" s="92" t="s">
        <v>124</v>
      </c>
      <c r="D604" s="93" t="s">
        <v>92</v>
      </c>
      <c r="E604" s="94"/>
      <c r="F604" s="97"/>
      <c r="G604" s="97"/>
      <c r="H604" s="97"/>
      <c r="I604" s="97"/>
      <c r="J604" s="97"/>
      <c r="K604" s="97"/>
      <c r="L604" s="97"/>
      <c r="M604" s="98"/>
      <c r="N604" s="98"/>
      <c r="O604" s="98"/>
      <c r="P604" s="99"/>
      <c r="Q604" s="95">
        <f>SUM(E604:P604)</f>
        <v>0</v>
      </c>
      <c r="R604" s="96">
        <f t="shared" si="1044"/>
        <v>0</v>
      </c>
      <c r="T604" s="91"/>
      <c r="U604" s="175" t="s">
        <v>157</v>
      </c>
      <c r="V604" s="92" t="str">
        <f>C604</f>
        <v>得意先名（英語）</v>
      </c>
      <c r="W604" s="93" t="s">
        <v>92</v>
      </c>
      <c r="X604" s="94"/>
      <c r="Y604" s="97"/>
      <c r="Z604" s="97"/>
      <c r="AA604" s="97"/>
      <c r="AB604" s="97"/>
      <c r="AC604" s="97"/>
      <c r="AD604" s="97"/>
      <c r="AE604" s="97"/>
      <c r="AF604" s="98"/>
      <c r="AG604" s="98"/>
      <c r="AH604" s="98"/>
      <c r="AI604" s="99"/>
      <c r="AJ604" s="95">
        <f>SUM(X604:AI604)</f>
        <v>0</v>
      </c>
      <c r="AK604" s="96">
        <f t="shared" si="1065"/>
        <v>0</v>
      </c>
    </row>
    <row r="605" spans="1:38" ht="15.6" hidden="1" thickBot="1">
      <c r="A605" s="91"/>
      <c r="B605" s="100"/>
      <c r="C605" s="92"/>
      <c r="D605" s="101">
        <v>2020</v>
      </c>
      <c r="E605" s="102"/>
      <c r="F605" s="124"/>
      <c r="G605" s="124"/>
      <c r="H605" s="124"/>
      <c r="I605" s="124"/>
      <c r="J605" s="124"/>
      <c r="K605" s="124"/>
      <c r="L605" s="124"/>
      <c r="M605" s="125"/>
      <c r="N605" s="125"/>
      <c r="O605" s="125"/>
      <c r="P605" s="126"/>
      <c r="Q605" s="103">
        <f>SUM(E605:P605)</f>
        <v>0</v>
      </c>
      <c r="R605" s="104">
        <f t="shared" si="1044"/>
        <v>0</v>
      </c>
      <c r="S605" s="105"/>
      <c r="T605" s="91"/>
      <c r="U605" s="100"/>
      <c r="V605" s="92"/>
      <c r="W605" s="101">
        <v>2020</v>
      </c>
      <c r="X605" s="102"/>
      <c r="Y605" s="124"/>
      <c r="Z605" s="124"/>
      <c r="AA605" s="124"/>
      <c r="AB605" s="124"/>
      <c r="AC605" s="124"/>
      <c r="AD605" s="124"/>
      <c r="AE605" s="124"/>
      <c r="AF605" s="125"/>
      <c r="AG605" s="125"/>
      <c r="AH605" s="125"/>
      <c r="AI605" s="126"/>
      <c r="AJ605" s="103">
        <f>SUM(X605:AI605)</f>
        <v>0</v>
      </c>
      <c r="AK605" s="104">
        <f t="shared" si="1065"/>
        <v>0</v>
      </c>
      <c r="AL605" s="105"/>
    </row>
    <row r="606" spans="1:38" ht="15.6" hidden="1" thickBot="1">
      <c r="A606" s="91"/>
      <c r="B606" s="100"/>
      <c r="C606" s="92"/>
      <c r="D606" s="101" t="s">
        <v>102</v>
      </c>
      <c r="E606" s="106" t="e">
        <f>E605/E604</f>
        <v>#DIV/0!</v>
      </c>
      <c r="F606" s="106" t="e">
        <f t="shared" ref="F606:R606" si="1066">F605/F604</f>
        <v>#DIV/0!</v>
      </c>
      <c r="G606" s="106" t="e">
        <f t="shared" si="1066"/>
        <v>#DIV/0!</v>
      </c>
      <c r="H606" s="106" t="e">
        <f t="shared" si="1066"/>
        <v>#DIV/0!</v>
      </c>
      <c r="I606" s="106" t="e">
        <f t="shared" si="1066"/>
        <v>#DIV/0!</v>
      </c>
      <c r="J606" s="106" t="e">
        <f t="shared" si="1066"/>
        <v>#DIV/0!</v>
      </c>
      <c r="K606" s="106" t="e">
        <f t="shared" si="1066"/>
        <v>#DIV/0!</v>
      </c>
      <c r="L606" s="106" t="e">
        <f t="shared" si="1066"/>
        <v>#DIV/0!</v>
      </c>
      <c r="M606" s="107" t="e">
        <f t="shared" si="1066"/>
        <v>#DIV/0!</v>
      </c>
      <c r="N606" s="107" t="e">
        <f t="shared" si="1066"/>
        <v>#DIV/0!</v>
      </c>
      <c r="O606" s="107" t="e">
        <f t="shared" si="1066"/>
        <v>#DIV/0!</v>
      </c>
      <c r="P606" s="108" t="e">
        <f t="shared" si="1066"/>
        <v>#DIV/0!</v>
      </c>
      <c r="Q606" s="109" t="e">
        <f t="shared" si="1066"/>
        <v>#DIV/0!</v>
      </c>
      <c r="R606" s="110" t="e">
        <f t="shared" si="1066"/>
        <v>#DIV/0!</v>
      </c>
      <c r="S606" s="105"/>
      <c r="T606" s="91"/>
      <c r="U606" s="100"/>
      <c r="V606" s="92"/>
      <c r="W606" s="101" t="s">
        <v>102</v>
      </c>
      <c r="X606" s="106" t="e">
        <f>X605/X604</f>
        <v>#DIV/0!</v>
      </c>
      <c r="Y606" s="106" t="e">
        <f t="shared" ref="Y606:AK606" si="1067">Y605/Y604</f>
        <v>#DIV/0!</v>
      </c>
      <c r="Z606" s="106" t="e">
        <f t="shared" si="1067"/>
        <v>#DIV/0!</v>
      </c>
      <c r="AA606" s="106" t="e">
        <f t="shared" si="1067"/>
        <v>#DIV/0!</v>
      </c>
      <c r="AB606" s="106" t="e">
        <f t="shared" si="1067"/>
        <v>#DIV/0!</v>
      </c>
      <c r="AC606" s="106" t="e">
        <f t="shared" si="1067"/>
        <v>#DIV/0!</v>
      </c>
      <c r="AD606" s="106" t="e">
        <f t="shared" si="1067"/>
        <v>#DIV/0!</v>
      </c>
      <c r="AE606" s="106" t="e">
        <f t="shared" si="1067"/>
        <v>#DIV/0!</v>
      </c>
      <c r="AF606" s="107" t="e">
        <f t="shared" si="1067"/>
        <v>#DIV/0!</v>
      </c>
      <c r="AG606" s="107" t="e">
        <f t="shared" si="1067"/>
        <v>#DIV/0!</v>
      </c>
      <c r="AH606" s="107" t="e">
        <f t="shared" si="1067"/>
        <v>#DIV/0!</v>
      </c>
      <c r="AI606" s="108" t="e">
        <f t="shared" si="1067"/>
        <v>#DIV/0!</v>
      </c>
      <c r="AJ606" s="109" t="e">
        <f t="shared" si="1067"/>
        <v>#DIV/0!</v>
      </c>
      <c r="AK606" s="110" t="e">
        <f t="shared" si="1067"/>
        <v>#DIV/0!</v>
      </c>
      <c r="AL606" s="105"/>
    </row>
    <row r="607" spans="1:38" ht="15.6" hidden="1" thickBot="1">
      <c r="A607" s="91"/>
      <c r="B607" s="100"/>
      <c r="C607" s="111"/>
      <c r="D607" s="112" t="s">
        <v>103</v>
      </c>
      <c r="E607" s="113" t="e">
        <f>E605/E603</f>
        <v>#DIV/0!</v>
      </c>
      <c r="F607" s="113" t="e">
        <f t="shared" ref="F607:R607" si="1068">F605/F603</f>
        <v>#DIV/0!</v>
      </c>
      <c r="G607" s="113" t="e">
        <f t="shared" si="1068"/>
        <v>#DIV/0!</v>
      </c>
      <c r="H607" s="113" t="e">
        <f t="shared" si="1068"/>
        <v>#DIV/0!</v>
      </c>
      <c r="I607" s="113" t="e">
        <f t="shared" si="1068"/>
        <v>#DIV/0!</v>
      </c>
      <c r="J607" s="113" t="e">
        <f t="shared" si="1068"/>
        <v>#DIV/0!</v>
      </c>
      <c r="K607" s="113" t="e">
        <f t="shared" si="1068"/>
        <v>#DIV/0!</v>
      </c>
      <c r="L607" s="113" t="e">
        <f t="shared" si="1068"/>
        <v>#DIV/0!</v>
      </c>
      <c r="M607" s="113" t="e">
        <f t="shared" si="1068"/>
        <v>#DIV/0!</v>
      </c>
      <c r="N607" s="113" t="e">
        <f t="shared" si="1068"/>
        <v>#DIV/0!</v>
      </c>
      <c r="O607" s="113" t="e">
        <f t="shared" si="1068"/>
        <v>#DIV/0!</v>
      </c>
      <c r="P607" s="114" t="e">
        <f t="shared" si="1068"/>
        <v>#DIV/0!</v>
      </c>
      <c r="Q607" s="115" t="e">
        <f t="shared" si="1068"/>
        <v>#DIV/0!</v>
      </c>
      <c r="R607" s="116" t="e">
        <f t="shared" si="1068"/>
        <v>#DIV/0!</v>
      </c>
      <c r="T607" s="91"/>
      <c r="U607" s="100"/>
      <c r="V607" s="111"/>
      <c r="W607" s="112" t="s">
        <v>103</v>
      </c>
      <c r="X607" s="113" t="e">
        <f>X605/X603</f>
        <v>#DIV/0!</v>
      </c>
      <c r="Y607" s="113" t="e">
        <f t="shared" ref="Y607:AK607" si="1069">Y605/Y603</f>
        <v>#DIV/0!</v>
      </c>
      <c r="Z607" s="113" t="e">
        <f t="shared" si="1069"/>
        <v>#DIV/0!</v>
      </c>
      <c r="AA607" s="113" t="e">
        <f t="shared" si="1069"/>
        <v>#DIV/0!</v>
      </c>
      <c r="AB607" s="113" t="e">
        <f t="shared" si="1069"/>
        <v>#DIV/0!</v>
      </c>
      <c r="AC607" s="113" t="e">
        <f t="shared" si="1069"/>
        <v>#DIV/0!</v>
      </c>
      <c r="AD607" s="113" t="e">
        <f t="shared" si="1069"/>
        <v>#DIV/0!</v>
      </c>
      <c r="AE607" s="113" t="e">
        <f t="shared" si="1069"/>
        <v>#DIV/0!</v>
      </c>
      <c r="AF607" s="113" t="e">
        <f t="shared" si="1069"/>
        <v>#DIV/0!</v>
      </c>
      <c r="AG607" s="113" t="e">
        <f t="shared" si="1069"/>
        <v>#DIV/0!</v>
      </c>
      <c r="AH607" s="113" t="e">
        <f t="shared" si="1069"/>
        <v>#DIV/0!</v>
      </c>
      <c r="AI607" s="114" t="e">
        <f t="shared" si="1069"/>
        <v>#DIV/0!</v>
      </c>
      <c r="AJ607" s="115" t="e">
        <f t="shared" si="1069"/>
        <v>#DIV/0!</v>
      </c>
      <c r="AK607" s="116" t="e">
        <f t="shared" si="1069"/>
        <v>#DIV/0!</v>
      </c>
    </row>
    <row r="608" spans="1:38" ht="15.6" hidden="1" thickBot="1">
      <c r="A608" s="91"/>
      <c r="B608" s="100"/>
      <c r="C608" s="86"/>
      <c r="D608" s="87">
        <v>2019</v>
      </c>
      <c r="E608" s="88"/>
      <c r="F608" s="121"/>
      <c r="G608" s="121"/>
      <c r="H608" s="121"/>
      <c r="I608" s="121"/>
      <c r="J608" s="121"/>
      <c r="K608" s="121"/>
      <c r="L608" s="121"/>
      <c r="M608" s="122"/>
      <c r="N608" s="122"/>
      <c r="O608" s="122"/>
      <c r="P608" s="123"/>
      <c r="Q608" s="89">
        <f t="shared" ref="Q608:Q610" si="1070">SUM(E608:P608)</f>
        <v>0</v>
      </c>
      <c r="R608" s="90">
        <f t="shared" ref="R608" si="1071">SUM(E608:M608)</f>
        <v>0</v>
      </c>
      <c r="T608" s="91"/>
      <c r="U608" s="100"/>
      <c r="V608" s="86">
        <f t="shared" ref="V608:V609" si="1072">C608</f>
        <v>0</v>
      </c>
      <c r="W608" s="87">
        <v>2019</v>
      </c>
      <c r="X608" s="88"/>
      <c r="Y608" s="121"/>
      <c r="Z608" s="121"/>
      <c r="AA608" s="121"/>
      <c r="AB608" s="121"/>
      <c r="AC608" s="121"/>
      <c r="AD608" s="121"/>
      <c r="AE608" s="121"/>
      <c r="AF608" s="122"/>
      <c r="AG608" s="122"/>
      <c r="AH608" s="122"/>
      <c r="AI608" s="123"/>
      <c r="AJ608" s="89">
        <f t="shared" ref="AJ608:AJ610" si="1073">SUM(X608:AI608)</f>
        <v>0</v>
      </c>
      <c r="AK608" s="90">
        <f t="shared" ref="AK608:AK610" si="1074">SUM(X608:AF608)</f>
        <v>0</v>
      </c>
    </row>
    <row r="609" spans="1:38" ht="15.6" hidden="1" thickBot="1">
      <c r="A609" s="91"/>
      <c r="B609" s="100"/>
      <c r="C609" s="92"/>
      <c r="D609" s="93" t="s">
        <v>92</v>
      </c>
      <c r="E609" s="94"/>
      <c r="F609" s="97"/>
      <c r="G609" s="97"/>
      <c r="H609" s="97"/>
      <c r="I609" s="97"/>
      <c r="J609" s="97"/>
      <c r="K609" s="97"/>
      <c r="L609" s="97"/>
      <c r="M609" s="98"/>
      <c r="N609" s="98"/>
      <c r="O609" s="98"/>
      <c r="P609" s="99"/>
      <c r="Q609" s="95">
        <f t="shared" si="1070"/>
        <v>0</v>
      </c>
      <c r="R609" s="96">
        <f t="shared" si="1044"/>
        <v>0</v>
      </c>
      <c r="T609" s="91"/>
      <c r="U609" s="100"/>
      <c r="V609" s="92">
        <f t="shared" si="1072"/>
        <v>0</v>
      </c>
      <c r="W609" s="93" t="s">
        <v>92</v>
      </c>
      <c r="X609" s="94"/>
      <c r="Y609" s="97"/>
      <c r="Z609" s="97"/>
      <c r="AA609" s="97"/>
      <c r="AB609" s="97"/>
      <c r="AC609" s="97"/>
      <c r="AD609" s="97"/>
      <c r="AE609" s="97"/>
      <c r="AF609" s="98"/>
      <c r="AG609" s="98"/>
      <c r="AH609" s="98"/>
      <c r="AI609" s="99"/>
      <c r="AJ609" s="95">
        <f t="shared" si="1073"/>
        <v>0</v>
      </c>
      <c r="AK609" s="96">
        <f t="shared" si="1074"/>
        <v>0</v>
      </c>
    </row>
    <row r="610" spans="1:38" ht="15.6" hidden="1" thickBot="1">
      <c r="A610" s="91"/>
      <c r="B610" s="100"/>
      <c r="C610" s="92"/>
      <c r="D610" s="101">
        <v>2020</v>
      </c>
      <c r="E610" s="102"/>
      <c r="F610" s="124"/>
      <c r="G610" s="124"/>
      <c r="H610" s="124"/>
      <c r="I610" s="124"/>
      <c r="J610" s="124"/>
      <c r="K610" s="124"/>
      <c r="L610" s="124"/>
      <c r="M610" s="125"/>
      <c r="N610" s="125"/>
      <c r="O610" s="125"/>
      <c r="P610" s="126"/>
      <c r="Q610" s="103">
        <f t="shared" si="1070"/>
        <v>0</v>
      </c>
      <c r="R610" s="104">
        <f t="shared" si="1044"/>
        <v>0</v>
      </c>
      <c r="S610" s="105"/>
      <c r="T610" s="91"/>
      <c r="U610" s="100"/>
      <c r="V610" s="92"/>
      <c r="W610" s="101">
        <v>2020</v>
      </c>
      <c r="X610" s="102"/>
      <c r="Y610" s="124"/>
      <c r="Z610" s="124"/>
      <c r="AA610" s="124"/>
      <c r="AB610" s="124"/>
      <c r="AC610" s="124"/>
      <c r="AD610" s="124"/>
      <c r="AE610" s="124"/>
      <c r="AF610" s="125"/>
      <c r="AG610" s="125"/>
      <c r="AH610" s="125"/>
      <c r="AI610" s="126"/>
      <c r="AJ610" s="103">
        <f t="shared" si="1073"/>
        <v>0</v>
      </c>
      <c r="AK610" s="104">
        <f t="shared" si="1074"/>
        <v>0</v>
      </c>
      <c r="AL610" s="105"/>
    </row>
    <row r="611" spans="1:38" ht="15.6" hidden="1" thickBot="1">
      <c r="A611" s="91"/>
      <c r="B611" s="100"/>
      <c r="C611" s="92"/>
      <c r="D611" s="101" t="s">
        <v>102</v>
      </c>
      <c r="E611" s="106" t="e">
        <f t="shared" ref="E611:R611" si="1075">E610/E609</f>
        <v>#DIV/0!</v>
      </c>
      <c r="F611" s="106" t="e">
        <f t="shared" si="1075"/>
        <v>#DIV/0!</v>
      </c>
      <c r="G611" s="106" t="e">
        <f t="shared" si="1075"/>
        <v>#DIV/0!</v>
      </c>
      <c r="H611" s="106" t="e">
        <f t="shared" si="1075"/>
        <v>#DIV/0!</v>
      </c>
      <c r="I611" s="106" t="e">
        <f t="shared" si="1075"/>
        <v>#DIV/0!</v>
      </c>
      <c r="J611" s="106" t="e">
        <f t="shared" si="1075"/>
        <v>#DIV/0!</v>
      </c>
      <c r="K611" s="106" t="e">
        <f t="shared" si="1075"/>
        <v>#DIV/0!</v>
      </c>
      <c r="L611" s="106" t="e">
        <f t="shared" si="1075"/>
        <v>#DIV/0!</v>
      </c>
      <c r="M611" s="107" t="e">
        <f t="shared" si="1075"/>
        <v>#DIV/0!</v>
      </c>
      <c r="N611" s="107" t="e">
        <f t="shared" si="1075"/>
        <v>#DIV/0!</v>
      </c>
      <c r="O611" s="107" t="e">
        <f t="shared" si="1075"/>
        <v>#DIV/0!</v>
      </c>
      <c r="P611" s="108" t="e">
        <f t="shared" si="1075"/>
        <v>#DIV/0!</v>
      </c>
      <c r="Q611" s="109" t="e">
        <f t="shared" si="1075"/>
        <v>#DIV/0!</v>
      </c>
      <c r="R611" s="110" t="e">
        <f t="shared" si="1075"/>
        <v>#DIV/0!</v>
      </c>
      <c r="S611" s="105"/>
      <c r="T611" s="91"/>
      <c r="U611" s="100"/>
      <c r="V611" s="92"/>
      <c r="W611" s="101" t="s">
        <v>102</v>
      </c>
      <c r="X611" s="106" t="e">
        <f t="shared" ref="X611:AK611" si="1076">X610/X609</f>
        <v>#DIV/0!</v>
      </c>
      <c r="Y611" s="106" t="e">
        <f t="shared" si="1076"/>
        <v>#DIV/0!</v>
      </c>
      <c r="Z611" s="106" t="e">
        <f t="shared" si="1076"/>
        <v>#DIV/0!</v>
      </c>
      <c r="AA611" s="106" t="e">
        <f t="shared" si="1076"/>
        <v>#DIV/0!</v>
      </c>
      <c r="AB611" s="106" t="e">
        <f t="shared" si="1076"/>
        <v>#DIV/0!</v>
      </c>
      <c r="AC611" s="106" t="e">
        <f t="shared" si="1076"/>
        <v>#DIV/0!</v>
      </c>
      <c r="AD611" s="106" t="e">
        <f t="shared" si="1076"/>
        <v>#DIV/0!</v>
      </c>
      <c r="AE611" s="106" t="e">
        <f t="shared" si="1076"/>
        <v>#DIV/0!</v>
      </c>
      <c r="AF611" s="107" t="e">
        <f t="shared" si="1076"/>
        <v>#DIV/0!</v>
      </c>
      <c r="AG611" s="107" t="e">
        <f t="shared" si="1076"/>
        <v>#DIV/0!</v>
      </c>
      <c r="AH611" s="107" t="e">
        <f t="shared" si="1076"/>
        <v>#DIV/0!</v>
      </c>
      <c r="AI611" s="108" t="e">
        <f t="shared" si="1076"/>
        <v>#DIV/0!</v>
      </c>
      <c r="AJ611" s="109" t="e">
        <f t="shared" si="1076"/>
        <v>#DIV/0!</v>
      </c>
      <c r="AK611" s="110" t="e">
        <f t="shared" si="1076"/>
        <v>#DIV/0!</v>
      </c>
      <c r="AL611" s="105"/>
    </row>
    <row r="612" spans="1:38" ht="15.6" hidden="1" thickBot="1">
      <c r="A612" s="91"/>
      <c r="B612" s="100"/>
      <c r="C612" s="111"/>
      <c r="D612" s="112" t="s">
        <v>103</v>
      </c>
      <c r="E612" s="113" t="e">
        <f t="shared" ref="E612:R612" si="1077">E610/E608</f>
        <v>#DIV/0!</v>
      </c>
      <c r="F612" s="113" t="e">
        <f t="shared" si="1077"/>
        <v>#DIV/0!</v>
      </c>
      <c r="G612" s="113" t="e">
        <f t="shared" si="1077"/>
        <v>#DIV/0!</v>
      </c>
      <c r="H612" s="113" t="e">
        <f t="shared" si="1077"/>
        <v>#DIV/0!</v>
      </c>
      <c r="I612" s="113" t="e">
        <f t="shared" si="1077"/>
        <v>#DIV/0!</v>
      </c>
      <c r="J612" s="113" t="e">
        <f t="shared" si="1077"/>
        <v>#DIV/0!</v>
      </c>
      <c r="K612" s="113" t="e">
        <f t="shared" si="1077"/>
        <v>#DIV/0!</v>
      </c>
      <c r="L612" s="113" t="e">
        <f t="shared" si="1077"/>
        <v>#DIV/0!</v>
      </c>
      <c r="M612" s="113" t="e">
        <f t="shared" si="1077"/>
        <v>#DIV/0!</v>
      </c>
      <c r="N612" s="113" t="e">
        <f t="shared" si="1077"/>
        <v>#DIV/0!</v>
      </c>
      <c r="O612" s="113" t="e">
        <f t="shared" si="1077"/>
        <v>#DIV/0!</v>
      </c>
      <c r="P612" s="114" t="e">
        <f t="shared" si="1077"/>
        <v>#DIV/0!</v>
      </c>
      <c r="Q612" s="115" t="e">
        <f t="shared" si="1077"/>
        <v>#DIV/0!</v>
      </c>
      <c r="R612" s="116" t="e">
        <f t="shared" si="1077"/>
        <v>#DIV/0!</v>
      </c>
      <c r="T612" s="91"/>
      <c r="U612" s="100"/>
      <c r="V612" s="111"/>
      <c r="W612" s="112" t="s">
        <v>103</v>
      </c>
      <c r="X612" s="113" t="e">
        <f t="shared" ref="X612:AK612" si="1078">X610/X608</f>
        <v>#DIV/0!</v>
      </c>
      <c r="Y612" s="113" t="e">
        <f t="shared" si="1078"/>
        <v>#DIV/0!</v>
      </c>
      <c r="Z612" s="113" t="e">
        <f t="shared" si="1078"/>
        <v>#DIV/0!</v>
      </c>
      <c r="AA612" s="113" t="e">
        <f t="shared" si="1078"/>
        <v>#DIV/0!</v>
      </c>
      <c r="AB612" s="113" t="e">
        <f t="shared" si="1078"/>
        <v>#DIV/0!</v>
      </c>
      <c r="AC612" s="113" t="e">
        <f t="shared" si="1078"/>
        <v>#DIV/0!</v>
      </c>
      <c r="AD612" s="113" t="e">
        <f t="shared" si="1078"/>
        <v>#DIV/0!</v>
      </c>
      <c r="AE612" s="113" t="e">
        <f t="shared" si="1078"/>
        <v>#DIV/0!</v>
      </c>
      <c r="AF612" s="113" t="e">
        <f t="shared" si="1078"/>
        <v>#DIV/0!</v>
      </c>
      <c r="AG612" s="113" t="e">
        <f t="shared" si="1078"/>
        <v>#DIV/0!</v>
      </c>
      <c r="AH612" s="113" t="e">
        <f t="shared" si="1078"/>
        <v>#DIV/0!</v>
      </c>
      <c r="AI612" s="114" t="e">
        <f t="shared" si="1078"/>
        <v>#DIV/0!</v>
      </c>
      <c r="AJ612" s="115" t="e">
        <f t="shared" si="1078"/>
        <v>#DIV/0!</v>
      </c>
      <c r="AK612" s="116" t="e">
        <f t="shared" si="1078"/>
        <v>#DIV/0!</v>
      </c>
    </row>
    <row r="613" spans="1:38" ht="15.6" hidden="1" thickBot="1">
      <c r="A613" s="91"/>
      <c r="B613" s="100"/>
      <c r="C613" s="86"/>
      <c r="D613" s="87">
        <v>2019</v>
      </c>
      <c r="E613" s="88"/>
      <c r="F613" s="121"/>
      <c r="G613" s="121"/>
      <c r="H613" s="121"/>
      <c r="I613" s="121"/>
      <c r="J613" s="121"/>
      <c r="K613" s="121"/>
      <c r="L613" s="121"/>
      <c r="M613" s="122"/>
      <c r="N613" s="122"/>
      <c r="O613" s="122"/>
      <c r="P613" s="123"/>
      <c r="Q613" s="89">
        <f t="shared" ref="Q613:Q615" si="1079">SUM(E613:P613)</f>
        <v>0</v>
      </c>
      <c r="R613" s="90">
        <f t="shared" ref="R613" si="1080">SUM(E613:M613)</f>
        <v>0</v>
      </c>
      <c r="T613" s="91"/>
      <c r="U613" s="100"/>
      <c r="V613" s="86">
        <f t="shared" ref="V613:V614" si="1081">C613</f>
        <v>0</v>
      </c>
      <c r="W613" s="87">
        <v>2019</v>
      </c>
      <c r="X613" s="88"/>
      <c r="Y613" s="121"/>
      <c r="Z613" s="121"/>
      <c r="AA613" s="121"/>
      <c r="AB613" s="121"/>
      <c r="AC613" s="121"/>
      <c r="AD613" s="121"/>
      <c r="AE613" s="121"/>
      <c r="AF613" s="122"/>
      <c r="AG613" s="122"/>
      <c r="AH613" s="122"/>
      <c r="AI613" s="123"/>
      <c r="AJ613" s="89">
        <f t="shared" ref="AJ613:AJ615" si="1082">SUM(X613:AI613)</f>
        <v>0</v>
      </c>
      <c r="AK613" s="90">
        <f t="shared" ref="AK613:AK615" si="1083">SUM(X613:AF613)</f>
        <v>0</v>
      </c>
    </row>
    <row r="614" spans="1:38" ht="15.6" hidden="1" thickBot="1">
      <c r="A614" s="91"/>
      <c r="B614" s="100"/>
      <c r="C614" s="92"/>
      <c r="D614" s="93" t="s">
        <v>92</v>
      </c>
      <c r="E614" s="94"/>
      <c r="F614" s="97"/>
      <c r="G614" s="97"/>
      <c r="H614" s="97"/>
      <c r="I614" s="97"/>
      <c r="J614" s="97"/>
      <c r="K614" s="97"/>
      <c r="L614" s="97"/>
      <c r="M614" s="98"/>
      <c r="N614" s="98"/>
      <c r="O614" s="98"/>
      <c r="P614" s="99"/>
      <c r="Q614" s="95">
        <f t="shared" si="1079"/>
        <v>0</v>
      </c>
      <c r="R614" s="96">
        <f t="shared" si="1044"/>
        <v>0</v>
      </c>
      <c r="T614" s="91"/>
      <c r="U614" s="100"/>
      <c r="V614" s="92">
        <f t="shared" si="1081"/>
        <v>0</v>
      </c>
      <c r="W614" s="93" t="s">
        <v>92</v>
      </c>
      <c r="X614" s="94"/>
      <c r="Y614" s="97"/>
      <c r="Z614" s="97"/>
      <c r="AA614" s="97"/>
      <c r="AB614" s="97"/>
      <c r="AC614" s="97"/>
      <c r="AD614" s="97"/>
      <c r="AE614" s="97"/>
      <c r="AF614" s="98"/>
      <c r="AG614" s="98"/>
      <c r="AH614" s="98"/>
      <c r="AI614" s="99"/>
      <c r="AJ614" s="95">
        <f t="shared" si="1082"/>
        <v>0</v>
      </c>
      <c r="AK614" s="96">
        <f t="shared" si="1083"/>
        <v>0</v>
      </c>
    </row>
    <row r="615" spans="1:38" ht="15.6" hidden="1" thickBot="1">
      <c r="A615" s="91"/>
      <c r="B615" s="100"/>
      <c r="C615" s="92"/>
      <c r="D615" s="101">
        <v>2020</v>
      </c>
      <c r="E615" s="102"/>
      <c r="F615" s="124"/>
      <c r="G615" s="124"/>
      <c r="H615" s="124"/>
      <c r="I615" s="124"/>
      <c r="J615" s="124"/>
      <c r="K615" s="124"/>
      <c r="L615" s="124"/>
      <c r="M615" s="125"/>
      <c r="N615" s="125"/>
      <c r="O615" s="125"/>
      <c r="P615" s="126"/>
      <c r="Q615" s="103">
        <f t="shared" si="1079"/>
        <v>0</v>
      </c>
      <c r="R615" s="104">
        <f t="shared" si="1044"/>
        <v>0</v>
      </c>
      <c r="S615" s="105"/>
      <c r="T615" s="91"/>
      <c r="U615" s="100"/>
      <c r="V615" s="92"/>
      <c r="W615" s="101">
        <v>2020</v>
      </c>
      <c r="X615" s="102"/>
      <c r="Y615" s="124"/>
      <c r="Z615" s="124"/>
      <c r="AA615" s="124"/>
      <c r="AB615" s="124"/>
      <c r="AC615" s="124"/>
      <c r="AD615" s="124"/>
      <c r="AE615" s="124"/>
      <c r="AF615" s="125"/>
      <c r="AG615" s="125"/>
      <c r="AH615" s="125"/>
      <c r="AI615" s="126"/>
      <c r="AJ615" s="103">
        <f t="shared" si="1082"/>
        <v>0</v>
      </c>
      <c r="AK615" s="104">
        <f t="shared" si="1083"/>
        <v>0</v>
      </c>
      <c r="AL615" s="105"/>
    </row>
    <row r="616" spans="1:38" ht="15.6" hidden="1" thickBot="1">
      <c r="A616" s="91"/>
      <c r="B616" s="100"/>
      <c r="C616" s="92"/>
      <c r="D616" s="101" t="s">
        <v>102</v>
      </c>
      <c r="E616" s="106" t="e">
        <f t="shared" ref="E616:R616" si="1084">E615/E614</f>
        <v>#DIV/0!</v>
      </c>
      <c r="F616" s="106" t="e">
        <f t="shared" si="1084"/>
        <v>#DIV/0!</v>
      </c>
      <c r="G616" s="106" t="e">
        <f t="shared" si="1084"/>
        <v>#DIV/0!</v>
      </c>
      <c r="H616" s="106" t="e">
        <f t="shared" si="1084"/>
        <v>#DIV/0!</v>
      </c>
      <c r="I616" s="106" t="e">
        <f t="shared" si="1084"/>
        <v>#DIV/0!</v>
      </c>
      <c r="J616" s="106" t="e">
        <f t="shared" si="1084"/>
        <v>#DIV/0!</v>
      </c>
      <c r="K616" s="106" t="e">
        <f t="shared" si="1084"/>
        <v>#DIV/0!</v>
      </c>
      <c r="L616" s="106" t="e">
        <f t="shared" si="1084"/>
        <v>#DIV/0!</v>
      </c>
      <c r="M616" s="107" t="e">
        <f t="shared" si="1084"/>
        <v>#DIV/0!</v>
      </c>
      <c r="N616" s="107" t="e">
        <f t="shared" si="1084"/>
        <v>#DIV/0!</v>
      </c>
      <c r="O616" s="107" t="e">
        <f t="shared" si="1084"/>
        <v>#DIV/0!</v>
      </c>
      <c r="P616" s="108" t="e">
        <f t="shared" si="1084"/>
        <v>#DIV/0!</v>
      </c>
      <c r="Q616" s="109" t="e">
        <f t="shared" si="1084"/>
        <v>#DIV/0!</v>
      </c>
      <c r="R616" s="110" t="e">
        <f t="shared" si="1084"/>
        <v>#DIV/0!</v>
      </c>
      <c r="S616" s="105"/>
      <c r="T616" s="91"/>
      <c r="U616" s="100"/>
      <c r="V616" s="92"/>
      <c r="W616" s="101" t="s">
        <v>102</v>
      </c>
      <c r="X616" s="106" t="e">
        <f t="shared" ref="X616:AK616" si="1085">X615/X614</f>
        <v>#DIV/0!</v>
      </c>
      <c r="Y616" s="106" t="e">
        <f t="shared" si="1085"/>
        <v>#DIV/0!</v>
      </c>
      <c r="Z616" s="106" t="e">
        <f t="shared" si="1085"/>
        <v>#DIV/0!</v>
      </c>
      <c r="AA616" s="106" t="e">
        <f t="shared" si="1085"/>
        <v>#DIV/0!</v>
      </c>
      <c r="AB616" s="106" t="e">
        <f t="shared" si="1085"/>
        <v>#DIV/0!</v>
      </c>
      <c r="AC616" s="106" t="e">
        <f t="shared" si="1085"/>
        <v>#DIV/0!</v>
      </c>
      <c r="AD616" s="106" t="e">
        <f t="shared" si="1085"/>
        <v>#DIV/0!</v>
      </c>
      <c r="AE616" s="106" t="e">
        <f t="shared" si="1085"/>
        <v>#DIV/0!</v>
      </c>
      <c r="AF616" s="107" t="e">
        <f t="shared" si="1085"/>
        <v>#DIV/0!</v>
      </c>
      <c r="AG616" s="107" t="e">
        <f t="shared" si="1085"/>
        <v>#DIV/0!</v>
      </c>
      <c r="AH616" s="107" t="e">
        <f t="shared" si="1085"/>
        <v>#DIV/0!</v>
      </c>
      <c r="AI616" s="108" t="e">
        <f t="shared" si="1085"/>
        <v>#DIV/0!</v>
      </c>
      <c r="AJ616" s="109" t="e">
        <f t="shared" si="1085"/>
        <v>#DIV/0!</v>
      </c>
      <c r="AK616" s="110" t="e">
        <f t="shared" si="1085"/>
        <v>#DIV/0!</v>
      </c>
      <c r="AL616" s="105"/>
    </row>
    <row r="617" spans="1:38" ht="15.6" hidden="1" thickBot="1">
      <c r="A617" s="91"/>
      <c r="B617" s="100"/>
      <c r="C617" s="111"/>
      <c r="D617" s="112" t="s">
        <v>103</v>
      </c>
      <c r="E617" s="113" t="e">
        <f t="shared" ref="E617:R617" si="1086">E615/E613</f>
        <v>#DIV/0!</v>
      </c>
      <c r="F617" s="113" t="e">
        <f t="shared" si="1086"/>
        <v>#DIV/0!</v>
      </c>
      <c r="G617" s="113" t="e">
        <f t="shared" si="1086"/>
        <v>#DIV/0!</v>
      </c>
      <c r="H617" s="113" t="e">
        <f t="shared" si="1086"/>
        <v>#DIV/0!</v>
      </c>
      <c r="I617" s="113" t="e">
        <f t="shared" si="1086"/>
        <v>#DIV/0!</v>
      </c>
      <c r="J617" s="113" t="e">
        <f t="shared" si="1086"/>
        <v>#DIV/0!</v>
      </c>
      <c r="K617" s="113" t="e">
        <f t="shared" si="1086"/>
        <v>#DIV/0!</v>
      </c>
      <c r="L617" s="113" t="e">
        <f t="shared" si="1086"/>
        <v>#DIV/0!</v>
      </c>
      <c r="M617" s="113" t="e">
        <f t="shared" si="1086"/>
        <v>#DIV/0!</v>
      </c>
      <c r="N617" s="113" t="e">
        <f t="shared" si="1086"/>
        <v>#DIV/0!</v>
      </c>
      <c r="O617" s="113" t="e">
        <f t="shared" si="1086"/>
        <v>#DIV/0!</v>
      </c>
      <c r="P617" s="114" t="e">
        <f t="shared" si="1086"/>
        <v>#DIV/0!</v>
      </c>
      <c r="Q617" s="115" t="e">
        <f t="shared" si="1086"/>
        <v>#DIV/0!</v>
      </c>
      <c r="R617" s="116" t="e">
        <f t="shared" si="1086"/>
        <v>#DIV/0!</v>
      </c>
      <c r="T617" s="91"/>
      <c r="U617" s="100"/>
      <c r="V617" s="111"/>
      <c r="W617" s="112" t="s">
        <v>103</v>
      </c>
      <c r="X617" s="113" t="e">
        <f t="shared" ref="X617:AK617" si="1087">X615/X613</f>
        <v>#DIV/0!</v>
      </c>
      <c r="Y617" s="113" t="e">
        <f t="shared" si="1087"/>
        <v>#DIV/0!</v>
      </c>
      <c r="Z617" s="113" t="e">
        <f t="shared" si="1087"/>
        <v>#DIV/0!</v>
      </c>
      <c r="AA617" s="113" t="e">
        <f t="shared" si="1087"/>
        <v>#DIV/0!</v>
      </c>
      <c r="AB617" s="113" t="e">
        <f t="shared" si="1087"/>
        <v>#DIV/0!</v>
      </c>
      <c r="AC617" s="113" t="e">
        <f t="shared" si="1087"/>
        <v>#DIV/0!</v>
      </c>
      <c r="AD617" s="113" t="e">
        <f t="shared" si="1087"/>
        <v>#DIV/0!</v>
      </c>
      <c r="AE617" s="113" t="e">
        <f t="shared" si="1087"/>
        <v>#DIV/0!</v>
      </c>
      <c r="AF617" s="113" t="e">
        <f t="shared" si="1087"/>
        <v>#DIV/0!</v>
      </c>
      <c r="AG617" s="113" t="e">
        <f t="shared" si="1087"/>
        <v>#DIV/0!</v>
      </c>
      <c r="AH617" s="113" t="e">
        <f t="shared" si="1087"/>
        <v>#DIV/0!</v>
      </c>
      <c r="AI617" s="114" t="e">
        <f t="shared" si="1087"/>
        <v>#DIV/0!</v>
      </c>
      <c r="AJ617" s="115" t="e">
        <f t="shared" si="1087"/>
        <v>#DIV/0!</v>
      </c>
      <c r="AK617" s="116" t="e">
        <f t="shared" si="1087"/>
        <v>#DIV/0!</v>
      </c>
    </row>
    <row r="618" spans="1:38" ht="15.6" hidden="1" thickBot="1">
      <c r="A618" s="91"/>
      <c r="B618" s="100"/>
      <c r="C618" s="86"/>
      <c r="D618" s="87">
        <v>2019</v>
      </c>
      <c r="E618" s="88"/>
      <c r="F618" s="121"/>
      <c r="G618" s="121"/>
      <c r="H618" s="121"/>
      <c r="I618" s="121"/>
      <c r="J618" s="121"/>
      <c r="K618" s="121"/>
      <c r="L618" s="121"/>
      <c r="M618" s="122"/>
      <c r="N618" s="122"/>
      <c r="O618" s="122"/>
      <c r="P618" s="123"/>
      <c r="Q618" s="89">
        <f t="shared" ref="Q618:Q620" si="1088">SUM(E618:P618)</f>
        <v>0</v>
      </c>
      <c r="R618" s="90">
        <f t="shared" ref="R618" si="1089">SUM(E618:M618)</f>
        <v>0</v>
      </c>
      <c r="T618" s="91"/>
      <c r="U618" s="100"/>
      <c r="V618" s="86">
        <f t="shared" ref="V618:V619" si="1090">C618</f>
        <v>0</v>
      </c>
      <c r="W618" s="87">
        <v>2019</v>
      </c>
      <c r="X618" s="88"/>
      <c r="Y618" s="121"/>
      <c r="Z618" s="121"/>
      <c r="AA618" s="121"/>
      <c r="AB618" s="121"/>
      <c r="AC618" s="121"/>
      <c r="AD618" s="121"/>
      <c r="AE618" s="121"/>
      <c r="AF618" s="122"/>
      <c r="AG618" s="122"/>
      <c r="AH618" s="122"/>
      <c r="AI618" s="123"/>
      <c r="AJ618" s="89">
        <f t="shared" ref="AJ618:AJ620" si="1091">SUM(X618:AI618)</f>
        <v>0</v>
      </c>
      <c r="AK618" s="90">
        <f t="shared" ref="AK618:AK620" si="1092">SUM(X618:AF618)</f>
        <v>0</v>
      </c>
    </row>
    <row r="619" spans="1:38" ht="15.6" hidden="1" thickBot="1">
      <c r="A619" s="91"/>
      <c r="B619" s="100"/>
      <c r="C619" s="92"/>
      <c r="D619" s="93" t="s">
        <v>92</v>
      </c>
      <c r="E619" s="94"/>
      <c r="F619" s="97"/>
      <c r="G619" s="97"/>
      <c r="H619" s="97"/>
      <c r="I619" s="97"/>
      <c r="J619" s="97"/>
      <c r="K619" s="97"/>
      <c r="L619" s="97"/>
      <c r="M619" s="98"/>
      <c r="N619" s="98"/>
      <c r="O619" s="98"/>
      <c r="P619" s="99"/>
      <c r="Q619" s="95">
        <f t="shared" si="1088"/>
        <v>0</v>
      </c>
      <c r="R619" s="96">
        <f t="shared" si="1044"/>
        <v>0</v>
      </c>
      <c r="T619" s="91"/>
      <c r="U619" s="100"/>
      <c r="V619" s="92">
        <f t="shared" si="1090"/>
        <v>0</v>
      </c>
      <c r="W619" s="93" t="s">
        <v>92</v>
      </c>
      <c r="X619" s="94"/>
      <c r="Y619" s="97"/>
      <c r="Z619" s="97"/>
      <c r="AA619" s="97"/>
      <c r="AB619" s="97"/>
      <c r="AC619" s="97"/>
      <c r="AD619" s="97"/>
      <c r="AE619" s="97"/>
      <c r="AF619" s="98"/>
      <c r="AG619" s="98"/>
      <c r="AH619" s="98"/>
      <c r="AI619" s="99"/>
      <c r="AJ619" s="95">
        <f t="shared" si="1091"/>
        <v>0</v>
      </c>
      <c r="AK619" s="96">
        <f t="shared" si="1092"/>
        <v>0</v>
      </c>
    </row>
    <row r="620" spans="1:38" ht="15.6" hidden="1" thickBot="1">
      <c r="A620" s="91"/>
      <c r="B620" s="100"/>
      <c r="C620" s="92"/>
      <c r="D620" s="101">
        <v>2020</v>
      </c>
      <c r="E620" s="102"/>
      <c r="F620" s="124"/>
      <c r="G620" s="124"/>
      <c r="H620" s="124"/>
      <c r="I620" s="124"/>
      <c r="J620" s="124"/>
      <c r="K620" s="124"/>
      <c r="L620" s="124"/>
      <c r="M620" s="125"/>
      <c r="N620" s="125"/>
      <c r="O620" s="125"/>
      <c r="P620" s="126"/>
      <c r="Q620" s="103">
        <f t="shared" si="1088"/>
        <v>0</v>
      </c>
      <c r="R620" s="104">
        <f t="shared" si="1044"/>
        <v>0</v>
      </c>
      <c r="S620" s="105"/>
      <c r="T620" s="91"/>
      <c r="U620" s="100"/>
      <c r="V620" s="92"/>
      <c r="W620" s="101">
        <v>2020</v>
      </c>
      <c r="X620" s="102"/>
      <c r="Y620" s="124"/>
      <c r="Z620" s="124"/>
      <c r="AA620" s="124"/>
      <c r="AB620" s="124"/>
      <c r="AC620" s="124"/>
      <c r="AD620" s="124"/>
      <c r="AE620" s="124"/>
      <c r="AF620" s="125"/>
      <c r="AG620" s="125"/>
      <c r="AH620" s="125"/>
      <c r="AI620" s="126"/>
      <c r="AJ620" s="103">
        <f t="shared" si="1091"/>
        <v>0</v>
      </c>
      <c r="AK620" s="104">
        <f t="shared" si="1092"/>
        <v>0</v>
      </c>
      <c r="AL620" s="105"/>
    </row>
    <row r="621" spans="1:38" ht="15.6" hidden="1" thickBot="1">
      <c r="A621" s="91"/>
      <c r="B621" s="100"/>
      <c r="C621" s="92"/>
      <c r="D621" s="101" t="s">
        <v>102</v>
      </c>
      <c r="E621" s="106" t="e">
        <f t="shared" ref="E621:R621" si="1093">E620/E619</f>
        <v>#DIV/0!</v>
      </c>
      <c r="F621" s="106" t="e">
        <f t="shared" si="1093"/>
        <v>#DIV/0!</v>
      </c>
      <c r="G621" s="106" t="e">
        <f t="shared" si="1093"/>
        <v>#DIV/0!</v>
      </c>
      <c r="H621" s="106" t="e">
        <f t="shared" si="1093"/>
        <v>#DIV/0!</v>
      </c>
      <c r="I621" s="106" t="e">
        <f t="shared" si="1093"/>
        <v>#DIV/0!</v>
      </c>
      <c r="J621" s="106" t="e">
        <f t="shared" si="1093"/>
        <v>#DIV/0!</v>
      </c>
      <c r="K621" s="106" t="e">
        <f t="shared" si="1093"/>
        <v>#DIV/0!</v>
      </c>
      <c r="L621" s="106" t="e">
        <f t="shared" si="1093"/>
        <v>#DIV/0!</v>
      </c>
      <c r="M621" s="107" t="e">
        <f t="shared" si="1093"/>
        <v>#DIV/0!</v>
      </c>
      <c r="N621" s="107" t="e">
        <f t="shared" si="1093"/>
        <v>#DIV/0!</v>
      </c>
      <c r="O621" s="107" t="e">
        <f t="shared" si="1093"/>
        <v>#DIV/0!</v>
      </c>
      <c r="P621" s="108" t="e">
        <f t="shared" si="1093"/>
        <v>#DIV/0!</v>
      </c>
      <c r="Q621" s="109" t="e">
        <f t="shared" si="1093"/>
        <v>#DIV/0!</v>
      </c>
      <c r="R621" s="110" t="e">
        <f t="shared" si="1093"/>
        <v>#DIV/0!</v>
      </c>
      <c r="S621" s="105"/>
      <c r="T621" s="91"/>
      <c r="U621" s="100"/>
      <c r="V621" s="92"/>
      <c r="W621" s="101" t="s">
        <v>102</v>
      </c>
      <c r="X621" s="106" t="e">
        <f t="shared" ref="X621:AK621" si="1094">X620/X619</f>
        <v>#DIV/0!</v>
      </c>
      <c r="Y621" s="106" t="e">
        <f t="shared" si="1094"/>
        <v>#DIV/0!</v>
      </c>
      <c r="Z621" s="106" t="e">
        <f t="shared" si="1094"/>
        <v>#DIV/0!</v>
      </c>
      <c r="AA621" s="106" t="e">
        <f t="shared" si="1094"/>
        <v>#DIV/0!</v>
      </c>
      <c r="AB621" s="106" t="e">
        <f t="shared" si="1094"/>
        <v>#DIV/0!</v>
      </c>
      <c r="AC621" s="106" t="e">
        <f t="shared" si="1094"/>
        <v>#DIV/0!</v>
      </c>
      <c r="AD621" s="106" t="e">
        <f t="shared" si="1094"/>
        <v>#DIV/0!</v>
      </c>
      <c r="AE621" s="106" t="e">
        <f t="shared" si="1094"/>
        <v>#DIV/0!</v>
      </c>
      <c r="AF621" s="107" t="e">
        <f t="shared" si="1094"/>
        <v>#DIV/0!</v>
      </c>
      <c r="AG621" s="107" t="e">
        <f t="shared" si="1094"/>
        <v>#DIV/0!</v>
      </c>
      <c r="AH621" s="107" t="e">
        <f t="shared" si="1094"/>
        <v>#DIV/0!</v>
      </c>
      <c r="AI621" s="108" t="e">
        <f t="shared" si="1094"/>
        <v>#DIV/0!</v>
      </c>
      <c r="AJ621" s="109" t="e">
        <f t="shared" si="1094"/>
        <v>#DIV/0!</v>
      </c>
      <c r="AK621" s="110" t="e">
        <f t="shared" si="1094"/>
        <v>#DIV/0!</v>
      </c>
      <c r="AL621" s="105"/>
    </row>
    <row r="622" spans="1:38" ht="15.6" hidden="1" thickBot="1">
      <c r="A622" s="91"/>
      <c r="B622" s="100"/>
      <c r="C622" s="111"/>
      <c r="D622" s="112" t="s">
        <v>103</v>
      </c>
      <c r="E622" s="113" t="e">
        <f t="shared" ref="E622:R622" si="1095">E620/E618</f>
        <v>#DIV/0!</v>
      </c>
      <c r="F622" s="113" t="e">
        <f t="shared" si="1095"/>
        <v>#DIV/0!</v>
      </c>
      <c r="G622" s="113" t="e">
        <f t="shared" si="1095"/>
        <v>#DIV/0!</v>
      </c>
      <c r="H622" s="113" t="e">
        <f t="shared" si="1095"/>
        <v>#DIV/0!</v>
      </c>
      <c r="I622" s="113" t="e">
        <f t="shared" si="1095"/>
        <v>#DIV/0!</v>
      </c>
      <c r="J622" s="113" t="e">
        <f t="shared" si="1095"/>
        <v>#DIV/0!</v>
      </c>
      <c r="K622" s="113" t="e">
        <f t="shared" si="1095"/>
        <v>#DIV/0!</v>
      </c>
      <c r="L622" s="113" t="e">
        <f t="shared" si="1095"/>
        <v>#DIV/0!</v>
      </c>
      <c r="M622" s="113" t="e">
        <f t="shared" si="1095"/>
        <v>#DIV/0!</v>
      </c>
      <c r="N622" s="113" t="e">
        <f t="shared" si="1095"/>
        <v>#DIV/0!</v>
      </c>
      <c r="O622" s="113" t="e">
        <f t="shared" si="1095"/>
        <v>#DIV/0!</v>
      </c>
      <c r="P622" s="114" t="e">
        <f t="shared" si="1095"/>
        <v>#DIV/0!</v>
      </c>
      <c r="Q622" s="115" t="e">
        <f t="shared" si="1095"/>
        <v>#DIV/0!</v>
      </c>
      <c r="R622" s="116" t="e">
        <f t="shared" si="1095"/>
        <v>#DIV/0!</v>
      </c>
      <c r="T622" s="91"/>
      <c r="U622" s="100"/>
      <c r="V622" s="111"/>
      <c r="W622" s="112" t="s">
        <v>103</v>
      </c>
      <c r="X622" s="113" t="e">
        <f t="shared" ref="X622:AK622" si="1096">X620/X618</f>
        <v>#DIV/0!</v>
      </c>
      <c r="Y622" s="113" t="e">
        <f t="shared" si="1096"/>
        <v>#DIV/0!</v>
      </c>
      <c r="Z622" s="113" t="e">
        <f t="shared" si="1096"/>
        <v>#DIV/0!</v>
      </c>
      <c r="AA622" s="113" t="e">
        <f t="shared" si="1096"/>
        <v>#DIV/0!</v>
      </c>
      <c r="AB622" s="113" t="e">
        <f t="shared" si="1096"/>
        <v>#DIV/0!</v>
      </c>
      <c r="AC622" s="113" t="e">
        <f t="shared" si="1096"/>
        <v>#DIV/0!</v>
      </c>
      <c r="AD622" s="113" t="e">
        <f t="shared" si="1096"/>
        <v>#DIV/0!</v>
      </c>
      <c r="AE622" s="113" t="e">
        <f t="shared" si="1096"/>
        <v>#DIV/0!</v>
      </c>
      <c r="AF622" s="113" t="e">
        <f t="shared" si="1096"/>
        <v>#DIV/0!</v>
      </c>
      <c r="AG622" s="113" t="e">
        <f t="shared" si="1096"/>
        <v>#DIV/0!</v>
      </c>
      <c r="AH622" s="113" t="e">
        <f t="shared" si="1096"/>
        <v>#DIV/0!</v>
      </c>
      <c r="AI622" s="114" t="e">
        <f t="shared" si="1096"/>
        <v>#DIV/0!</v>
      </c>
      <c r="AJ622" s="115" t="e">
        <f t="shared" si="1096"/>
        <v>#DIV/0!</v>
      </c>
      <c r="AK622" s="116" t="e">
        <f t="shared" si="1096"/>
        <v>#DIV/0!</v>
      </c>
    </row>
    <row r="623" spans="1:38" ht="15.6" hidden="1" thickBot="1">
      <c r="A623" s="91"/>
      <c r="B623" s="100"/>
      <c r="C623" s="86"/>
      <c r="D623" s="87">
        <v>2019</v>
      </c>
      <c r="E623" s="88"/>
      <c r="F623" s="121"/>
      <c r="G623" s="121"/>
      <c r="H623" s="121"/>
      <c r="I623" s="121"/>
      <c r="J623" s="121"/>
      <c r="K623" s="121"/>
      <c r="L623" s="121"/>
      <c r="M623" s="122"/>
      <c r="N623" s="122"/>
      <c r="O623" s="122"/>
      <c r="P623" s="123"/>
      <c r="Q623" s="89">
        <f t="shared" ref="Q623:Q625" si="1097">SUM(E623:P623)</f>
        <v>0</v>
      </c>
      <c r="R623" s="90">
        <f t="shared" ref="R623" si="1098">SUM(E623:M623)</f>
        <v>0</v>
      </c>
      <c r="T623" s="91"/>
      <c r="U623" s="100"/>
      <c r="V623" s="86">
        <f t="shared" ref="V623:V624" si="1099">C623</f>
        <v>0</v>
      </c>
      <c r="W623" s="87">
        <v>2019</v>
      </c>
      <c r="X623" s="88"/>
      <c r="Y623" s="121"/>
      <c r="Z623" s="121"/>
      <c r="AA623" s="121"/>
      <c r="AB623" s="121"/>
      <c r="AC623" s="121"/>
      <c r="AD623" s="121"/>
      <c r="AE623" s="121"/>
      <c r="AF623" s="122"/>
      <c r="AG623" s="122"/>
      <c r="AH623" s="122"/>
      <c r="AI623" s="123"/>
      <c r="AJ623" s="89">
        <f t="shared" ref="AJ623:AJ625" si="1100">SUM(X623:AI623)</f>
        <v>0</v>
      </c>
      <c r="AK623" s="90">
        <f t="shared" ref="AK623:AK625" si="1101">SUM(X623:AF623)</f>
        <v>0</v>
      </c>
    </row>
    <row r="624" spans="1:38" ht="15.6" hidden="1" thickBot="1">
      <c r="A624" s="91"/>
      <c r="B624" s="100"/>
      <c r="C624" s="92"/>
      <c r="D624" s="93" t="s">
        <v>92</v>
      </c>
      <c r="E624" s="94"/>
      <c r="F624" s="97"/>
      <c r="G624" s="97"/>
      <c r="H624" s="97"/>
      <c r="I624" s="97"/>
      <c r="J624" s="97"/>
      <c r="K624" s="97"/>
      <c r="L624" s="97"/>
      <c r="M624" s="98"/>
      <c r="N624" s="98"/>
      <c r="O624" s="98"/>
      <c r="P624" s="99"/>
      <c r="Q624" s="95">
        <f t="shared" si="1097"/>
        <v>0</v>
      </c>
      <c r="R624" s="96">
        <f t="shared" si="1044"/>
        <v>0</v>
      </c>
      <c r="T624" s="91"/>
      <c r="U624" s="100"/>
      <c r="V624" s="92">
        <f t="shared" si="1099"/>
        <v>0</v>
      </c>
      <c r="W624" s="93" t="s">
        <v>92</v>
      </c>
      <c r="X624" s="94"/>
      <c r="Y624" s="97"/>
      <c r="Z624" s="97"/>
      <c r="AA624" s="97"/>
      <c r="AB624" s="97"/>
      <c r="AC624" s="97"/>
      <c r="AD624" s="97"/>
      <c r="AE624" s="97"/>
      <c r="AF624" s="98"/>
      <c r="AG624" s="98"/>
      <c r="AH624" s="98"/>
      <c r="AI624" s="99"/>
      <c r="AJ624" s="95">
        <f t="shared" si="1100"/>
        <v>0</v>
      </c>
      <c r="AK624" s="96">
        <f t="shared" si="1101"/>
        <v>0</v>
      </c>
    </row>
    <row r="625" spans="1:38" ht="15.6" hidden="1" thickBot="1">
      <c r="A625" s="91"/>
      <c r="B625" s="100"/>
      <c r="C625" s="92"/>
      <c r="D625" s="101">
        <v>2020</v>
      </c>
      <c r="E625" s="102"/>
      <c r="F625" s="124"/>
      <c r="G625" s="124"/>
      <c r="H625" s="124"/>
      <c r="I625" s="124"/>
      <c r="J625" s="124"/>
      <c r="K625" s="124"/>
      <c r="L625" s="124"/>
      <c r="M625" s="125"/>
      <c r="N625" s="125"/>
      <c r="O625" s="125"/>
      <c r="P625" s="126"/>
      <c r="Q625" s="103">
        <f t="shared" si="1097"/>
        <v>0</v>
      </c>
      <c r="R625" s="104">
        <f t="shared" si="1044"/>
        <v>0</v>
      </c>
      <c r="S625" s="105"/>
      <c r="T625" s="91"/>
      <c r="U625" s="100"/>
      <c r="V625" s="92"/>
      <c r="W625" s="101">
        <v>2020</v>
      </c>
      <c r="X625" s="102"/>
      <c r="Y625" s="124"/>
      <c r="Z625" s="124"/>
      <c r="AA625" s="124"/>
      <c r="AB625" s="124"/>
      <c r="AC625" s="124"/>
      <c r="AD625" s="124"/>
      <c r="AE625" s="124"/>
      <c r="AF625" s="125"/>
      <c r="AG625" s="125"/>
      <c r="AH625" s="125"/>
      <c r="AI625" s="126"/>
      <c r="AJ625" s="103">
        <f t="shared" si="1100"/>
        <v>0</v>
      </c>
      <c r="AK625" s="104">
        <f t="shared" si="1101"/>
        <v>0</v>
      </c>
      <c r="AL625" s="105"/>
    </row>
    <row r="626" spans="1:38" ht="15.6" hidden="1" thickBot="1">
      <c r="A626" s="91"/>
      <c r="B626" s="100"/>
      <c r="C626" s="92"/>
      <c r="D626" s="101" t="s">
        <v>102</v>
      </c>
      <c r="E626" s="106" t="e">
        <f t="shared" ref="E626:R626" si="1102">E625/E624</f>
        <v>#DIV/0!</v>
      </c>
      <c r="F626" s="106" t="e">
        <f t="shared" si="1102"/>
        <v>#DIV/0!</v>
      </c>
      <c r="G626" s="106" t="e">
        <f t="shared" si="1102"/>
        <v>#DIV/0!</v>
      </c>
      <c r="H626" s="106" t="e">
        <f t="shared" si="1102"/>
        <v>#DIV/0!</v>
      </c>
      <c r="I626" s="106" t="e">
        <f t="shared" si="1102"/>
        <v>#DIV/0!</v>
      </c>
      <c r="J626" s="106" t="e">
        <f t="shared" si="1102"/>
        <v>#DIV/0!</v>
      </c>
      <c r="K626" s="106" t="e">
        <f t="shared" si="1102"/>
        <v>#DIV/0!</v>
      </c>
      <c r="L626" s="106" t="e">
        <f t="shared" si="1102"/>
        <v>#DIV/0!</v>
      </c>
      <c r="M626" s="107" t="e">
        <f t="shared" si="1102"/>
        <v>#DIV/0!</v>
      </c>
      <c r="N626" s="107" t="e">
        <f t="shared" si="1102"/>
        <v>#DIV/0!</v>
      </c>
      <c r="O626" s="107" t="e">
        <f t="shared" si="1102"/>
        <v>#DIV/0!</v>
      </c>
      <c r="P626" s="108" t="e">
        <f t="shared" si="1102"/>
        <v>#DIV/0!</v>
      </c>
      <c r="Q626" s="109" t="e">
        <f t="shared" si="1102"/>
        <v>#DIV/0!</v>
      </c>
      <c r="R626" s="110" t="e">
        <f t="shared" si="1102"/>
        <v>#DIV/0!</v>
      </c>
      <c r="S626" s="105"/>
      <c r="T626" s="91"/>
      <c r="U626" s="100"/>
      <c r="V626" s="92"/>
      <c r="W626" s="101" t="s">
        <v>102</v>
      </c>
      <c r="X626" s="106" t="e">
        <f t="shared" ref="X626:AK626" si="1103">X625/X624</f>
        <v>#DIV/0!</v>
      </c>
      <c r="Y626" s="106" t="e">
        <f t="shared" si="1103"/>
        <v>#DIV/0!</v>
      </c>
      <c r="Z626" s="106" t="e">
        <f t="shared" si="1103"/>
        <v>#DIV/0!</v>
      </c>
      <c r="AA626" s="106" t="e">
        <f t="shared" si="1103"/>
        <v>#DIV/0!</v>
      </c>
      <c r="AB626" s="106" t="e">
        <f t="shared" si="1103"/>
        <v>#DIV/0!</v>
      </c>
      <c r="AC626" s="106" t="e">
        <f t="shared" si="1103"/>
        <v>#DIV/0!</v>
      </c>
      <c r="AD626" s="106" t="e">
        <f t="shared" si="1103"/>
        <v>#DIV/0!</v>
      </c>
      <c r="AE626" s="106" t="e">
        <f t="shared" si="1103"/>
        <v>#DIV/0!</v>
      </c>
      <c r="AF626" s="107" t="e">
        <f t="shared" si="1103"/>
        <v>#DIV/0!</v>
      </c>
      <c r="AG626" s="107" t="e">
        <f t="shared" si="1103"/>
        <v>#DIV/0!</v>
      </c>
      <c r="AH626" s="107" t="e">
        <f t="shared" si="1103"/>
        <v>#DIV/0!</v>
      </c>
      <c r="AI626" s="108" t="e">
        <f t="shared" si="1103"/>
        <v>#DIV/0!</v>
      </c>
      <c r="AJ626" s="109" t="e">
        <f t="shared" si="1103"/>
        <v>#DIV/0!</v>
      </c>
      <c r="AK626" s="110" t="e">
        <f t="shared" si="1103"/>
        <v>#DIV/0!</v>
      </c>
      <c r="AL626" s="105"/>
    </row>
    <row r="627" spans="1:38" ht="15.6" hidden="1" thickBot="1">
      <c r="A627" s="91"/>
      <c r="B627" s="100"/>
      <c r="C627" s="111"/>
      <c r="D627" s="112" t="s">
        <v>103</v>
      </c>
      <c r="E627" s="113" t="e">
        <f t="shared" ref="E627:R627" si="1104">E625/E623</f>
        <v>#DIV/0!</v>
      </c>
      <c r="F627" s="113" t="e">
        <f t="shared" si="1104"/>
        <v>#DIV/0!</v>
      </c>
      <c r="G627" s="113" t="e">
        <f t="shared" si="1104"/>
        <v>#DIV/0!</v>
      </c>
      <c r="H627" s="113" t="e">
        <f t="shared" si="1104"/>
        <v>#DIV/0!</v>
      </c>
      <c r="I627" s="113" t="e">
        <f t="shared" si="1104"/>
        <v>#DIV/0!</v>
      </c>
      <c r="J627" s="113" t="e">
        <f t="shared" si="1104"/>
        <v>#DIV/0!</v>
      </c>
      <c r="K627" s="113" t="e">
        <f t="shared" si="1104"/>
        <v>#DIV/0!</v>
      </c>
      <c r="L627" s="113" t="e">
        <f t="shared" si="1104"/>
        <v>#DIV/0!</v>
      </c>
      <c r="M627" s="113" t="e">
        <f t="shared" si="1104"/>
        <v>#DIV/0!</v>
      </c>
      <c r="N627" s="113" t="e">
        <f t="shared" si="1104"/>
        <v>#DIV/0!</v>
      </c>
      <c r="O627" s="113" t="e">
        <f t="shared" si="1104"/>
        <v>#DIV/0!</v>
      </c>
      <c r="P627" s="114" t="e">
        <f t="shared" si="1104"/>
        <v>#DIV/0!</v>
      </c>
      <c r="Q627" s="115" t="e">
        <f t="shared" si="1104"/>
        <v>#DIV/0!</v>
      </c>
      <c r="R627" s="116" t="e">
        <f t="shared" si="1104"/>
        <v>#DIV/0!</v>
      </c>
      <c r="T627" s="91"/>
      <c r="U627" s="100"/>
      <c r="V627" s="111"/>
      <c r="W627" s="112" t="s">
        <v>103</v>
      </c>
      <c r="X627" s="113" t="e">
        <f t="shared" ref="X627:AK627" si="1105">X625/X623</f>
        <v>#DIV/0!</v>
      </c>
      <c r="Y627" s="113" t="e">
        <f t="shared" si="1105"/>
        <v>#DIV/0!</v>
      </c>
      <c r="Z627" s="113" t="e">
        <f t="shared" si="1105"/>
        <v>#DIV/0!</v>
      </c>
      <c r="AA627" s="113" t="e">
        <f t="shared" si="1105"/>
        <v>#DIV/0!</v>
      </c>
      <c r="AB627" s="113" t="e">
        <f t="shared" si="1105"/>
        <v>#DIV/0!</v>
      </c>
      <c r="AC627" s="113" t="e">
        <f t="shared" si="1105"/>
        <v>#DIV/0!</v>
      </c>
      <c r="AD627" s="113" t="e">
        <f t="shared" si="1105"/>
        <v>#DIV/0!</v>
      </c>
      <c r="AE627" s="113" t="e">
        <f t="shared" si="1105"/>
        <v>#DIV/0!</v>
      </c>
      <c r="AF627" s="113" t="e">
        <f t="shared" si="1105"/>
        <v>#DIV/0!</v>
      </c>
      <c r="AG627" s="113" t="e">
        <f t="shared" si="1105"/>
        <v>#DIV/0!</v>
      </c>
      <c r="AH627" s="113" t="e">
        <f t="shared" si="1105"/>
        <v>#DIV/0!</v>
      </c>
      <c r="AI627" s="114" t="e">
        <f t="shared" si="1105"/>
        <v>#DIV/0!</v>
      </c>
      <c r="AJ627" s="115" t="e">
        <f t="shared" si="1105"/>
        <v>#DIV/0!</v>
      </c>
      <c r="AK627" s="116" t="e">
        <f t="shared" si="1105"/>
        <v>#DIV/0!</v>
      </c>
    </row>
    <row r="628" spans="1:38" ht="15.6" hidden="1" thickBot="1">
      <c r="A628" s="91"/>
      <c r="B628" s="100"/>
      <c r="C628" s="86"/>
      <c r="D628" s="87">
        <v>2019</v>
      </c>
      <c r="E628" s="88"/>
      <c r="F628" s="121"/>
      <c r="G628" s="121"/>
      <c r="H628" s="121"/>
      <c r="I628" s="121"/>
      <c r="J628" s="121"/>
      <c r="K628" s="121"/>
      <c r="L628" s="121"/>
      <c r="M628" s="122"/>
      <c r="N628" s="122"/>
      <c r="O628" s="122"/>
      <c r="P628" s="123"/>
      <c r="Q628" s="89">
        <f t="shared" ref="Q628:Q630" si="1106">SUM(E628:P628)</f>
        <v>0</v>
      </c>
      <c r="R628" s="90">
        <f t="shared" ref="R628" si="1107">SUM(E628:M628)</f>
        <v>0</v>
      </c>
      <c r="T628" s="91"/>
      <c r="U628" s="100"/>
      <c r="V628" s="86">
        <f t="shared" ref="V628:V629" si="1108">C628</f>
        <v>0</v>
      </c>
      <c r="W628" s="87">
        <v>2019</v>
      </c>
      <c r="X628" s="88"/>
      <c r="Y628" s="121"/>
      <c r="Z628" s="121"/>
      <c r="AA628" s="121"/>
      <c r="AB628" s="121"/>
      <c r="AC628" s="121"/>
      <c r="AD628" s="121"/>
      <c r="AE628" s="121"/>
      <c r="AF628" s="122"/>
      <c r="AG628" s="122"/>
      <c r="AH628" s="122"/>
      <c r="AI628" s="123"/>
      <c r="AJ628" s="89">
        <f t="shared" ref="AJ628:AJ630" si="1109">SUM(X628:AI628)</f>
        <v>0</v>
      </c>
      <c r="AK628" s="90">
        <f t="shared" ref="AK628:AK630" si="1110">SUM(X628:AF628)</f>
        <v>0</v>
      </c>
    </row>
    <row r="629" spans="1:38" ht="15.6" hidden="1" thickBot="1">
      <c r="A629" s="91"/>
      <c r="B629" s="100"/>
      <c r="C629" s="92"/>
      <c r="D629" s="93" t="s">
        <v>92</v>
      </c>
      <c r="E629" s="94"/>
      <c r="F629" s="97"/>
      <c r="G629" s="97"/>
      <c r="H629" s="97"/>
      <c r="I629" s="97"/>
      <c r="J629" s="97"/>
      <c r="K629" s="97"/>
      <c r="L629" s="97"/>
      <c r="M629" s="98"/>
      <c r="N629" s="98"/>
      <c r="O629" s="98"/>
      <c r="P629" s="99"/>
      <c r="Q629" s="95">
        <f t="shared" si="1106"/>
        <v>0</v>
      </c>
      <c r="R629" s="96">
        <f t="shared" si="1044"/>
        <v>0</v>
      </c>
      <c r="T629" s="91"/>
      <c r="U629" s="100"/>
      <c r="V629" s="92">
        <f t="shared" si="1108"/>
        <v>0</v>
      </c>
      <c r="W629" s="93" t="s">
        <v>92</v>
      </c>
      <c r="X629" s="94"/>
      <c r="Y629" s="97"/>
      <c r="Z629" s="97"/>
      <c r="AA629" s="97"/>
      <c r="AB629" s="97"/>
      <c r="AC629" s="97"/>
      <c r="AD629" s="97"/>
      <c r="AE629" s="97"/>
      <c r="AF629" s="98"/>
      <c r="AG629" s="98"/>
      <c r="AH629" s="98"/>
      <c r="AI629" s="99"/>
      <c r="AJ629" s="95">
        <f t="shared" si="1109"/>
        <v>0</v>
      </c>
      <c r="AK629" s="96">
        <f t="shared" si="1110"/>
        <v>0</v>
      </c>
    </row>
    <row r="630" spans="1:38" ht="15.6" hidden="1" thickBot="1">
      <c r="A630" s="91"/>
      <c r="B630" s="100"/>
      <c r="C630" s="92"/>
      <c r="D630" s="101">
        <v>2020</v>
      </c>
      <c r="E630" s="102"/>
      <c r="F630" s="124"/>
      <c r="G630" s="124"/>
      <c r="H630" s="124"/>
      <c r="I630" s="124"/>
      <c r="J630" s="124"/>
      <c r="K630" s="124"/>
      <c r="L630" s="124"/>
      <c r="M630" s="125"/>
      <c r="N630" s="125"/>
      <c r="O630" s="125"/>
      <c r="P630" s="126"/>
      <c r="Q630" s="103">
        <f t="shared" si="1106"/>
        <v>0</v>
      </c>
      <c r="R630" s="104">
        <f t="shared" si="1044"/>
        <v>0</v>
      </c>
      <c r="S630" s="105"/>
      <c r="T630" s="91"/>
      <c r="U630" s="100"/>
      <c r="V630" s="92"/>
      <c r="W630" s="101">
        <v>2020</v>
      </c>
      <c r="X630" s="102"/>
      <c r="Y630" s="124"/>
      <c r="Z630" s="124"/>
      <c r="AA630" s="124"/>
      <c r="AB630" s="124"/>
      <c r="AC630" s="124"/>
      <c r="AD630" s="124"/>
      <c r="AE630" s="124"/>
      <c r="AF630" s="125"/>
      <c r="AG630" s="125"/>
      <c r="AH630" s="125"/>
      <c r="AI630" s="126"/>
      <c r="AJ630" s="103">
        <f t="shared" si="1109"/>
        <v>0</v>
      </c>
      <c r="AK630" s="104">
        <f t="shared" si="1110"/>
        <v>0</v>
      </c>
      <c r="AL630" s="105"/>
    </row>
    <row r="631" spans="1:38" ht="15.6" hidden="1" thickBot="1">
      <c r="A631" s="91"/>
      <c r="B631" s="100"/>
      <c r="C631" s="92"/>
      <c r="D631" s="101" t="s">
        <v>102</v>
      </c>
      <c r="E631" s="106" t="e">
        <f t="shared" ref="E631:R631" si="1111">E630/E629</f>
        <v>#DIV/0!</v>
      </c>
      <c r="F631" s="106" t="e">
        <f t="shared" si="1111"/>
        <v>#DIV/0!</v>
      </c>
      <c r="G631" s="106" t="e">
        <f t="shared" si="1111"/>
        <v>#DIV/0!</v>
      </c>
      <c r="H631" s="106" t="e">
        <f t="shared" si="1111"/>
        <v>#DIV/0!</v>
      </c>
      <c r="I631" s="106" t="e">
        <f t="shared" si="1111"/>
        <v>#DIV/0!</v>
      </c>
      <c r="J631" s="106" t="e">
        <f t="shared" si="1111"/>
        <v>#DIV/0!</v>
      </c>
      <c r="K631" s="106" t="e">
        <f t="shared" si="1111"/>
        <v>#DIV/0!</v>
      </c>
      <c r="L631" s="106" t="e">
        <f t="shared" si="1111"/>
        <v>#DIV/0!</v>
      </c>
      <c r="M631" s="107" t="e">
        <f t="shared" si="1111"/>
        <v>#DIV/0!</v>
      </c>
      <c r="N631" s="107" t="e">
        <f t="shared" si="1111"/>
        <v>#DIV/0!</v>
      </c>
      <c r="O631" s="107" t="e">
        <f t="shared" si="1111"/>
        <v>#DIV/0!</v>
      </c>
      <c r="P631" s="108" t="e">
        <f t="shared" si="1111"/>
        <v>#DIV/0!</v>
      </c>
      <c r="Q631" s="109" t="e">
        <f t="shared" si="1111"/>
        <v>#DIV/0!</v>
      </c>
      <c r="R631" s="110" t="e">
        <f t="shared" si="1111"/>
        <v>#DIV/0!</v>
      </c>
      <c r="S631" s="105"/>
      <c r="T631" s="91"/>
      <c r="U631" s="100"/>
      <c r="V631" s="92"/>
      <c r="W631" s="101" t="s">
        <v>102</v>
      </c>
      <c r="X631" s="106" t="e">
        <f t="shared" ref="X631:AK631" si="1112">X630/X629</f>
        <v>#DIV/0!</v>
      </c>
      <c r="Y631" s="106" t="e">
        <f t="shared" si="1112"/>
        <v>#DIV/0!</v>
      </c>
      <c r="Z631" s="106" t="e">
        <f t="shared" si="1112"/>
        <v>#DIV/0!</v>
      </c>
      <c r="AA631" s="106" t="e">
        <f t="shared" si="1112"/>
        <v>#DIV/0!</v>
      </c>
      <c r="AB631" s="106" t="e">
        <f t="shared" si="1112"/>
        <v>#DIV/0!</v>
      </c>
      <c r="AC631" s="106" t="e">
        <f t="shared" si="1112"/>
        <v>#DIV/0!</v>
      </c>
      <c r="AD631" s="106" t="e">
        <f t="shared" si="1112"/>
        <v>#DIV/0!</v>
      </c>
      <c r="AE631" s="106" t="e">
        <f t="shared" si="1112"/>
        <v>#DIV/0!</v>
      </c>
      <c r="AF631" s="107" t="e">
        <f t="shared" si="1112"/>
        <v>#DIV/0!</v>
      </c>
      <c r="AG631" s="107" t="e">
        <f t="shared" si="1112"/>
        <v>#DIV/0!</v>
      </c>
      <c r="AH631" s="107" t="e">
        <f t="shared" si="1112"/>
        <v>#DIV/0!</v>
      </c>
      <c r="AI631" s="108" t="e">
        <f t="shared" si="1112"/>
        <v>#DIV/0!</v>
      </c>
      <c r="AJ631" s="109" t="e">
        <f t="shared" si="1112"/>
        <v>#DIV/0!</v>
      </c>
      <c r="AK631" s="110" t="e">
        <f t="shared" si="1112"/>
        <v>#DIV/0!</v>
      </c>
      <c r="AL631" s="105"/>
    </row>
    <row r="632" spans="1:38" ht="15.6" hidden="1" thickBot="1">
      <c r="A632" s="91"/>
      <c r="B632" s="100"/>
      <c r="C632" s="111"/>
      <c r="D632" s="112" t="s">
        <v>103</v>
      </c>
      <c r="E632" s="113" t="e">
        <f t="shared" ref="E632:R632" si="1113">E630/E628</f>
        <v>#DIV/0!</v>
      </c>
      <c r="F632" s="113" t="e">
        <f t="shared" si="1113"/>
        <v>#DIV/0!</v>
      </c>
      <c r="G632" s="113" t="e">
        <f t="shared" si="1113"/>
        <v>#DIV/0!</v>
      </c>
      <c r="H632" s="113" t="e">
        <f t="shared" si="1113"/>
        <v>#DIV/0!</v>
      </c>
      <c r="I632" s="113" t="e">
        <f t="shared" si="1113"/>
        <v>#DIV/0!</v>
      </c>
      <c r="J632" s="113" t="e">
        <f t="shared" si="1113"/>
        <v>#DIV/0!</v>
      </c>
      <c r="K632" s="113" t="e">
        <f t="shared" si="1113"/>
        <v>#DIV/0!</v>
      </c>
      <c r="L632" s="113" t="e">
        <f t="shared" si="1113"/>
        <v>#DIV/0!</v>
      </c>
      <c r="M632" s="113" t="e">
        <f t="shared" si="1113"/>
        <v>#DIV/0!</v>
      </c>
      <c r="N632" s="113" t="e">
        <f t="shared" si="1113"/>
        <v>#DIV/0!</v>
      </c>
      <c r="O632" s="113" t="e">
        <f t="shared" si="1113"/>
        <v>#DIV/0!</v>
      </c>
      <c r="P632" s="114" t="e">
        <f t="shared" si="1113"/>
        <v>#DIV/0!</v>
      </c>
      <c r="Q632" s="115" t="e">
        <f t="shared" si="1113"/>
        <v>#DIV/0!</v>
      </c>
      <c r="R632" s="116" t="e">
        <f t="shared" si="1113"/>
        <v>#DIV/0!</v>
      </c>
      <c r="T632" s="91"/>
      <c r="U632" s="100"/>
      <c r="V632" s="111"/>
      <c r="W632" s="112" t="s">
        <v>103</v>
      </c>
      <c r="X632" s="113" t="e">
        <f t="shared" ref="X632:AK632" si="1114">X630/X628</f>
        <v>#DIV/0!</v>
      </c>
      <c r="Y632" s="113" t="e">
        <f t="shared" si="1114"/>
        <v>#DIV/0!</v>
      </c>
      <c r="Z632" s="113" t="e">
        <f t="shared" si="1114"/>
        <v>#DIV/0!</v>
      </c>
      <c r="AA632" s="113" t="e">
        <f t="shared" si="1114"/>
        <v>#DIV/0!</v>
      </c>
      <c r="AB632" s="113" t="e">
        <f t="shared" si="1114"/>
        <v>#DIV/0!</v>
      </c>
      <c r="AC632" s="113" t="e">
        <f t="shared" si="1114"/>
        <v>#DIV/0!</v>
      </c>
      <c r="AD632" s="113" t="e">
        <f t="shared" si="1114"/>
        <v>#DIV/0!</v>
      </c>
      <c r="AE632" s="113" t="e">
        <f t="shared" si="1114"/>
        <v>#DIV/0!</v>
      </c>
      <c r="AF632" s="113" t="e">
        <f t="shared" si="1114"/>
        <v>#DIV/0!</v>
      </c>
      <c r="AG632" s="113" t="e">
        <f t="shared" si="1114"/>
        <v>#DIV/0!</v>
      </c>
      <c r="AH632" s="113" t="e">
        <f t="shared" si="1114"/>
        <v>#DIV/0!</v>
      </c>
      <c r="AI632" s="114" t="e">
        <f t="shared" si="1114"/>
        <v>#DIV/0!</v>
      </c>
      <c r="AJ632" s="115" t="e">
        <f t="shared" si="1114"/>
        <v>#DIV/0!</v>
      </c>
      <c r="AK632" s="116" t="e">
        <f t="shared" si="1114"/>
        <v>#DIV/0!</v>
      </c>
    </row>
    <row r="633" spans="1:38" ht="15.6" hidden="1" thickBot="1">
      <c r="A633" s="91"/>
      <c r="B633" s="100"/>
      <c r="C633" s="86"/>
      <c r="D633" s="87">
        <v>2019</v>
      </c>
      <c r="E633" s="88"/>
      <c r="F633" s="121"/>
      <c r="G633" s="121"/>
      <c r="H633" s="121"/>
      <c r="I633" s="121"/>
      <c r="J633" s="121"/>
      <c r="K633" s="121"/>
      <c r="L633" s="121"/>
      <c r="M633" s="122"/>
      <c r="N633" s="122"/>
      <c r="O633" s="122"/>
      <c r="P633" s="123"/>
      <c r="Q633" s="89">
        <f t="shared" ref="Q633:Q635" si="1115">SUM(E633:P633)</f>
        <v>0</v>
      </c>
      <c r="R633" s="90">
        <f t="shared" ref="R633" si="1116">SUM(E633:M633)</f>
        <v>0</v>
      </c>
      <c r="T633" s="91"/>
      <c r="U633" s="100"/>
      <c r="V633" s="86">
        <f t="shared" ref="V633:V634" si="1117">C633</f>
        <v>0</v>
      </c>
      <c r="W633" s="87">
        <v>2019</v>
      </c>
      <c r="X633" s="88"/>
      <c r="Y633" s="121"/>
      <c r="Z633" s="121"/>
      <c r="AA633" s="121"/>
      <c r="AB633" s="121"/>
      <c r="AC633" s="121"/>
      <c r="AD633" s="121"/>
      <c r="AE633" s="121"/>
      <c r="AF633" s="122"/>
      <c r="AG633" s="122"/>
      <c r="AH633" s="122"/>
      <c r="AI633" s="123"/>
      <c r="AJ633" s="89">
        <f t="shared" ref="AJ633:AJ635" si="1118">SUM(X633:AI633)</f>
        <v>0</v>
      </c>
      <c r="AK633" s="90">
        <f t="shared" ref="AK633:AK635" si="1119">SUM(X633:AF633)</f>
        <v>0</v>
      </c>
    </row>
    <row r="634" spans="1:38" ht="15.6" hidden="1" thickBot="1">
      <c r="A634" s="91"/>
      <c r="B634" s="100"/>
      <c r="C634" s="92"/>
      <c r="D634" s="93" t="s">
        <v>92</v>
      </c>
      <c r="E634" s="94"/>
      <c r="F634" s="97"/>
      <c r="G634" s="97"/>
      <c r="H634" s="97"/>
      <c r="I634" s="97"/>
      <c r="J634" s="97"/>
      <c r="K634" s="97"/>
      <c r="L634" s="97"/>
      <c r="M634" s="98"/>
      <c r="N634" s="98"/>
      <c r="O634" s="98"/>
      <c r="P634" s="99"/>
      <c r="Q634" s="95">
        <f t="shared" si="1115"/>
        <v>0</v>
      </c>
      <c r="R634" s="96">
        <f t="shared" si="1044"/>
        <v>0</v>
      </c>
      <c r="T634" s="91"/>
      <c r="U634" s="100"/>
      <c r="V634" s="92">
        <f t="shared" si="1117"/>
        <v>0</v>
      </c>
      <c r="W634" s="93" t="s">
        <v>92</v>
      </c>
      <c r="X634" s="94"/>
      <c r="Y634" s="97"/>
      <c r="Z634" s="97"/>
      <c r="AA634" s="97"/>
      <c r="AB634" s="97"/>
      <c r="AC634" s="97"/>
      <c r="AD634" s="97"/>
      <c r="AE634" s="97"/>
      <c r="AF634" s="98"/>
      <c r="AG634" s="98"/>
      <c r="AH634" s="98"/>
      <c r="AI634" s="99"/>
      <c r="AJ634" s="95">
        <f t="shared" si="1118"/>
        <v>0</v>
      </c>
      <c r="AK634" s="96">
        <f t="shared" si="1119"/>
        <v>0</v>
      </c>
    </row>
    <row r="635" spans="1:38" ht="15.6" hidden="1" thickBot="1">
      <c r="A635" s="91"/>
      <c r="B635" s="100"/>
      <c r="C635" s="92"/>
      <c r="D635" s="101">
        <v>2020</v>
      </c>
      <c r="E635" s="102"/>
      <c r="F635" s="124"/>
      <c r="G635" s="124"/>
      <c r="H635" s="124"/>
      <c r="I635" s="124"/>
      <c r="J635" s="124"/>
      <c r="K635" s="124"/>
      <c r="L635" s="124"/>
      <c r="M635" s="125"/>
      <c r="N635" s="125"/>
      <c r="O635" s="125"/>
      <c r="P635" s="126"/>
      <c r="Q635" s="103">
        <f t="shared" si="1115"/>
        <v>0</v>
      </c>
      <c r="R635" s="104">
        <f t="shared" si="1044"/>
        <v>0</v>
      </c>
      <c r="S635" s="105"/>
      <c r="T635" s="91"/>
      <c r="U635" s="100"/>
      <c r="V635" s="92"/>
      <c r="W635" s="101">
        <v>2020</v>
      </c>
      <c r="X635" s="102"/>
      <c r="Y635" s="124"/>
      <c r="Z635" s="124"/>
      <c r="AA635" s="124"/>
      <c r="AB635" s="124"/>
      <c r="AC635" s="124"/>
      <c r="AD635" s="124"/>
      <c r="AE635" s="124"/>
      <c r="AF635" s="125"/>
      <c r="AG635" s="125"/>
      <c r="AH635" s="125"/>
      <c r="AI635" s="126"/>
      <c r="AJ635" s="103">
        <f t="shared" si="1118"/>
        <v>0</v>
      </c>
      <c r="AK635" s="104">
        <f t="shared" si="1119"/>
        <v>0</v>
      </c>
      <c r="AL635" s="105"/>
    </row>
    <row r="636" spans="1:38" ht="15.6" hidden="1" thickBot="1">
      <c r="A636" s="91"/>
      <c r="B636" s="100"/>
      <c r="C636" s="92"/>
      <c r="D636" s="101" t="s">
        <v>102</v>
      </c>
      <c r="E636" s="106" t="e">
        <f t="shared" ref="E636:R636" si="1120">E635/E634</f>
        <v>#DIV/0!</v>
      </c>
      <c r="F636" s="106" t="e">
        <f t="shared" si="1120"/>
        <v>#DIV/0!</v>
      </c>
      <c r="G636" s="106" t="e">
        <f t="shared" si="1120"/>
        <v>#DIV/0!</v>
      </c>
      <c r="H636" s="106" t="e">
        <f t="shared" si="1120"/>
        <v>#DIV/0!</v>
      </c>
      <c r="I636" s="106" t="e">
        <f t="shared" si="1120"/>
        <v>#DIV/0!</v>
      </c>
      <c r="J636" s="106" t="e">
        <f t="shared" si="1120"/>
        <v>#DIV/0!</v>
      </c>
      <c r="K636" s="106" t="e">
        <f t="shared" si="1120"/>
        <v>#DIV/0!</v>
      </c>
      <c r="L636" s="106" t="e">
        <f t="shared" si="1120"/>
        <v>#DIV/0!</v>
      </c>
      <c r="M636" s="107" t="e">
        <f t="shared" si="1120"/>
        <v>#DIV/0!</v>
      </c>
      <c r="N636" s="107" t="e">
        <f t="shared" si="1120"/>
        <v>#DIV/0!</v>
      </c>
      <c r="O636" s="107" t="e">
        <f t="shared" si="1120"/>
        <v>#DIV/0!</v>
      </c>
      <c r="P636" s="108" t="e">
        <f t="shared" si="1120"/>
        <v>#DIV/0!</v>
      </c>
      <c r="Q636" s="109" t="e">
        <f t="shared" si="1120"/>
        <v>#DIV/0!</v>
      </c>
      <c r="R636" s="110" t="e">
        <f t="shared" si="1120"/>
        <v>#DIV/0!</v>
      </c>
      <c r="S636" s="105"/>
      <c r="T636" s="91"/>
      <c r="U636" s="100"/>
      <c r="V636" s="92"/>
      <c r="W636" s="101" t="s">
        <v>102</v>
      </c>
      <c r="X636" s="106" t="e">
        <f t="shared" ref="X636:AK636" si="1121">X635/X634</f>
        <v>#DIV/0!</v>
      </c>
      <c r="Y636" s="106" t="e">
        <f t="shared" si="1121"/>
        <v>#DIV/0!</v>
      </c>
      <c r="Z636" s="106" t="e">
        <f t="shared" si="1121"/>
        <v>#DIV/0!</v>
      </c>
      <c r="AA636" s="106" t="e">
        <f t="shared" si="1121"/>
        <v>#DIV/0!</v>
      </c>
      <c r="AB636" s="106" t="e">
        <f t="shared" si="1121"/>
        <v>#DIV/0!</v>
      </c>
      <c r="AC636" s="106" t="e">
        <f t="shared" si="1121"/>
        <v>#DIV/0!</v>
      </c>
      <c r="AD636" s="106" t="e">
        <f t="shared" si="1121"/>
        <v>#DIV/0!</v>
      </c>
      <c r="AE636" s="106" t="e">
        <f t="shared" si="1121"/>
        <v>#DIV/0!</v>
      </c>
      <c r="AF636" s="107" t="e">
        <f t="shared" si="1121"/>
        <v>#DIV/0!</v>
      </c>
      <c r="AG636" s="107" t="e">
        <f t="shared" si="1121"/>
        <v>#DIV/0!</v>
      </c>
      <c r="AH636" s="107" t="e">
        <f t="shared" si="1121"/>
        <v>#DIV/0!</v>
      </c>
      <c r="AI636" s="108" t="e">
        <f t="shared" si="1121"/>
        <v>#DIV/0!</v>
      </c>
      <c r="AJ636" s="109" t="e">
        <f t="shared" si="1121"/>
        <v>#DIV/0!</v>
      </c>
      <c r="AK636" s="110" t="e">
        <f t="shared" si="1121"/>
        <v>#DIV/0!</v>
      </c>
      <c r="AL636" s="105"/>
    </row>
    <row r="637" spans="1:38" ht="15.6" hidden="1" thickBot="1">
      <c r="A637" s="91"/>
      <c r="B637" s="100"/>
      <c r="C637" s="111"/>
      <c r="D637" s="112" t="s">
        <v>103</v>
      </c>
      <c r="E637" s="113" t="e">
        <f t="shared" ref="E637:R637" si="1122">E635/E633</f>
        <v>#DIV/0!</v>
      </c>
      <c r="F637" s="113" t="e">
        <f t="shared" si="1122"/>
        <v>#DIV/0!</v>
      </c>
      <c r="G637" s="113" t="e">
        <f t="shared" si="1122"/>
        <v>#DIV/0!</v>
      </c>
      <c r="H637" s="113" t="e">
        <f t="shared" si="1122"/>
        <v>#DIV/0!</v>
      </c>
      <c r="I637" s="113" t="e">
        <f t="shared" si="1122"/>
        <v>#DIV/0!</v>
      </c>
      <c r="J637" s="113" t="e">
        <f t="shared" si="1122"/>
        <v>#DIV/0!</v>
      </c>
      <c r="K637" s="113" t="e">
        <f t="shared" si="1122"/>
        <v>#DIV/0!</v>
      </c>
      <c r="L637" s="113" t="e">
        <f t="shared" si="1122"/>
        <v>#DIV/0!</v>
      </c>
      <c r="M637" s="113" t="e">
        <f t="shared" si="1122"/>
        <v>#DIV/0!</v>
      </c>
      <c r="N637" s="113" t="e">
        <f t="shared" si="1122"/>
        <v>#DIV/0!</v>
      </c>
      <c r="O637" s="113" t="e">
        <f t="shared" si="1122"/>
        <v>#DIV/0!</v>
      </c>
      <c r="P637" s="114" t="e">
        <f t="shared" si="1122"/>
        <v>#DIV/0!</v>
      </c>
      <c r="Q637" s="115" t="e">
        <f t="shared" si="1122"/>
        <v>#DIV/0!</v>
      </c>
      <c r="R637" s="116" t="e">
        <f t="shared" si="1122"/>
        <v>#DIV/0!</v>
      </c>
      <c r="T637" s="91"/>
      <c r="U637" s="100"/>
      <c r="V637" s="111"/>
      <c r="W637" s="112" t="s">
        <v>103</v>
      </c>
      <c r="X637" s="113" t="e">
        <f t="shared" ref="X637:AK637" si="1123">X635/X633</f>
        <v>#DIV/0!</v>
      </c>
      <c r="Y637" s="113" t="e">
        <f t="shared" si="1123"/>
        <v>#DIV/0!</v>
      </c>
      <c r="Z637" s="113" t="e">
        <f t="shared" si="1123"/>
        <v>#DIV/0!</v>
      </c>
      <c r="AA637" s="113" t="e">
        <f t="shared" si="1123"/>
        <v>#DIV/0!</v>
      </c>
      <c r="AB637" s="113" t="e">
        <f t="shared" si="1123"/>
        <v>#DIV/0!</v>
      </c>
      <c r="AC637" s="113" t="e">
        <f t="shared" si="1123"/>
        <v>#DIV/0!</v>
      </c>
      <c r="AD637" s="113" t="e">
        <f t="shared" si="1123"/>
        <v>#DIV/0!</v>
      </c>
      <c r="AE637" s="113" t="e">
        <f t="shared" si="1123"/>
        <v>#DIV/0!</v>
      </c>
      <c r="AF637" s="113" t="e">
        <f t="shared" si="1123"/>
        <v>#DIV/0!</v>
      </c>
      <c r="AG637" s="113" t="e">
        <f t="shared" si="1123"/>
        <v>#DIV/0!</v>
      </c>
      <c r="AH637" s="113" t="e">
        <f t="shared" si="1123"/>
        <v>#DIV/0!</v>
      </c>
      <c r="AI637" s="114" t="e">
        <f t="shared" si="1123"/>
        <v>#DIV/0!</v>
      </c>
      <c r="AJ637" s="115" t="e">
        <f t="shared" si="1123"/>
        <v>#DIV/0!</v>
      </c>
      <c r="AK637" s="116" t="e">
        <f t="shared" si="1123"/>
        <v>#DIV/0!</v>
      </c>
    </row>
    <row r="638" spans="1:38" ht="15.6" hidden="1" thickBot="1">
      <c r="A638" s="91"/>
      <c r="B638" s="100"/>
      <c r="C638" s="86"/>
      <c r="D638" s="87">
        <v>2019</v>
      </c>
      <c r="E638" s="88"/>
      <c r="F638" s="121"/>
      <c r="G638" s="121"/>
      <c r="H638" s="121"/>
      <c r="I638" s="121"/>
      <c r="J638" s="121"/>
      <c r="K638" s="121"/>
      <c r="L638" s="121"/>
      <c r="M638" s="122"/>
      <c r="N638" s="122"/>
      <c r="O638" s="122"/>
      <c r="P638" s="123"/>
      <c r="Q638" s="89">
        <f t="shared" ref="Q638:Q640" si="1124">SUM(E638:P638)</f>
        <v>0</v>
      </c>
      <c r="R638" s="90">
        <f t="shared" ref="R638" si="1125">SUM(E638:M638)</f>
        <v>0</v>
      </c>
      <c r="T638" s="91"/>
      <c r="U638" s="100"/>
      <c r="V638" s="86">
        <f t="shared" ref="V638:V639" si="1126">C638</f>
        <v>0</v>
      </c>
      <c r="W638" s="87">
        <v>2019</v>
      </c>
      <c r="X638" s="88"/>
      <c r="Y638" s="121"/>
      <c r="Z638" s="121"/>
      <c r="AA638" s="121"/>
      <c r="AB638" s="121"/>
      <c r="AC638" s="121"/>
      <c r="AD638" s="121"/>
      <c r="AE638" s="121"/>
      <c r="AF638" s="122"/>
      <c r="AG638" s="122"/>
      <c r="AH638" s="122"/>
      <c r="AI638" s="123"/>
      <c r="AJ638" s="89">
        <f t="shared" ref="AJ638:AJ640" si="1127">SUM(X638:AI638)</f>
        <v>0</v>
      </c>
      <c r="AK638" s="90">
        <f t="shared" ref="AK638:AK640" si="1128">SUM(X638:AF638)</f>
        <v>0</v>
      </c>
    </row>
    <row r="639" spans="1:38" ht="15.6" hidden="1" thickBot="1">
      <c r="A639" s="91"/>
      <c r="B639" s="100"/>
      <c r="C639" s="92"/>
      <c r="D639" s="93" t="s">
        <v>92</v>
      </c>
      <c r="E639" s="94"/>
      <c r="F639" s="97"/>
      <c r="G639" s="97"/>
      <c r="H639" s="97"/>
      <c r="I639" s="97"/>
      <c r="J639" s="97"/>
      <c r="K639" s="97"/>
      <c r="L639" s="97"/>
      <c r="M639" s="98"/>
      <c r="N639" s="98"/>
      <c r="O639" s="98"/>
      <c r="P639" s="99"/>
      <c r="Q639" s="95">
        <f t="shared" si="1124"/>
        <v>0</v>
      </c>
      <c r="R639" s="96">
        <f t="shared" si="1044"/>
        <v>0</v>
      </c>
      <c r="T639" s="91"/>
      <c r="U639" s="100"/>
      <c r="V639" s="92">
        <f t="shared" si="1126"/>
        <v>0</v>
      </c>
      <c r="W639" s="93" t="s">
        <v>92</v>
      </c>
      <c r="X639" s="94"/>
      <c r="Y639" s="97"/>
      <c r="Z639" s="97"/>
      <c r="AA639" s="97"/>
      <c r="AB639" s="97"/>
      <c r="AC639" s="97"/>
      <c r="AD639" s="97"/>
      <c r="AE639" s="97"/>
      <c r="AF639" s="98"/>
      <c r="AG639" s="98"/>
      <c r="AH639" s="98"/>
      <c r="AI639" s="99"/>
      <c r="AJ639" s="95">
        <f t="shared" si="1127"/>
        <v>0</v>
      </c>
      <c r="AK639" s="96">
        <f t="shared" si="1128"/>
        <v>0</v>
      </c>
    </row>
    <row r="640" spans="1:38" ht="15.6" hidden="1" thickBot="1">
      <c r="A640" s="91"/>
      <c r="B640" s="100"/>
      <c r="C640" s="92"/>
      <c r="D640" s="101">
        <v>2020</v>
      </c>
      <c r="E640" s="102"/>
      <c r="F640" s="124"/>
      <c r="G640" s="124"/>
      <c r="H640" s="124"/>
      <c r="I640" s="124"/>
      <c r="J640" s="124"/>
      <c r="K640" s="124"/>
      <c r="L640" s="124"/>
      <c r="M640" s="125"/>
      <c r="N640" s="125"/>
      <c r="O640" s="125"/>
      <c r="P640" s="126"/>
      <c r="Q640" s="103">
        <f t="shared" si="1124"/>
        <v>0</v>
      </c>
      <c r="R640" s="104">
        <f t="shared" si="1044"/>
        <v>0</v>
      </c>
      <c r="S640" s="105"/>
      <c r="T640" s="91"/>
      <c r="U640" s="100"/>
      <c r="V640" s="92"/>
      <c r="W640" s="101">
        <v>2020</v>
      </c>
      <c r="X640" s="102"/>
      <c r="Y640" s="124"/>
      <c r="Z640" s="124"/>
      <c r="AA640" s="124"/>
      <c r="AB640" s="124"/>
      <c r="AC640" s="124"/>
      <c r="AD640" s="124"/>
      <c r="AE640" s="124"/>
      <c r="AF640" s="125"/>
      <c r="AG640" s="125"/>
      <c r="AH640" s="125"/>
      <c r="AI640" s="126"/>
      <c r="AJ640" s="103">
        <f t="shared" si="1127"/>
        <v>0</v>
      </c>
      <c r="AK640" s="104">
        <f t="shared" si="1128"/>
        <v>0</v>
      </c>
      <c r="AL640" s="105"/>
    </row>
    <row r="641" spans="1:38" ht="15.6" hidden="1" thickBot="1">
      <c r="A641" s="91"/>
      <c r="B641" s="100"/>
      <c r="C641" s="92"/>
      <c r="D641" s="101" t="s">
        <v>102</v>
      </c>
      <c r="E641" s="106" t="e">
        <f t="shared" ref="E641:R641" si="1129">E640/E639</f>
        <v>#DIV/0!</v>
      </c>
      <c r="F641" s="106" t="e">
        <f t="shared" si="1129"/>
        <v>#DIV/0!</v>
      </c>
      <c r="G641" s="106" t="e">
        <f t="shared" si="1129"/>
        <v>#DIV/0!</v>
      </c>
      <c r="H641" s="106" t="e">
        <f t="shared" si="1129"/>
        <v>#DIV/0!</v>
      </c>
      <c r="I641" s="106" t="e">
        <f t="shared" si="1129"/>
        <v>#DIV/0!</v>
      </c>
      <c r="J641" s="106" t="e">
        <f t="shared" si="1129"/>
        <v>#DIV/0!</v>
      </c>
      <c r="K641" s="106" t="e">
        <f t="shared" si="1129"/>
        <v>#DIV/0!</v>
      </c>
      <c r="L641" s="106" t="e">
        <f t="shared" si="1129"/>
        <v>#DIV/0!</v>
      </c>
      <c r="M641" s="107" t="e">
        <f t="shared" si="1129"/>
        <v>#DIV/0!</v>
      </c>
      <c r="N641" s="107" t="e">
        <f t="shared" si="1129"/>
        <v>#DIV/0!</v>
      </c>
      <c r="O641" s="107" t="e">
        <f t="shared" si="1129"/>
        <v>#DIV/0!</v>
      </c>
      <c r="P641" s="108" t="e">
        <f t="shared" si="1129"/>
        <v>#DIV/0!</v>
      </c>
      <c r="Q641" s="109" t="e">
        <f t="shared" si="1129"/>
        <v>#DIV/0!</v>
      </c>
      <c r="R641" s="110" t="e">
        <f t="shared" si="1129"/>
        <v>#DIV/0!</v>
      </c>
      <c r="S641" s="105"/>
      <c r="T641" s="91"/>
      <c r="U641" s="100"/>
      <c r="V641" s="92"/>
      <c r="W641" s="101" t="s">
        <v>102</v>
      </c>
      <c r="X641" s="106" t="e">
        <f t="shared" ref="X641:AK641" si="1130">X640/X639</f>
        <v>#DIV/0!</v>
      </c>
      <c r="Y641" s="106" t="e">
        <f t="shared" si="1130"/>
        <v>#DIV/0!</v>
      </c>
      <c r="Z641" s="106" t="e">
        <f t="shared" si="1130"/>
        <v>#DIV/0!</v>
      </c>
      <c r="AA641" s="106" t="e">
        <f t="shared" si="1130"/>
        <v>#DIV/0!</v>
      </c>
      <c r="AB641" s="106" t="e">
        <f t="shared" si="1130"/>
        <v>#DIV/0!</v>
      </c>
      <c r="AC641" s="106" t="e">
        <f t="shared" si="1130"/>
        <v>#DIV/0!</v>
      </c>
      <c r="AD641" s="106" t="e">
        <f t="shared" si="1130"/>
        <v>#DIV/0!</v>
      </c>
      <c r="AE641" s="106" t="e">
        <f t="shared" si="1130"/>
        <v>#DIV/0!</v>
      </c>
      <c r="AF641" s="107" t="e">
        <f t="shared" si="1130"/>
        <v>#DIV/0!</v>
      </c>
      <c r="AG641" s="107" t="e">
        <f t="shared" si="1130"/>
        <v>#DIV/0!</v>
      </c>
      <c r="AH641" s="107" t="e">
        <f t="shared" si="1130"/>
        <v>#DIV/0!</v>
      </c>
      <c r="AI641" s="108" t="e">
        <f t="shared" si="1130"/>
        <v>#DIV/0!</v>
      </c>
      <c r="AJ641" s="109" t="e">
        <f t="shared" si="1130"/>
        <v>#DIV/0!</v>
      </c>
      <c r="AK641" s="110" t="e">
        <f t="shared" si="1130"/>
        <v>#DIV/0!</v>
      </c>
      <c r="AL641" s="105"/>
    </row>
    <row r="642" spans="1:38" ht="15.6" hidden="1" thickBot="1">
      <c r="A642" s="91"/>
      <c r="B642" s="100"/>
      <c r="C642" s="111"/>
      <c r="D642" s="112" t="s">
        <v>103</v>
      </c>
      <c r="E642" s="113" t="e">
        <f t="shared" ref="E642:R642" si="1131">E640/E638</f>
        <v>#DIV/0!</v>
      </c>
      <c r="F642" s="113" t="e">
        <f t="shared" si="1131"/>
        <v>#DIV/0!</v>
      </c>
      <c r="G642" s="113" t="e">
        <f t="shared" si="1131"/>
        <v>#DIV/0!</v>
      </c>
      <c r="H642" s="113" t="e">
        <f t="shared" si="1131"/>
        <v>#DIV/0!</v>
      </c>
      <c r="I642" s="113" t="e">
        <f t="shared" si="1131"/>
        <v>#DIV/0!</v>
      </c>
      <c r="J642" s="113" t="e">
        <f t="shared" si="1131"/>
        <v>#DIV/0!</v>
      </c>
      <c r="K642" s="113" t="e">
        <f t="shared" si="1131"/>
        <v>#DIV/0!</v>
      </c>
      <c r="L642" s="113" t="e">
        <f t="shared" si="1131"/>
        <v>#DIV/0!</v>
      </c>
      <c r="M642" s="113" t="e">
        <f t="shared" si="1131"/>
        <v>#DIV/0!</v>
      </c>
      <c r="N642" s="113" t="e">
        <f t="shared" si="1131"/>
        <v>#DIV/0!</v>
      </c>
      <c r="O642" s="113" t="e">
        <f t="shared" si="1131"/>
        <v>#DIV/0!</v>
      </c>
      <c r="P642" s="114" t="e">
        <f t="shared" si="1131"/>
        <v>#DIV/0!</v>
      </c>
      <c r="Q642" s="115" t="e">
        <f t="shared" si="1131"/>
        <v>#DIV/0!</v>
      </c>
      <c r="R642" s="116" t="e">
        <f t="shared" si="1131"/>
        <v>#DIV/0!</v>
      </c>
      <c r="T642" s="91"/>
      <c r="U642" s="100"/>
      <c r="V642" s="111"/>
      <c r="W642" s="112" t="s">
        <v>103</v>
      </c>
      <c r="X642" s="113" t="e">
        <f t="shared" ref="X642:AK642" si="1132">X640/X638</f>
        <v>#DIV/0!</v>
      </c>
      <c r="Y642" s="113" t="e">
        <f t="shared" si="1132"/>
        <v>#DIV/0!</v>
      </c>
      <c r="Z642" s="113" t="e">
        <f t="shared" si="1132"/>
        <v>#DIV/0!</v>
      </c>
      <c r="AA642" s="113" t="e">
        <f t="shared" si="1132"/>
        <v>#DIV/0!</v>
      </c>
      <c r="AB642" s="113" t="e">
        <f t="shared" si="1132"/>
        <v>#DIV/0!</v>
      </c>
      <c r="AC642" s="113" t="e">
        <f t="shared" si="1132"/>
        <v>#DIV/0!</v>
      </c>
      <c r="AD642" s="113" t="e">
        <f t="shared" si="1132"/>
        <v>#DIV/0!</v>
      </c>
      <c r="AE642" s="113" t="e">
        <f t="shared" si="1132"/>
        <v>#DIV/0!</v>
      </c>
      <c r="AF642" s="113" t="e">
        <f t="shared" si="1132"/>
        <v>#DIV/0!</v>
      </c>
      <c r="AG642" s="113" t="e">
        <f t="shared" si="1132"/>
        <v>#DIV/0!</v>
      </c>
      <c r="AH642" s="113" t="e">
        <f t="shared" si="1132"/>
        <v>#DIV/0!</v>
      </c>
      <c r="AI642" s="114" t="e">
        <f t="shared" si="1132"/>
        <v>#DIV/0!</v>
      </c>
      <c r="AJ642" s="115" t="e">
        <f t="shared" si="1132"/>
        <v>#DIV/0!</v>
      </c>
      <c r="AK642" s="116" t="e">
        <f t="shared" si="1132"/>
        <v>#DIV/0!</v>
      </c>
    </row>
    <row r="643" spans="1:38" ht="15.6" hidden="1" thickBot="1">
      <c r="A643" s="91"/>
      <c r="B643" s="100"/>
      <c r="C643" s="86"/>
      <c r="D643" s="87">
        <v>2019</v>
      </c>
      <c r="E643" s="88"/>
      <c r="F643" s="121"/>
      <c r="G643" s="121"/>
      <c r="H643" s="121"/>
      <c r="I643" s="121"/>
      <c r="J643" s="121"/>
      <c r="K643" s="121"/>
      <c r="L643" s="121"/>
      <c r="M643" s="122"/>
      <c r="N643" s="122"/>
      <c r="O643" s="122"/>
      <c r="P643" s="123"/>
      <c r="Q643" s="89">
        <f t="shared" ref="Q643:Q645" si="1133">SUM(E643:P643)</f>
        <v>0</v>
      </c>
      <c r="R643" s="90">
        <f t="shared" ref="R643" si="1134">SUM(E643:M643)</f>
        <v>0</v>
      </c>
      <c r="T643" s="91"/>
      <c r="U643" s="100"/>
      <c r="V643" s="86">
        <f t="shared" ref="V643:V644" si="1135">C643</f>
        <v>0</v>
      </c>
      <c r="W643" s="87">
        <v>2019</v>
      </c>
      <c r="X643" s="88"/>
      <c r="Y643" s="121"/>
      <c r="Z643" s="121"/>
      <c r="AA643" s="121"/>
      <c r="AB643" s="121"/>
      <c r="AC643" s="121"/>
      <c r="AD643" s="121"/>
      <c r="AE643" s="121"/>
      <c r="AF643" s="122"/>
      <c r="AG643" s="122"/>
      <c r="AH643" s="122"/>
      <c r="AI643" s="123"/>
      <c r="AJ643" s="89">
        <f t="shared" ref="AJ643:AJ645" si="1136">SUM(X643:AI643)</f>
        <v>0</v>
      </c>
      <c r="AK643" s="90">
        <f t="shared" ref="AK643:AK645" si="1137">SUM(X643:AF643)</f>
        <v>0</v>
      </c>
    </row>
    <row r="644" spans="1:38" ht="15.6" hidden="1" thickBot="1">
      <c r="A644" s="91"/>
      <c r="B644" s="100"/>
      <c r="C644" s="92"/>
      <c r="D644" s="93" t="s">
        <v>92</v>
      </c>
      <c r="E644" s="94"/>
      <c r="F644" s="97"/>
      <c r="G644" s="97"/>
      <c r="H644" s="97"/>
      <c r="I644" s="97"/>
      <c r="J644" s="97"/>
      <c r="K644" s="97"/>
      <c r="L644" s="97"/>
      <c r="M644" s="98"/>
      <c r="N644" s="98"/>
      <c r="O644" s="98"/>
      <c r="P644" s="99"/>
      <c r="Q644" s="95">
        <f t="shared" si="1133"/>
        <v>0</v>
      </c>
      <c r="R644" s="96">
        <f t="shared" si="1044"/>
        <v>0</v>
      </c>
      <c r="T644" s="91"/>
      <c r="U644" s="100"/>
      <c r="V644" s="92">
        <f t="shared" si="1135"/>
        <v>0</v>
      </c>
      <c r="W644" s="93" t="s">
        <v>92</v>
      </c>
      <c r="X644" s="94"/>
      <c r="Y644" s="97"/>
      <c r="Z644" s="97"/>
      <c r="AA644" s="97"/>
      <c r="AB644" s="97"/>
      <c r="AC644" s="97"/>
      <c r="AD644" s="97"/>
      <c r="AE644" s="97"/>
      <c r="AF644" s="98"/>
      <c r="AG644" s="98"/>
      <c r="AH644" s="98"/>
      <c r="AI644" s="99"/>
      <c r="AJ644" s="95">
        <f t="shared" si="1136"/>
        <v>0</v>
      </c>
      <c r="AK644" s="96">
        <f t="shared" si="1137"/>
        <v>0</v>
      </c>
    </row>
    <row r="645" spans="1:38" ht="15.6" hidden="1" thickBot="1">
      <c r="A645" s="91"/>
      <c r="B645" s="100"/>
      <c r="C645" s="92"/>
      <c r="D645" s="101">
        <v>2020</v>
      </c>
      <c r="E645" s="102"/>
      <c r="F645" s="124"/>
      <c r="G645" s="124"/>
      <c r="H645" s="124"/>
      <c r="I645" s="124"/>
      <c r="J645" s="124"/>
      <c r="K645" s="124"/>
      <c r="L645" s="124"/>
      <c r="M645" s="125"/>
      <c r="N645" s="125"/>
      <c r="O645" s="125"/>
      <c r="P645" s="126"/>
      <c r="Q645" s="103">
        <f t="shared" si="1133"/>
        <v>0</v>
      </c>
      <c r="R645" s="104">
        <f t="shared" si="1044"/>
        <v>0</v>
      </c>
      <c r="S645" s="105"/>
      <c r="T645" s="91"/>
      <c r="U645" s="100"/>
      <c r="V645" s="92"/>
      <c r="W645" s="101">
        <v>2020</v>
      </c>
      <c r="X645" s="102"/>
      <c r="Y645" s="124"/>
      <c r="Z645" s="124"/>
      <c r="AA645" s="124"/>
      <c r="AB645" s="124"/>
      <c r="AC645" s="124"/>
      <c r="AD645" s="124"/>
      <c r="AE645" s="124"/>
      <c r="AF645" s="125"/>
      <c r="AG645" s="125"/>
      <c r="AH645" s="125"/>
      <c r="AI645" s="126"/>
      <c r="AJ645" s="103">
        <f t="shared" si="1136"/>
        <v>0</v>
      </c>
      <c r="AK645" s="104">
        <f t="shared" si="1137"/>
        <v>0</v>
      </c>
      <c r="AL645" s="105"/>
    </row>
    <row r="646" spans="1:38" ht="15.6" hidden="1" thickBot="1">
      <c r="A646" s="91"/>
      <c r="B646" s="100"/>
      <c r="C646" s="92"/>
      <c r="D646" s="101" t="s">
        <v>102</v>
      </c>
      <c r="E646" s="106" t="e">
        <f t="shared" ref="E646:R646" si="1138">E645/E644</f>
        <v>#DIV/0!</v>
      </c>
      <c r="F646" s="106" t="e">
        <f t="shared" si="1138"/>
        <v>#DIV/0!</v>
      </c>
      <c r="G646" s="106" t="e">
        <f t="shared" si="1138"/>
        <v>#DIV/0!</v>
      </c>
      <c r="H646" s="106" t="e">
        <f t="shared" si="1138"/>
        <v>#DIV/0!</v>
      </c>
      <c r="I646" s="106" t="e">
        <f t="shared" si="1138"/>
        <v>#DIV/0!</v>
      </c>
      <c r="J646" s="106" t="e">
        <f t="shared" si="1138"/>
        <v>#DIV/0!</v>
      </c>
      <c r="K646" s="106" t="e">
        <f t="shared" si="1138"/>
        <v>#DIV/0!</v>
      </c>
      <c r="L646" s="106" t="e">
        <f t="shared" si="1138"/>
        <v>#DIV/0!</v>
      </c>
      <c r="M646" s="107" t="e">
        <f t="shared" si="1138"/>
        <v>#DIV/0!</v>
      </c>
      <c r="N646" s="107" t="e">
        <f t="shared" si="1138"/>
        <v>#DIV/0!</v>
      </c>
      <c r="O646" s="107" t="e">
        <f t="shared" si="1138"/>
        <v>#DIV/0!</v>
      </c>
      <c r="P646" s="108" t="e">
        <f t="shared" si="1138"/>
        <v>#DIV/0!</v>
      </c>
      <c r="Q646" s="109" t="e">
        <f t="shared" si="1138"/>
        <v>#DIV/0!</v>
      </c>
      <c r="R646" s="110" t="e">
        <f t="shared" si="1138"/>
        <v>#DIV/0!</v>
      </c>
      <c r="S646" s="105"/>
      <c r="T646" s="91"/>
      <c r="U646" s="100"/>
      <c r="V646" s="92"/>
      <c r="W646" s="101" t="s">
        <v>102</v>
      </c>
      <c r="X646" s="106" t="e">
        <f t="shared" ref="X646:AK646" si="1139">X645/X644</f>
        <v>#DIV/0!</v>
      </c>
      <c r="Y646" s="106" t="e">
        <f t="shared" si="1139"/>
        <v>#DIV/0!</v>
      </c>
      <c r="Z646" s="106" t="e">
        <f t="shared" si="1139"/>
        <v>#DIV/0!</v>
      </c>
      <c r="AA646" s="106" t="e">
        <f t="shared" si="1139"/>
        <v>#DIV/0!</v>
      </c>
      <c r="AB646" s="106" t="e">
        <f t="shared" si="1139"/>
        <v>#DIV/0!</v>
      </c>
      <c r="AC646" s="106" t="e">
        <f t="shared" si="1139"/>
        <v>#DIV/0!</v>
      </c>
      <c r="AD646" s="106" t="e">
        <f t="shared" si="1139"/>
        <v>#DIV/0!</v>
      </c>
      <c r="AE646" s="106" t="e">
        <f t="shared" si="1139"/>
        <v>#DIV/0!</v>
      </c>
      <c r="AF646" s="107" t="e">
        <f t="shared" si="1139"/>
        <v>#DIV/0!</v>
      </c>
      <c r="AG646" s="107" t="e">
        <f t="shared" si="1139"/>
        <v>#DIV/0!</v>
      </c>
      <c r="AH646" s="107" t="e">
        <f t="shared" si="1139"/>
        <v>#DIV/0!</v>
      </c>
      <c r="AI646" s="108" t="e">
        <f t="shared" si="1139"/>
        <v>#DIV/0!</v>
      </c>
      <c r="AJ646" s="109" t="e">
        <f t="shared" si="1139"/>
        <v>#DIV/0!</v>
      </c>
      <c r="AK646" s="110" t="e">
        <f t="shared" si="1139"/>
        <v>#DIV/0!</v>
      </c>
      <c r="AL646" s="105"/>
    </row>
    <row r="647" spans="1:38" ht="15.6" hidden="1" thickBot="1">
      <c r="A647" s="91"/>
      <c r="B647" s="100"/>
      <c r="C647" s="111"/>
      <c r="D647" s="112" t="s">
        <v>103</v>
      </c>
      <c r="E647" s="113" t="e">
        <f t="shared" ref="E647:R647" si="1140">E645/E643</f>
        <v>#DIV/0!</v>
      </c>
      <c r="F647" s="113" t="e">
        <f t="shared" si="1140"/>
        <v>#DIV/0!</v>
      </c>
      <c r="G647" s="113" t="e">
        <f t="shared" si="1140"/>
        <v>#DIV/0!</v>
      </c>
      <c r="H647" s="113" t="e">
        <f t="shared" si="1140"/>
        <v>#DIV/0!</v>
      </c>
      <c r="I647" s="113" t="e">
        <f t="shared" si="1140"/>
        <v>#DIV/0!</v>
      </c>
      <c r="J647" s="113" t="e">
        <f t="shared" si="1140"/>
        <v>#DIV/0!</v>
      </c>
      <c r="K647" s="113" t="e">
        <f t="shared" si="1140"/>
        <v>#DIV/0!</v>
      </c>
      <c r="L647" s="113" t="e">
        <f t="shared" si="1140"/>
        <v>#DIV/0!</v>
      </c>
      <c r="M647" s="113" t="e">
        <f t="shared" si="1140"/>
        <v>#DIV/0!</v>
      </c>
      <c r="N647" s="113" t="e">
        <f t="shared" si="1140"/>
        <v>#DIV/0!</v>
      </c>
      <c r="O647" s="113" t="e">
        <f t="shared" si="1140"/>
        <v>#DIV/0!</v>
      </c>
      <c r="P647" s="114" t="e">
        <f t="shared" si="1140"/>
        <v>#DIV/0!</v>
      </c>
      <c r="Q647" s="115" t="e">
        <f t="shared" si="1140"/>
        <v>#DIV/0!</v>
      </c>
      <c r="R647" s="116" t="e">
        <f t="shared" si="1140"/>
        <v>#DIV/0!</v>
      </c>
      <c r="T647" s="91"/>
      <c r="U647" s="100"/>
      <c r="V647" s="111"/>
      <c r="W647" s="112" t="s">
        <v>103</v>
      </c>
      <c r="X647" s="113" t="e">
        <f t="shared" ref="X647:AK647" si="1141">X645/X643</f>
        <v>#DIV/0!</v>
      </c>
      <c r="Y647" s="113" t="e">
        <f t="shared" si="1141"/>
        <v>#DIV/0!</v>
      </c>
      <c r="Z647" s="113" t="e">
        <f t="shared" si="1141"/>
        <v>#DIV/0!</v>
      </c>
      <c r="AA647" s="113" t="e">
        <f t="shared" si="1141"/>
        <v>#DIV/0!</v>
      </c>
      <c r="AB647" s="113" t="e">
        <f t="shared" si="1141"/>
        <v>#DIV/0!</v>
      </c>
      <c r="AC647" s="113" t="e">
        <f t="shared" si="1141"/>
        <v>#DIV/0!</v>
      </c>
      <c r="AD647" s="113" t="e">
        <f t="shared" si="1141"/>
        <v>#DIV/0!</v>
      </c>
      <c r="AE647" s="113" t="e">
        <f t="shared" si="1141"/>
        <v>#DIV/0!</v>
      </c>
      <c r="AF647" s="113" t="e">
        <f t="shared" si="1141"/>
        <v>#DIV/0!</v>
      </c>
      <c r="AG647" s="113" t="e">
        <f t="shared" si="1141"/>
        <v>#DIV/0!</v>
      </c>
      <c r="AH647" s="113" t="e">
        <f t="shared" si="1141"/>
        <v>#DIV/0!</v>
      </c>
      <c r="AI647" s="114" t="e">
        <f t="shared" si="1141"/>
        <v>#DIV/0!</v>
      </c>
      <c r="AJ647" s="115" t="e">
        <f t="shared" si="1141"/>
        <v>#DIV/0!</v>
      </c>
      <c r="AK647" s="116" t="e">
        <f t="shared" si="1141"/>
        <v>#DIV/0!</v>
      </c>
    </row>
    <row r="648" spans="1:38" ht="15.6" hidden="1" thickBot="1">
      <c r="A648" s="91"/>
      <c r="B648" s="100"/>
      <c r="C648" s="86"/>
      <c r="D648" s="87">
        <v>2019</v>
      </c>
      <c r="E648" s="88"/>
      <c r="F648" s="121"/>
      <c r="G648" s="121"/>
      <c r="H648" s="121"/>
      <c r="I648" s="121"/>
      <c r="J648" s="121"/>
      <c r="K648" s="121"/>
      <c r="L648" s="121"/>
      <c r="M648" s="122"/>
      <c r="N648" s="122"/>
      <c r="O648" s="122"/>
      <c r="P648" s="123"/>
      <c r="Q648" s="89">
        <f t="shared" ref="Q648:Q650" si="1142">SUM(E648:P648)</f>
        <v>0</v>
      </c>
      <c r="R648" s="90">
        <f t="shared" ref="R648" si="1143">SUM(E648:M648)</f>
        <v>0</v>
      </c>
      <c r="T648" s="91"/>
      <c r="U648" s="100"/>
      <c r="V648" s="86">
        <f t="shared" ref="V648:V649" si="1144">C648</f>
        <v>0</v>
      </c>
      <c r="W648" s="87">
        <v>2019</v>
      </c>
      <c r="X648" s="88"/>
      <c r="Y648" s="121"/>
      <c r="Z648" s="121"/>
      <c r="AA648" s="121"/>
      <c r="AB648" s="121"/>
      <c r="AC648" s="121"/>
      <c r="AD648" s="121"/>
      <c r="AE648" s="121"/>
      <c r="AF648" s="122"/>
      <c r="AG648" s="122"/>
      <c r="AH648" s="122"/>
      <c r="AI648" s="123"/>
      <c r="AJ648" s="89">
        <f t="shared" ref="AJ648:AJ650" si="1145">SUM(X648:AI648)</f>
        <v>0</v>
      </c>
      <c r="AK648" s="90">
        <f t="shared" ref="AK648:AK650" si="1146">SUM(X648:AF648)</f>
        <v>0</v>
      </c>
    </row>
    <row r="649" spans="1:38" ht="15.6" hidden="1" thickBot="1">
      <c r="A649" s="91"/>
      <c r="B649" s="100"/>
      <c r="C649" s="92"/>
      <c r="D649" s="93" t="s">
        <v>92</v>
      </c>
      <c r="E649" s="94"/>
      <c r="F649" s="97"/>
      <c r="G649" s="97"/>
      <c r="H649" s="97"/>
      <c r="I649" s="97"/>
      <c r="J649" s="97"/>
      <c r="K649" s="97"/>
      <c r="L649" s="97"/>
      <c r="M649" s="98"/>
      <c r="N649" s="98"/>
      <c r="O649" s="98"/>
      <c r="P649" s="99"/>
      <c r="Q649" s="95">
        <f t="shared" si="1142"/>
        <v>0</v>
      </c>
      <c r="R649" s="96">
        <f t="shared" si="1044"/>
        <v>0</v>
      </c>
      <c r="T649" s="91"/>
      <c r="U649" s="100"/>
      <c r="V649" s="92">
        <f t="shared" si="1144"/>
        <v>0</v>
      </c>
      <c r="W649" s="93" t="s">
        <v>92</v>
      </c>
      <c r="X649" s="94"/>
      <c r="Y649" s="97"/>
      <c r="Z649" s="97"/>
      <c r="AA649" s="97"/>
      <c r="AB649" s="97"/>
      <c r="AC649" s="97"/>
      <c r="AD649" s="97"/>
      <c r="AE649" s="97"/>
      <c r="AF649" s="98"/>
      <c r="AG649" s="98"/>
      <c r="AH649" s="98"/>
      <c r="AI649" s="99"/>
      <c r="AJ649" s="95">
        <f t="shared" si="1145"/>
        <v>0</v>
      </c>
      <c r="AK649" s="96">
        <f t="shared" si="1146"/>
        <v>0</v>
      </c>
    </row>
    <row r="650" spans="1:38" ht="15.6" hidden="1" thickBot="1">
      <c r="A650" s="91"/>
      <c r="B650" s="100"/>
      <c r="C650" s="92"/>
      <c r="D650" s="101">
        <v>2020</v>
      </c>
      <c r="E650" s="102"/>
      <c r="F650" s="124"/>
      <c r="G650" s="124"/>
      <c r="H650" s="124"/>
      <c r="I650" s="124"/>
      <c r="J650" s="124"/>
      <c r="K650" s="124"/>
      <c r="L650" s="124"/>
      <c r="M650" s="125"/>
      <c r="N650" s="125"/>
      <c r="O650" s="125"/>
      <c r="P650" s="126"/>
      <c r="Q650" s="103">
        <f t="shared" si="1142"/>
        <v>0</v>
      </c>
      <c r="R650" s="104">
        <f t="shared" si="1044"/>
        <v>0</v>
      </c>
      <c r="S650" s="105"/>
      <c r="T650" s="91"/>
      <c r="U650" s="100"/>
      <c r="V650" s="92"/>
      <c r="W650" s="101">
        <v>2020</v>
      </c>
      <c r="X650" s="102"/>
      <c r="Y650" s="124"/>
      <c r="Z650" s="124"/>
      <c r="AA650" s="124"/>
      <c r="AB650" s="124"/>
      <c r="AC650" s="124"/>
      <c r="AD650" s="124"/>
      <c r="AE650" s="124"/>
      <c r="AF650" s="125"/>
      <c r="AG650" s="125"/>
      <c r="AH650" s="125"/>
      <c r="AI650" s="126"/>
      <c r="AJ650" s="103">
        <f t="shared" si="1145"/>
        <v>0</v>
      </c>
      <c r="AK650" s="104">
        <f t="shared" si="1146"/>
        <v>0</v>
      </c>
      <c r="AL650" s="105"/>
    </row>
    <row r="651" spans="1:38" ht="15.6" hidden="1" thickBot="1">
      <c r="A651" s="91"/>
      <c r="B651" s="100"/>
      <c r="C651" s="92"/>
      <c r="D651" s="101" t="s">
        <v>102</v>
      </c>
      <c r="E651" s="106" t="e">
        <f t="shared" ref="E651:R651" si="1147">E650/E649</f>
        <v>#DIV/0!</v>
      </c>
      <c r="F651" s="106" t="e">
        <f t="shared" si="1147"/>
        <v>#DIV/0!</v>
      </c>
      <c r="G651" s="106" t="e">
        <f t="shared" si="1147"/>
        <v>#DIV/0!</v>
      </c>
      <c r="H651" s="106" t="e">
        <f t="shared" si="1147"/>
        <v>#DIV/0!</v>
      </c>
      <c r="I651" s="106" t="e">
        <f t="shared" si="1147"/>
        <v>#DIV/0!</v>
      </c>
      <c r="J651" s="106" t="e">
        <f t="shared" si="1147"/>
        <v>#DIV/0!</v>
      </c>
      <c r="K651" s="106" t="e">
        <f t="shared" si="1147"/>
        <v>#DIV/0!</v>
      </c>
      <c r="L651" s="106" t="e">
        <f t="shared" si="1147"/>
        <v>#DIV/0!</v>
      </c>
      <c r="M651" s="107" t="e">
        <f t="shared" si="1147"/>
        <v>#DIV/0!</v>
      </c>
      <c r="N651" s="107" t="e">
        <f t="shared" si="1147"/>
        <v>#DIV/0!</v>
      </c>
      <c r="O651" s="107" t="e">
        <f t="shared" si="1147"/>
        <v>#DIV/0!</v>
      </c>
      <c r="P651" s="108" t="e">
        <f t="shared" si="1147"/>
        <v>#DIV/0!</v>
      </c>
      <c r="Q651" s="109" t="e">
        <f t="shared" si="1147"/>
        <v>#DIV/0!</v>
      </c>
      <c r="R651" s="110" t="e">
        <f t="shared" si="1147"/>
        <v>#DIV/0!</v>
      </c>
      <c r="S651" s="105"/>
      <c r="T651" s="91"/>
      <c r="U651" s="100"/>
      <c r="V651" s="92"/>
      <c r="W651" s="101" t="s">
        <v>102</v>
      </c>
      <c r="X651" s="106" t="e">
        <f t="shared" ref="X651:AK651" si="1148">X650/X649</f>
        <v>#DIV/0!</v>
      </c>
      <c r="Y651" s="106" t="e">
        <f t="shared" si="1148"/>
        <v>#DIV/0!</v>
      </c>
      <c r="Z651" s="106" t="e">
        <f t="shared" si="1148"/>
        <v>#DIV/0!</v>
      </c>
      <c r="AA651" s="106" t="e">
        <f t="shared" si="1148"/>
        <v>#DIV/0!</v>
      </c>
      <c r="AB651" s="106" t="e">
        <f t="shared" si="1148"/>
        <v>#DIV/0!</v>
      </c>
      <c r="AC651" s="106" t="e">
        <f t="shared" si="1148"/>
        <v>#DIV/0!</v>
      </c>
      <c r="AD651" s="106" t="e">
        <f t="shared" si="1148"/>
        <v>#DIV/0!</v>
      </c>
      <c r="AE651" s="106" t="e">
        <f t="shared" si="1148"/>
        <v>#DIV/0!</v>
      </c>
      <c r="AF651" s="107" t="e">
        <f t="shared" si="1148"/>
        <v>#DIV/0!</v>
      </c>
      <c r="AG651" s="107" t="e">
        <f t="shared" si="1148"/>
        <v>#DIV/0!</v>
      </c>
      <c r="AH651" s="107" t="e">
        <f t="shared" si="1148"/>
        <v>#DIV/0!</v>
      </c>
      <c r="AI651" s="108" t="e">
        <f t="shared" si="1148"/>
        <v>#DIV/0!</v>
      </c>
      <c r="AJ651" s="109" t="e">
        <f t="shared" si="1148"/>
        <v>#DIV/0!</v>
      </c>
      <c r="AK651" s="110" t="e">
        <f t="shared" si="1148"/>
        <v>#DIV/0!</v>
      </c>
      <c r="AL651" s="105"/>
    </row>
    <row r="652" spans="1:38" ht="15.6" hidden="1" thickBot="1">
      <c r="A652" s="91"/>
      <c r="B652" s="100"/>
      <c r="C652" s="111"/>
      <c r="D652" s="112" t="s">
        <v>103</v>
      </c>
      <c r="E652" s="113" t="e">
        <f t="shared" ref="E652:R652" si="1149">E650/E648</f>
        <v>#DIV/0!</v>
      </c>
      <c r="F652" s="113" t="e">
        <f t="shared" si="1149"/>
        <v>#DIV/0!</v>
      </c>
      <c r="G652" s="113" t="e">
        <f t="shared" si="1149"/>
        <v>#DIV/0!</v>
      </c>
      <c r="H652" s="113" t="e">
        <f t="shared" si="1149"/>
        <v>#DIV/0!</v>
      </c>
      <c r="I652" s="113" t="e">
        <f t="shared" si="1149"/>
        <v>#DIV/0!</v>
      </c>
      <c r="J652" s="113" t="e">
        <f t="shared" si="1149"/>
        <v>#DIV/0!</v>
      </c>
      <c r="K652" s="113" t="e">
        <f t="shared" si="1149"/>
        <v>#DIV/0!</v>
      </c>
      <c r="L652" s="113" t="e">
        <f t="shared" si="1149"/>
        <v>#DIV/0!</v>
      </c>
      <c r="M652" s="113" t="e">
        <f t="shared" si="1149"/>
        <v>#DIV/0!</v>
      </c>
      <c r="N652" s="113" t="e">
        <f t="shared" si="1149"/>
        <v>#DIV/0!</v>
      </c>
      <c r="O652" s="113" t="e">
        <f t="shared" si="1149"/>
        <v>#DIV/0!</v>
      </c>
      <c r="P652" s="114" t="e">
        <f t="shared" si="1149"/>
        <v>#DIV/0!</v>
      </c>
      <c r="Q652" s="115" t="e">
        <f t="shared" si="1149"/>
        <v>#DIV/0!</v>
      </c>
      <c r="R652" s="116" t="e">
        <f t="shared" si="1149"/>
        <v>#DIV/0!</v>
      </c>
      <c r="T652" s="91"/>
      <c r="U652" s="100"/>
      <c r="V652" s="111"/>
      <c r="W652" s="112" t="s">
        <v>103</v>
      </c>
      <c r="X652" s="113" t="e">
        <f t="shared" ref="X652:AK652" si="1150">X650/X648</f>
        <v>#DIV/0!</v>
      </c>
      <c r="Y652" s="113" t="e">
        <f t="shared" si="1150"/>
        <v>#DIV/0!</v>
      </c>
      <c r="Z652" s="113" t="e">
        <f t="shared" si="1150"/>
        <v>#DIV/0!</v>
      </c>
      <c r="AA652" s="113" t="e">
        <f t="shared" si="1150"/>
        <v>#DIV/0!</v>
      </c>
      <c r="AB652" s="113" t="e">
        <f t="shared" si="1150"/>
        <v>#DIV/0!</v>
      </c>
      <c r="AC652" s="113" t="e">
        <f t="shared" si="1150"/>
        <v>#DIV/0!</v>
      </c>
      <c r="AD652" s="113" t="e">
        <f t="shared" si="1150"/>
        <v>#DIV/0!</v>
      </c>
      <c r="AE652" s="113" t="e">
        <f t="shared" si="1150"/>
        <v>#DIV/0!</v>
      </c>
      <c r="AF652" s="113" t="e">
        <f t="shared" si="1150"/>
        <v>#DIV/0!</v>
      </c>
      <c r="AG652" s="113" t="e">
        <f t="shared" si="1150"/>
        <v>#DIV/0!</v>
      </c>
      <c r="AH652" s="113" t="e">
        <f t="shared" si="1150"/>
        <v>#DIV/0!</v>
      </c>
      <c r="AI652" s="114" t="e">
        <f t="shared" si="1150"/>
        <v>#DIV/0!</v>
      </c>
      <c r="AJ652" s="115" t="e">
        <f t="shared" si="1150"/>
        <v>#DIV/0!</v>
      </c>
      <c r="AK652" s="116" t="e">
        <f t="shared" si="1150"/>
        <v>#DIV/0!</v>
      </c>
    </row>
    <row r="653" spans="1:38" ht="15.6" hidden="1" thickBot="1">
      <c r="A653" s="91"/>
      <c r="B653" s="100"/>
      <c r="C653" s="86"/>
      <c r="D653" s="87">
        <v>2019</v>
      </c>
      <c r="E653" s="88"/>
      <c r="F653" s="121"/>
      <c r="G653" s="121"/>
      <c r="H653" s="121"/>
      <c r="I653" s="121"/>
      <c r="J653" s="121"/>
      <c r="K653" s="121"/>
      <c r="L653" s="121"/>
      <c r="M653" s="122"/>
      <c r="N653" s="122"/>
      <c r="O653" s="122"/>
      <c r="P653" s="123"/>
      <c r="Q653" s="89">
        <f t="shared" ref="Q653:Q655" si="1151">SUM(E653:P653)</f>
        <v>0</v>
      </c>
      <c r="R653" s="90">
        <f t="shared" ref="R653" si="1152">SUM(E653:M653)</f>
        <v>0</v>
      </c>
      <c r="T653" s="91"/>
      <c r="U653" s="100"/>
      <c r="V653" s="86">
        <f t="shared" ref="V653:V654" si="1153">C653</f>
        <v>0</v>
      </c>
      <c r="W653" s="87">
        <v>2019</v>
      </c>
      <c r="X653" s="88"/>
      <c r="Y653" s="121"/>
      <c r="Z653" s="121"/>
      <c r="AA653" s="121"/>
      <c r="AB653" s="121"/>
      <c r="AC653" s="121"/>
      <c r="AD653" s="121"/>
      <c r="AE653" s="121"/>
      <c r="AF653" s="122"/>
      <c r="AG653" s="122"/>
      <c r="AH653" s="122"/>
      <c r="AI653" s="123"/>
      <c r="AJ653" s="89">
        <f t="shared" ref="AJ653:AJ655" si="1154">SUM(X653:AI653)</f>
        <v>0</v>
      </c>
      <c r="AK653" s="90">
        <f t="shared" ref="AK653:AK655" si="1155">SUM(X653:AF653)</f>
        <v>0</v>
      </c>
    </row>
    <row r="654" spans="1:38" ht="15.6" hidden="1" thickBot="1">
      <c r="A654" s="91"/>
      <c r="B654" s="100"/>
      <c r="C654" s="92"/>
      <c r="D654" s="93" t="s">
        <v>92</v>
      </c>
      <c r="E654" s="94"/>
      <c r="F654" s="97"/>
      <c r="G654" s="97"/>
      <c r="H654" s="97"/>
      <c r="I654" s="97"/>
      <c r="J654" s="97"/>
      <c r="K654" s="97"/>
      <c r="L654" s="97"/>
      <c r="M654" s="98"/>
      <c r="N654" s="98"/>
      <c r="O654" s="98"/>
      <c r="P654" s="99"/>
      <c r="Q654" s="95">
        <f t="shared" si="1151"/>
        <v>0</v>
      </c>
      <c r="R654" s="96">
        <f t="shared" si="1044"/>
        <v>0</v>
      </c>
      <c r="T654" s="91"/>
      <c r="U654" s="100"/>
      <c r="V654" s="92">
        <f t="shared" si="1153"/>
        <v>0</v>
      </c>
      <c r="W654" s="93" t="s">
        <v>92</v>
      </c>
      <c r="X654" s="94"/>
      <c r="Y654" s="97"/>
      <c r="Z654" s="97"/>
      <c r="AA654" s="97"/>
      <c r="AB654" s="97"/>
      <c r="AC654" s="97"/>
      <c r="AD654" s="97"/>
      <c r="AE654" s="97"/>
      <c r="AF654" s="98"/>
      <c r="AG654" s="98"/>
      <c r="AH654" s="98"/>
      <c r="AI654" s="99"/>
      <c r="AJ654" s="95">
        <f t="shared" si="1154"/>
        <v>0</v>
      </c>
      <c r="AK654" s="96">
        <f t="shared" si="1155"/>
        <v>0</v>
      </c>
    </row>
    <row r="655" spans="1:38" ht="15.6" hidden="1" thickBot="1">
      <c r="A655" s="91"/>
      <c r="B655" s="100"/>
      <c r="C655" s="92"/>
      <c r="D655" s="101">
        <v>2020</v>
      </c>
      <c r="E655" s="102"/>
      <c r="F655" s="124"/>
      <c r="G655" s="124"/>
      <c r="H655" s="124"/>
      <c r="I655" s="124"/>
      <c r="J655" s="124"/>
      <c r="K655" s="124"/>
      <c r="L655" s="124"/>
      <c r="M655" s="125"/>
      <c r="N655" s="125"/>
      <c r="O655" s="125"/>
      <c r="P655" s="126"/>
      <c r="Q655" s="103">
        <f t="shared" si="1151"/>
        <v>0</v>
      </c>
      <c r="R655" s="104">
        <f t="shared" si="1044"/>
        <v>0</v>
      </c>
      <c r="S655" s="105"/>
      <c r="T655" s="91"/>
      <c r="U655" s="100"/>
      <c r="V655" s="92"/>
      <c r="W655" s="101">
        <v>2020</v>
      </c>
      <c r="X655" s="102"/>
      <c r="Y655" s="124"/>
      <c r="Z655" s="124"/>
      <c r="AA655" s="124"/>
      <c r="AB655" s="124"/>
      <c r="AC655" s="124"/>
      <c r="AD655" s="124"/>
      <c r="AE655" s="124"/>
      <c r="AF655" s="125"/>
      <c r="AG655" s="125"/>
      <c r="AH655" s="125"/>
      <c r="AI655" s="126"/>
      <c r="AJ655" s="103">
        <f t="shared" si="1154"/>
        <v>0</v>
      </c>
      <c r="AK655" s="104">
        <f t="shared" si="1155"/>
        <v>0</v>
      </c>
      <c r="AL655" s="105"/>
    </row>
    <row r="656" spans="1:38" ht="15.6" hidden="1" thickBot="1">
      <c r="A656" s="91"/>
      <c r="B656" s="100"/>
      <c r="C656" s="92"/>
      <c r="D656" s="101" t="s">
        <v>102</v>
      </c>
      <c r="E656" s="106" t="e">
        <f t="shared" ref="E656:R656" si="1156">E655/E654</f>
        <v>#DIV/0!</v>
      </c>
      <c r="F656" s="106" t="e">
        <f t="shared" si="1156"/>
        <v>#DIV/0!</v>
      </c>
      <c r="G656" s="106" t="e">
        <f t="shared" si="1156"/>
        <v>#DIV/0!</v>
      </c>
      <c r="H656" s="106" t="e">
        <f t="shared" si="1156"/>
        <v>#DIV/0!</v>
      </c>
      <c r="I656" s="106" t="e">
        <f t="shared" si="1156"/>
        <v>#DIV/0!</v>
      </c>
      <c r="J656" s="106" t="e">
        <f t="shared" si="1156"/>
        <v>#DIV/0!</v>
      </c>
      <c r="K656" s="106" t="e">
        <f t="shared" si="1156"/>
        <v>#DIV/0!</v>
      </c>
      <c r="L656" s="106" t="e">
        <f t="shared" si="1156"/>
        <v>#DIV/0!</v>
      </c>
      <c r="M656" s="107" t="e">
        <f t="shared" si="1156"/>
        <v>#DIV/0!</v>
      </c>
      <c r="N656" s="107" t="e">
        <f t="shared" si="1156"/>
        <v>#DIV/0!</v>
      </c>
      <c r="O656" s="107" t="e">
        <f t="shared" si="1156"/>
        <v>#DIV/0!</v>
      </c>
      <c r="P656" s="108" t="e">
        <f t="shared" si="1156"/>
        <v>#DIV/0!</v>
      </c>
      <c r="Q656" s="109" t="e">
        <f t="shared" si="1156"/>
        <v>#DIV/0!</v>
      </c>
      <c r="R656" s="110" t="e">
        <f t="shared" si="1156"/>
        <v>#DIV/0!</v>
      </c>
      <c r="S656" s="105"/>
      <c r="T656" s="91"/>
      <c r="U656" s="100"/>
      <c r="V656" s="92"/>
      <c r="W656" s="101" t="s">
        <v>102</v>
      </c>
      <c r="X656" s="106" t="e">
        <f t="shared" ref="X656:AK656" si="1157">X655/X654</f>
        <v>#DIV/0!</v>
      </c>
      <c r="Y656" s="106" t="e">
        <f t="shared" si="1157"/>
        <v>#DIV/0!</v>
      </c>
      <c r="Z656" s="106" t="e">
        <f t="shared" si="1157"/>
        <v>#DIV/0!</v>
      </c>
      <c r="AA656" s="106" t="e">
        <f t="shared" si="1157"/>
        <v>#DIV/0!</v>
      </c>
      <c r="AB656" s="106" t="e">
        <f t="shared" si="1157"/>
        <v>#DIV/0!</v>
      </c>
      <c r="AC656" s="106" t="e">
        <f t="shared" si="1157"/>
        <v>#DIV/0!</v>
      </c>
      <c r="AD656" s="106" t="e">
        <f t="shared" si="1157"/>
        <v>#DIV/0!</v>
      </c>
      <c r="AE656" s="106" t="e">
        <f t="shared" si="1157"/>
        <v>#DIV/0!</v>
      </c>
      <c r="AF656" s="107" t="e">
        <f t="shared" si="1157"/>
        <v>#DIV/0!</v>
      </c>
      <c r="AG656" s="107" t="e">
        <f t="shared" si="1157"/>
        <v>#DIV/0!</v>
      </c>
      <c r="AH656" s="107" t="e">
        <f t="shared" si="1157"/>
        <v>#DIV/0!</v>
      </c>
      <c r="AI656" s="108" t="e">
        <f t="shared" si="1157"/>
        <v>#DIV/0!</v>
      </c>
      <c r="AJ656" s="109" t="e">
        <f t="shared" si="1157"/>
        <v>#DIV/0!</v>
      </c>
      <c r="AK656" s="110" t="e">
        <f t="shared" si="1157"/>
        <v>#DIV/0!</v>
      </c>
      <c r="AL656" s="105"/>
    </row>
    <row r="657" spans="1:38" ht="15.6" hidden="1" thickBot="1">
      <c r="A657" s="91"/>
      <c r="B657" s="100"/>
      <c r="C657" s="111"/>
      <c r="D657" s="112" t="s">
        <v>103</v>
      </c>
      <c r="E657" s="113" t="e">
        <f t="shared" ref="E657:R657" si="1158">E655/E653</f>
        <v>#DIV/0!</v>
      </c>
      <c r="F657" s="113" t="e">
        <f t="shared" si="1158"/>
        <v>#DIV/0!</v>
      </c>
      <c r="G657" s="113" t="e">
        <f t="shared" si="1158"/>
        <v>#DIV/0!</v>
      </c>
      <c r="H657" s="113" t="e">
        <f t="shared" si="1158"/>
        <v>#DIV/0!</v>
      </c>
      <c r="I657" s="113" t="e">
        <f t="shared" si="1158"/>
        <v>#DIV/0!</v>
      </c>
      <c r="J657" s="113" t="e">
        <f t="shared" si="1158"/>
        <v>#DIV/0!</v>
      </c>
      <c r="K657" s="113" t="e">
        <f t="shared" si="1158"/>
        <v>#DIV/0!</v>
      </c>
      <c r="L657" s="113" t="e">
        <f t="shared" si="1158"/>
        <v>#DIV/0!</v>
      </c>
      <c r="M657" s="113" t="e">
        <f t="shared" si="1158"/>
        <v>#DIV/0!</v>
      </c>
      <c r="N657" s="113" t="e">
        <f t="shared" si="1158"/>
        <v>#DIV/0!</v>
      </c>
      <c r="O657" s="113" t="e">
        <f t="shared" si="1158"/>
        <v>#DIV/0!</v>
      </c>
      <c r="P657" s="114" t="e">
        <f t="shared" si="1158"/>
        <v>#DIV/0!</v>
      </c>
      <c r="Q657" s="115" t="e">
        <f t="shared" si="1158"/>
        <v>#DIV/0!</v>
      </c>
      <c r="R657" s="116" t="e">
        <f t="shared" si="1158"/>
        <v>#DIV/0!</v>
      </c>
      <c r="T657" s="91"/>
      <c r="U657" s="100"/>
      <c r="V657" s="111"/>
      <c r="W657" s="112" t="s">
        <v>103</v>
      </c>
      <c r="X657" s="113" t="e">
        <f t="shared" ref="X657:AK657" si="1159">X655/X653</f>
        <v>#DIV/0!</v>
      </c>
      <c r="Y657" s="113" t="e">
        <f t="shared" si="1159"/>
        <v>#DIV/0!</v>
      </c>
      <c r="Z657" s="113" t="e">
        <f t="shared" si="1159"/>
        <v>#DIV/0!</v>
      </c>
      <c r="AA657" s="113" t="e">
        <f t="shared" si="1159"/>
        <v>#DIV/0!</v>
      </c>
      <c r="AB657" s="113" t="e">
        <f t="shared" si="1159"/>
        <v>#DIV/0!</v>
      </c>
      <c r="AC657" s="113" t="e">
        <f t="shared" si="1159"/>
        <v>#DIV/0!</v>
      </c>
      <c r="AD657" s="113" t="e">
        <f t="shared" si="1159"/>
        <v>#DIV/0!</v>
      </c>
      <c r="AE657" s="113" t="e">
        <f t="shared" si="1159"/>
        <v>#DIV/0!</v>
      </c>
      <c r="AF657" s="113" t="e">
        <f t="shared" si="1159"/>
        <v>#DIV/0!</v>
      </c>
      <c r="AG657" s="113" t="e">
        <f t="shared" si="1159"/>
        <v>#DIV/0!</v>
      </c>
      <c r="AH657" s="113" t="e">
        <f t="shared" si="1159"/>
        <v>#DIV/0!</v>
      </c>
      <c r="AI657" s="114" t="e">
        <f t="shared" si="1159"/>
        <v>#DIV/0!</v>
      </c>
      <c r="AJ657" s="115" t="e">
        <f t="shared" si="1159"/>
        <v>#DIV/0!</v>
      </c>
      <c r="AK657" s="116" t="e">
        <f t="shared" si="1159"/>
        <v>#DIV/0!</v>
      </c>
    </row>
    <row r="658" spans="1:38" ht="15.6" hidden="1" thickBot="1">
      <c r="A658" s="91"/>
      <c r="B658" s="100"/>
      <c r="C658" s="86"/>
      <c r="D658" s="87">
        <v>2019</v>
      </c>
      <c r="E658" s="88"/>
      <c r="F658" s="121"/>
      <c r="G658" s="121"/>
      <c r="H658" s="121"/>
      <c r="I658" s="121"/>
      <c r="J658" s="121"/>
      <c r="K658" s="121"/>
      <c r="L658" s="121"/>
      <c r="M658" s="122"/>
      <c r="N658" s="122"/>
      <c r="O658" s="122"/>
      <c r="P658" s="123"/>
      <c r="Q658" s="89">
        <f t="shared" ref="Q658:Q660" si="1160">SUM(E658:P658)</f>
        <v>0</v>
      </c>
      <c r="R658" s="90">
        <f t="shared" ref="R658:R720" si="1161">SUM(E658:M658)</f>
        <v>0</v>
      </c>
      <c r="T658" s="91"/>
      <c r="U658" s="100"/>
      <c r="V658" s="86">
        <f t="shared" ref="V658:V659" si="1162">C658</f>
        <v>0</v>
      </c>
      <c r="W658" s="87">
        <v>2019</v>
      </c>
      <c r="X658" s="88"/>
      <c r="Y658" s="121"/>
      <c r="Z658" s="121"/>
      <c r="AA658" s="121"/>
      <c r="AB658" s="121"/>
      <c r="AC658" s="121"/>
      <c r="AD658" s="121"/>
      <c r="AE658" s="121"/>
      <c r="AF658" s="122"/>
      <c r="AG658" s="122"/>
      <c r="AH658" s="122"/>
      <c r="AI658" s="123"/>
      <c r="AJ658" s="89">
        <f t="shared" ref="AJ658:AJ660" si="1163">SUM(X658:AI658)</f>
        <v>0</v>
      </c>
      <c r="AK658" s="90">
        <f t="shared" ref="AK658:AK660" si="1164">SUM(X658:AF658)</f>
        <v>0</v>
      </c>
    </row>
    <row r="659" spans="1:38" ht="15.6" hidden="1" thickBot="1">
      <c r="A659" s="91"/>
      <c r="B659" s="100"/>
      <c r="C659" s="92"/>
      <c r="D659" s="93" t="s">
        <v>92</v>
      </c>
      <c r="E659" s="94"/>
      <c r="F659" s="97"/>
      <c r="G659" s="97"/>
      <c r="H659" s="97"/>
      <c r="I659" s="97"/>
      <c r="J659" s="97"/>
      <c r="K659" s="97"/>
      <c r="L659" s="97"/>
      <c r="M659" s="98"/>
      <c r="N659" s="98"/>
      <c r="O659" s="98"/>
      <c r="P659" s="99"/>
      <c r="Q659" s="95">
        <f t="shared" si="1160"/>
        <v>0</v>
      </c>
      <c r="R659" s="96">
        <f t="shared" si="1161"/>
        <v>0</v>
      </c>
      <c r="T659" s="91"/>
      <c r="U659" s="100"/>
      <c r="V659" s="92">
        <f t="shared" si="1162"/>
        <v>0</v>
      </c>
      <c r="W659" s="93" t="s">
        <v>92</v>
      </c>
      <c r="X659" s="94"/>
      <c r="Y659" s="97"/>
      <c r="Z659" s="97"/>
      <c r="AA659" s="97"/>
      <c r="AB659" s="97"/>
      <c r="AC659" s="97"/>
      <c r="AD659" s="97"/>
      <c r="AE659" s="97"/>
      <c r="AF659" s="98"/>
      <c r="AG659" s="98"/>
      <c r="AH659" s="98"/>
      <c r="AI659" s="99"/>
      <c r="AJ659" s="95">
        <f t="shared" si="1163"/>
        <v>0</v>
      </c>
      <c r="AK659" s="96">
        <f t="shared" si="1164"/>
        <v>0</v>
      </c>
    </row>
    <row r="660" spans="1:38" ht="15.6" hidden="1" thickBot="1">
      <c r="A660" s="91"/>
      <c r="B660" s="100"/>
      <c r="C660" s="92"/>
      <c r="D660" s="101">
        <v>2020</v>
      </c>
      <c r="E660" s="102"/>
      <c r="F660" s="124"/>
      <c r="G660" s="124"/>
      <c r="H660" s="124"/>
      <c r="I660" s="124"/>
      <c r="J660" s="124"/>
      <c r="K660" s="124"/>
      <c r="L660" s="124"/>
      <c r="M660" s="125"/>
      <c r="N660" s="125"/>
      <c r="O660" s="125"/>
      <c r="P660" s="126"/>
      <c r="Q660" s="103">
        <f t="shared" si="1160"/>
        <v>0</v>
      </c>
      <c r="R660" s="104">
        <f t="shared" si="1161"/>
        <v>0</v>
      </c>
      <c r="S660" s="105"/>
      <c r="T660" s="91"/>
      <c r="U660" s="100"/>
      <c r="V660" s="92"/>
      <c r="W660" s="101">
        <v>2020</v>
      </c>
      <c r="X660" s="102"/>
      <c r="Y660" s="124"/>
      <c r="Z660" s="124"/>
      <c r="AA660" s="124"/>
      <c r="AB660" s="124"/>
      <c r="AC660" s="124"/>
      <c r="AD660" s="124"/>
      <c r="AE660" s="124"/>
      <c r="AF660" s="125"/>
      <c r="AG660" s="125"/>
      <c r="AH660" s="125"/>
      <c r="AI660" s="126"/>
      <c r="AJ660" s="103">
        <f t="shared" si="1163"/>
        <v>0</v>
      </c>
      <c r="AK660" s="104">
        <f t="shared" si="1164"/>
        <v>0</v>
      </c>
      <c r="AL660" s="105"/>
    </row>
    <row r="661" spans="1:38" ht="15.6" hidden="1" thickBot="1">
      <c r="A661" s="91"/>
      <c r="B661" s="100"/>
      <c r="C661" s="92"/>
      <c r="D661" s="101" t="s">
        <v>102</v>
      </c>
      <c r="E661" s="106" t="e">
        <f t="shared" ref="E661:R661" si="1165">E660/E659</f>
        <v>#DIV/0!</v>
      </c>
      <c r="F661" s="106" t="e">
        <f t="shared" si="1165"/>
        <v>#DIV/0!</v>
      </c>
      <c r="G661" s="106" t="e">
        <f t="shared" si="1165"/>
        <v>#DIV/0!</v>
      </c>
      <c r="H661" s="106" t="e">
        <f t="shared" si="1165"/>
        <v>#DIV/0!</v>
      </c>
      <c r="I661" s="106" t="e">
        <f t="shared" si="1165"/>
        <v>#DIV/0!</v>
      </c>
      <c r="J661" s="106" t="e">
        <f t="shared" si="1165"/>
        <v>#DIV/0!</v>
      </c>
      <c r="K661" s="106" t="e">
        <f t="shared" si="1165"/>
        <v>#DIV/0!</v>
      </c>
      <c r="L661" s="106" t="e">
        <f t="shared" si="1165"/>
        <v>#DIV/0!</v>
      </c>
      <c r="M661" s="107" t="e">
        <f t="shared" si="1165"/>
        <v>#DIV/0!</v>
      </c>
      <c r="N661" s="107" t="e">
        <f t="shared" si="1165"/>
        <v>#DIV/0!</v>
      </c>
      <c r="O661" s="107" t="e">
        <f t="shared" si="1165"/>
        <v>#DIV/0!</v>
      </c>
      <c r="P661" s="108" t="e">
        <f t="shared" si="1165"/>
        <v>#DIV/0!</v>
      </c>
      <c r="Q661" s="109" t="e">
        <f t="shared" si="1165"/>
        <v>#DIV/0!</v>
      </c>
      <c r="R661" s="110" t="e">
        <f t="shared" si="1165"/>
        <v>#DIV/0!</v>
      </c>
      <c r="S661" s="105"/>
      <c r="T661" s="91"/>
      <c r="U661" s="100"/>
      <c r="V661" s="92"/>
      <c r="W661" s="101" t="s">
        <v>102</v>
      </c>
      <c r="X661" s="106" t="e">
        <f t="shared" ref="X661:AK661" si="1166">X660/X659</f>
        <v>#DIV/0!</v>
      </c>
      <c r="Y661" s="106" t="e">
        <f t="shared" si="1166"/>
        <v>#DIV/0!</v>
      </c>
      <c r="Z661" s="106" t="e">
        <f t="shared" si="1166"/>
        <v>#DIV/0!</v>
      </c>
      <c r="AA661" s="106" t="e">
        <f t="shared" si="1166"/>
        <v>#DIV/0!</v>
      </c>
      <c r="AB661" s="106" t="e">
        <f t="shared" si="1166"/>
        <v>#DIV/0!</v>
      </c>
      <c r="AC661" s="106" t="e">
        <f t="shared" si="1166"/>
        <v>#DIV/0!</v>
      </c>
      <c r="AD661" s="106" t="e">
        <f t="shared" si="1166"/>
        <v>#DIV/0!</v>
      </c>
      <c r="AE661" s="106" t="e">
        <f t="shared" si="1166"/>
        <v>#DIV/0!</v>
      </c>
      <c r="AF661" s="107" t="e">
        <f t="shared" si="1166"/>
        <v>#DIV/0!</v>
      </c>
      <c r="AG661" s="107" t="e">
        <f t="shared" si="1166"/>
        <v>#DIV/0!</v>
      </c>
      <c r="AH661" s="107" t="e">
        <f t="shared" si="1166"/>
        <v>#DIV/0!</v>
      </c>
      <c r="AI661" s="108" t="e">
        <f t="shared" si="1166"/>
        <v>#DIV/0!</v>
      </c>
      <c r="AJ661" s="109" t="e">
        <f t="shared" si="1166"/>
        <v>#DIV/0!</v>
      </c>
      <c r="AK661" s="110" t="e">
        <f t="shared" si="1166"/>
        <v>#DIV/0!</v>
      </c>
      <c r="AL661" s="105"/>
    </row>
    <row r="662" spans="1:38" ht="15.6" hidden="1" thickBot="1">
      <c r="A662" s="91"/>
      <c r="B662" s="100"/>
      <c r="C662" s="111"/>
      <c r="D662" s="112" t="s">
        <v>103</v>
      </c>
      <c r="E662" s="113" t="e">
        <f t="shared" ref="E662:R662" si="1167">E660/E658</f>
        <v>#DIV/0!</v>
      </c>
      <c r="F662" s="113" t="e">
        <f t="shared" si="1167"/>
        <v>#DIV/0!</v>
      </c>
      <c r="G662" s="113" t="e">
        <f t="shared" si="1167"/>
        <v>#DIV/0!</v>
      </c>
      <c r="H662" s="113" t="e">
        <f t="shared" si="1167"/>
        <v>#DIV/0!</v>
      </c>
      <c r="I662" s="113" t="e">
        <f t="shared" si="1167"/>
        <v>#DIV/0!</v>
      </c>
      <c r="J662" s="113" t="e">
        <f t="shared" si="1167"/>
        <v>#DIV/0!</v>
      </c>
      <c r="K662" s="113" t="e">
        <f t="shared" si="1167"/>
        <v>#DIV/0!</v>
      </c>
      <c r="L662" s="113" t="e">
        <f t="shared" si="1167"/>
        <v>#DIV/0!</v>
      </c>
      <c r="M662" s="113" t="e">
        <f t="shared" si="1167"/>
        <v>#DIV/0!</v>
      </c>
      <c r="N662" s="113" t="e">
        <f t="shared" si="1167"/>
        <v>#DIV/0!</v>
      </c>
      <c r="O662" s="113" t="e">
        <f t="shared" si="1167"/>
        <v>#DIV/0!</v>
      </c>
      <c r="P662" s="114" t="e">
        <f t="shared" si="1167"/>
        <v>#DIV/0!</v>
      </c>
      <c r="Q662" s="115" t="e">
        <f t="shared" si="1167"/>
        <v>#DIV/0!</v>
      </c>
      <c r="R662" s="116" t="e">
        <f t="shared" si="1167"/>
        <v>#DIV/0!</v>
      </c>
      <c r="T662" s="91"/>
      <c r="U662" s="100"/>
      <c r="V662" s="111"/>
      <c r="W662" s="112" t="s">
        <v>103</v>
      </c>
      <c r="X662" s="113" t="e">
        <f t="shared" ref="X662:AK662" si="1168">X660/X658</f>
        <v>#DIV/0!</v>
      </c>
      <c r="Y662" s="113" t="e">
        <f t="shared" si="1168"/>
        <v>#DIV/0!</v>
      </c>
      <c r="Z662" s="113" t="e">
        <f t="shared" si="1168"/>
        <v>#DIV/0!</v>
      </c>
      <c r="AA662" s="113" t="e">
        <f t="shared" si="1168"/>
        <v>#DIV/0!</v>
      </c>
      <c r="AB662" s="113" t="e">
        <f t="shared" si="1168"/>
        <v>#DIV/0!</v>
      </c>
      <c r="AC662" s="113" t="e">
        <f t="shared" si="1168"/>
        <v>#DIV/0!</v>
      </c>
      <c r="AD662" s="113" t="e">
        <f t="shared" si="1168"/>
        <v>#DIV/0!</v>
      </c>
      <c r="AE662" s="113" t="e">
        <f t="shared" si="1168"/>
        <v>#DIV/0!</v>
      </c>
      <c r="AF662" s="113" t="e">
        <f t="shared" si="1168"/>
        <v>#DIV/0!</v>
      </c>
      <c r="AG662" s="113" t="e">
        <f t="shared" si="1168"/>
        <v>#DIV/0!</v>
      </c>
      <c r="AH662" s="113" t="e">
        <f t="shared" si="1168"/>
        <v>#DIV/0!</v>
      </c>
      <c r="AI662" s="114" t="e">
        <f t="shared" si="1168"/>
        <v>#DIV/0!</v>
      </c>
      <c r="AJ662" s="115" t="e">
        <f t="shared" si="1168"/>
        <v>#DIV/0!</v>
      </c>
      <c r="AK662" s="116" t="e">
        <f t="shared" si="1168"/>
        <v>#DIV/0!</v>
      </c>
    </row>
    <row r="663" spans="1:38" ht="15.6" hidden="1" thickBot="1">
      <c r="A663" s="91"/>
      <c r="B663" s="100"/>
      <c r="C663" s="86"/>
      <c r="D663" s="87">
        <v>2019</v>
      </c>
      <c r="E663" s="88"/>
      <c r="F663" s="121"/>
      <c r="G663" s="121"/>
      <c r="H663" s="121"/>
      <c r="I663" s="121"/>
      <c r="J663" s="121"/>
      <c r="K663" s="121"/>
      <c r="L663" s="121"/>
      <c r="M663" s="122"/>
      <c r="N663" s="122"/>
      <c r="O663" s="122"/>
      <c r="P663" s="123"/>
      <c r="Q663" s="89">
        <f t="shared" ref="Q663:Q665" si="1169">SUM(E663:P663)</f>
        <v>0</v>
      </c>
      <c r="R663" s="90">
        <f t="shared" ref="R663" si="1170">SUM(E663:M663)</f>
        <v>0</v>
      </c>
      <c r="T663" s="91"/>
      <c r="U663" s="100"/>
      <c r="V663" s="86">
        <f t="shared" ref="V663:V664" si="1171">C663</f>
        <v>0</v>
      </c>
      <c r="W663" s="87">
        <v>2019</v>
      </c>
      <c r="X663" s="88"/>
      <c r="Y663" s="121"/>
      <c r="Z663" s="121"/>
      <c r="AA663" s="121"/>
      <c r="AB663" s="121"/>
      <c r="AC663" s="121"/>
      <c r="AD663" s="121"/>
      <c r="AE663" s="121"/>
      <c r="AF663" s="122"/>
      <c r="AG663" s="122"/>
      <c r="AH663" s="122"/>
      <c r="AI663" s="123"/>
      <c r="AJ663" s="89">
        <f t="shared" ref="AJ663:AJ665" si="1172">SUM(X663:AI663)</f>
        <v>0</v>
      </c>
      <c r="AK663" s="90">
        <f t="shared" ref="AK663:AK665" si="1173">SUM(X663:AF663)</f>
        <v>0</v>
      </c>
    </row>
    <row r="664" spans="1:38" ht="15.6" hidden="1" thickBot="1">
      <c r="A664" s="91"/>
      <c r="B664" s="100"/>
      <c r="C664" s="92"/>
      <c r="D664" s="93" t="s">
        <v>92</v>
      </c>
      <c r="E664" s="94"/>
      <c r="F664" s="97"/>
      <c r="G664" s="97"/>
      <c r="H664" s="97"/>
      <c r="I664" s="97"/>
      <c r="J664" s="97"/>
      <c r="K664" s="97"/>
      <c r="L664" s="97"/>
      <c r="M664" s="98"/>
      <c r="N664" s="98"/>
      <c r="O664" s="98"/>
      <c r="P664" s="99"/>
      <c r="Q664" s="95">
        <f t="shared" si="1169"/>
        <v>0</v>
      </c>
      <c r="R664" s="96">
        <f t="shared" si="1161"/>
        <v>0</v>
      </c>
      <c r="T664" s="91"/>
      <c r="U664" s="100"/>
      <c r="V664" s="92">
        <f t="shared" si="1171"/>
        <v>0</v>
      </c>
      <c r="W664" s="93" t="s">
        <v>92</v>
      </c>
      <c r="X664" s="94"/>
      <c r="Y664" s="97"/>
      <c r="Z664" s="97"/>
      <c r="AA664" s="97"/>
      <c r="AB664" s="97"/>
      <c r="AC664" s="97"/>
      <c r="AD664" s="97"/>
      <c r="AE664" s="97"/>
      <c r="AF664" s="98"/>
      <c r="AG664" s="98"/>
      <c r="AH664" s="98"/>
      <c r="AI664" s="99"/>
      <c r="AJ664" s="95">
        <f t="shared" si="1172"/>
        <v>0</v>
      </c>
      <c r="AK664" s="96">
        <f t="shared" si="1173"/>
        <v>0</v>
      </c>
    </row>
    <row r="665" spans="1:38" ht="15.6" hidden="1" thickBot="1">
      <c r="A665" s="91"/>
      <c r="B665" s="100"/>
      <c r="C665" s="92"/>
      <c r="D665" s="101">
        <v>2020</v>
      </c>
      <c r="E665" s="102"/>
      <c r="F665" s="124"/>
      <c r="G665" s="124"/>
      <c r="H665" s="124"/>
      <c r="I665" s="124"/>
      <c r="J665" s="124"/>
      <c r="K665" s="124"/>
      <c r="L665" s="124"/>
      <c r="M665" s="125"/>
      <c r="N665" s="125"/>
      <c r="O665" s="125"/>
      <c r="P665" s="126"/>
      <c r="Q665" s="103">
        <f t="shared" si="1169"/>
        <v>0</v>
      </c>
      <c r="R665" s="104">
        <f t="shared" si="1161"/>
        <v>0</v>
      </c>
      <c r="S665" s="105"/>
      <c r="T665" s="91"/>
      <c r="U665" s="100"/>
      <c r="V665" s="92"/>
      <c r="W665" s="101">
        <v>2020</v>
      </c>
      <c r="X665" s="102"/>
      <c r="Y665" s="124"/>
      <c r="Z665" s="124"/>
      <c r="AA665" s="124"/>
      <c r="AB665" s="124"/>
      <c r="AC665" s="124"/>
      <c r="AD665" s="124"/>
      <c r="AE665" s="124"/>
      <c r="AF665" s="125"/>
      <c r="AG665" s="125"/>
      <c r="AH665" s="125"/>
      <c r="AI665" s="126"/>
      <c r="AJ665" s="103">
        <f t="shared" si="1172"/>
        <v>0</v>
      </c>
      <c r="AK665" s="104">
        <f t="shared" si="1173"/>
        <v>0</v>
      </c>
      <c r="AL665" s="105"/>
    </row>
    <row r="666" spans="1:38" ht="15.6" hidden="1" thickBot="1">
      <c r="A666" s="91"/>
      <c r="B666" s="100"/>
      <c r="C666" s="92"/>
      <c r="D666" s="101" t="s">
        <v>102</v>
      </c>
      <c r="E666" s="106" t="e">
        <f t="shared" ref="E666:R666" si="1174">E665/E664</f>
        <v>#DIV/0!</v>
      </c>
      <c r="F666" s="106" t="e">
        <f t="shared" si="1174"/>
        <v>#DIV/0!</v>
      </c>
      <c r="G666" s="106" t="e">
        <f t="shared" si="1174"/>
        <v>#DIV/0!</v>
      </c>
      <c r="H666" s="106" t="e">
        <f t="shared" si="1174"/>
        <v>#DIV/0!</v>
      </c>
      <c r="I666" s="106" t="e">
        <f t="shared" si="1174"/>
        <v>#DIV/0!</v>
      </c>
      <c r="J666" s="106" t="e">
        <f t="shared" si="1174"/>
        <v>#DIV/0!</v>
      </c>
      <c r="K666" s="106" t="e">
        <f t="shared" si="1174"/>
        <v>#DIV/0!</v>
      </c>
      <c r="L666" s="106" t="e">
        <f t="shared" si="1174"/>
        <v>#DIV/0!</v>
      </c>
      <c r="M666" s="107" t="e">
        <f t="shared" si="1174"/>
        <v>#DIV/0!</v>
      </c>
      <c r="N666" s="107" t="e">
        <f t="shared" si="1174"/>
        <v>#DIV/0!</v>
      </c>
      <c r="O666" s="107" t="e">
        <f t="shared" si="1174"/>
        <v>#DIV/0!</v>
      </c>
      <c r="P666" s="108" t="e">
        <f t="shared" si="1174"/>
        <v>#DIV/0!</v>
      </c>
      <c r="Q666" s="109" t="e">
        <f t="shared" si="1174"/>
        <v>#DIV/0!</v>
      </c>
      <c r="R666" s="110" t="e">
        <f t="shared" si="1174"/>
        <v>#DIV/0!</v>
      </c>
      <c r="S666" s="105"/>
      <c r="T666" s="91"/>
      <c r="U666" s="100"/>
      <c r="V666" s="92"/>
      <c r="W666" s="101" t="s">
        <v>102</v>
      </c>
      <c r="X666" s="106" t="e">
        <f t="shared" ref="X666:AK666" si="1175">X665/X664</f>
        <v>#DIV/0!</v>
      </c>
      <c r="Y666" s="106" t="e">
        <f t="shared" si="1175"/>
        <v>#DIV/0!</v>
      </c>
      <c r="Z666" s="106" t="e">
        <f t="shared" si="1175"/>
        <v>#DIV/0!</v>
      </c>
      <c r="AA666" s="106" t="e">
        <f t="shared" si="1175"/>
        <v>#DIV/0!</v>
      </c>
      <c r="AB666" s="106" t="e">
        <f t="shared" si="1175"/>
        <v>#DIV/0!</v>
      </c>
      <c r="AC666" s="106" t="e">
        <f t="shared" si="1175"/>
        <v>#DIV/0!</v>
      </c>
      <c r="AD666" s="106" t="e">
        <f t="shared" si="1175"/>
        <v>#DIV/0!</v>
      </c>
      <c r="AE666" s="106" t="e">
        <f t="shared" si="1175"/>
        <v>#DIV/0!</v>
      </c>
      <c r="AF666" s="107" t="e">
        <f t="shared" si="1175"/>
        <v>#DIV/0!</v>
      </c>
      <c r="AG666" s="107" t="e">
        <f t="shared" si="1175"/>
        <v>#DIV/0!</v>
      </c>
      <c r="AH666" s="107" t="e">
        <f t="shared" si="1175"/>
        <v>#DIV/0!</v>
      </c>
      <c r="AI666" s="108" t="e">
        <f t="shared" si="1175"/>
        <v>#DIV/0!</v>
      </c>
      <c r="AJ666" s="109" t="e">
        <f t="shared" si="1175"/>
        <v>#DIV/0!</v>
      </c>
      <c r="AK666" s="110" t="e">
        <f t="shared" si="1175"/>
        <v>#DIV/0!</v>
      </c>
      <c r="AL666" s="105"/>
    </row>
    <row r="667" spans="1:38" ht="15.6" hidden="1" thickBot="1">
      <c r="A667" s="91"/>
      <c r="B667" s="100"/>
      <c r="C667" s="111"/>
      <c r="D667" s="112" t="s">
        <v>103</v>
      </c>
      <c r="E667" s="113" t="e">
        <f t="shared" ref="E667:R667" si="1176">E665/E663</f>
        <v>#DIV/0!</v>
      </c>
      <c r="F667" s="113" t="e">
        <f t="shared" si="1176"/>
        <v>#DIV/0!</v>
      </c>
      <c r="G667" s="113" t="e">
        <f t="shared" si="1176"/>
        <v>#DIV/0!</v>
      </c>
      <c r="H667" s="113" t="e">
        <f t="shared" si="1176"/>
        <v>#DIV/0!</v>
      </c>
      <c r="I667" s="113" t="e">
        <f t="shared" si="1176"/>
        <v>#DIV/0!</v>
      </c>
      <c r="J667" s="113" t="e">
        <f t="shared" si="1176"/>
        <v>#DIV/0!</v>
      </c>
      <c r="K667" s="113" t="e">
        <f t="shared" si="1176"/>
        <v>#DIV/0!</v>
      </c>
      <c r="L667" s="113" t="e">
        <f t="shared" si="1176"/>
        <v>#DIV/0!</v>
      </c>
      <c r="M667" s="113" t="e">
        <f t="shared" si="1176"/>
        <v>#DIV/0!</v>
      </c>
      <c r="N667" s="113" t="e">
        <f t="shared" si="1176"/>
        <v>#DIV/0!</v>
      </c>
      <c r="O667" s="113" t="e">
        <f t="shared" si="1176"/>
        <v>#DIV/0!</v>
      </c>
      <c r="P667" s="114" t="e">
        <f t="shared" si="1176"/>
        <v>#DIV/0!</v>
      </c>
      <c r="Q667" s="115" t="e">
        <f t="shared" si="1176"/>
        <v>#DIV/0!</v>
      </c>
      <c r="R667" s="116" t="e">
        <f t="shared" si="1176"/>
        <v>#DIV/0!</v>
      </c>
      <c r="T667" s="91"/>
      <c r="U667" s="100"/>
      <c r="V667" s="111"/>
      <c r="W667" s="112" t="s">
        <v>103</v>
      </c>
      <c r="X667" s="113" t="e">
        <f t="shared" ref="X667:AK667" si="1177">X665/X663</f>
        <v>#DIV/0!</v>
      </c>
      <c r="Y667" s="113" t="e">
        <f t="shared" si="1177"/>
        <v>#DIV/0!</v>
      </c>
      <c r="Z667" s="113" t="e">
        <f t="shared" si="1177"/>
        <v>#DIV/0!</v>
      </c>
      <c r="AA667" s="113" t="e">
        <f t="shared" si="1177"/>
        <v>#DIV/0!</v>
      </c>
      <c r="AB667" s="113" t="e">
        <f t="shared" si="1177"/>
        <v>#DIV/0!</v>
      </c>
      <c r="AC667" s="113" t="e">
        <f t="shared" si="1177"/>
        <v>#DIV/0!</v>
      </c>
      <c r="AD667" s="113" t="e">
        <f t="shared" si="1177"/>
        <v>#DIV/0!</v>
      </c>
      <c r="AE667" s="113" t="e">
        <f t="shared" si="1177"/>
        <v>#DIV/0!</v>
      </c>
      <c r="AF667" s="113" t="e">
        <f t="shared" si="1177"/>
        <v>#DIV/0!</v>
      </c>
      <c r="AG667" s="113" t="e">
        <f t="shared" si="1177"/>
        <v>#DIV/0!</v>
      </c>
      <c r="AH667" s="113" t="e">
        <f t="shared" si="1177"/>
        <v>#DIV/0!</v>
      </c>
      <c r="AI667" s="114" t="e">
        <f t="shared" si="1177"/>
        <v>#DIV/0!</v>
      </c>
      <c r="AJ667" s="115" t="e">
        <f t="shared" si="1177"/>
        <v>#DIV/0!</v>
      </c>
      <c r="AK667" s="116" t="e">
        <f t="shared" si="1177"/>
        <v>#DIV/0!</v>
      </c>
    </row>
    <row r="668" spans="1:38" ht="15.6" hidden="1" thickBot="1">
      <c r="A668" s="91"/>
      <c r="B668" s="100"/>
      <c r="C668" s="86" t="s">
        <v>116</v>
      </c>
      <c r="D668" s="87">
        <v>2019</v>
      </c>
      <c r="E668" s="88"/>
      <c r="F668" s="121"/>
      <c r="G668" s="121"/>
      <c r="H668" s="121"/>
      <c r="I668" s="121"/>
      <c r="J668" s="121"/>
      <c r="K668" s="121"/>
      <c r="L668" s="121"/>
      <c r="M668" s="122"/>
      <c r="N668" s="122"/>
      <c r="O668" s="122"/>
      <c r="P668" s="123"/>
      <c r="Q668" s="89">
        <f t="shared" ref="Q668:Q670" si="1178">SUM(E668:P668)</f>
        <v>0</v>
      </c>
      <c r="R668" s="90">
        <f t="shared" ref="R668" si="1179">SUM(E668:M668)</f>
        <v>0</v>
      </c>
      <c r="T668" s="91"/>
      <c r="U668" s="100"/>
      <c r="V668" s="86" t="str">
        <f t="shared" ref="V668:V669" si="1180">C668</f>
        <v>その他</v>
      </c>
      <c r="W668" s="87">
        <v>2019</v>
      </c>
      <c r="X668" s="88"/>
      <c r="Y668" s="121"/>
      <c r="Z668" s="121"/>
      <c r="AA668" s="121"/>
      <c r="AB668" s="121"/>
      <c r="AC668" s="121"/>
      <c r="AD668" s="121"/>
      <c r="AE668" s="121"/>
      <c r="AF668" s="122"/>
      <c r="AG668" s="122"/>
      <c r="AH668" s="122"/>
      <c r="AI668" s="123"/>
      <c r="AJ668" s="89">
        <f t="shared" ref="AJ668:AJ670" si="1181">SUM(X668:AI668)</f>
        <v>0</v>
      </c>
      <c r="AK668" s="90">
        <f t="shared" ref="AK668:AK670" si="1182">SUM(X668:AF668)</f>
        <v>0</v>
      </c>
    </row>
    <row r="669" spans="1:38" ht="15.6" hidden="1" thickBot="1">
      <c r="A669" s="91"/>
      <c r="B669" s="100"/>
      <c r="C669" s="92" t="s">
        <v>129</v>
      </c>
      <c r="D669" s="93" t="s">
        <v>92</v>
      </c>
      <c r="E669" s="94"/>
      <c r="F669" s="97"/>
      <c r="G669" s="97"/>
      <c r="H669" s="97"/>
      <c r="I669" s="97"/>
      <c r="J669" s="97"/>
      <c r="K669" s="97"/>
      <c r="L669" s="97"/>
      <c r="M669" s="98"/>
      <c r="N669" s="98"/>
      <c r="O669" s="98"/>
      <c r="P669" s="99"/>
      <c r="Q669" s="95">
        <f t="shared" si="1178"/>
        <v>0</v>
      </c>
      <c r="R669" s="96">
        <f t="shared" si="1161"/>
        <v>0</v>
      </c>
      <c r="T669" s="91"/>
      <c r="U669" s="100"/>
      <c r="V669" s="92" t="str">
        <f t="shared" si="1180"/>
        <v>Others</v>
      </c>
      <c r="W669" s="93" t="s">
        <v>92</v>
      </c>
      <c r="X669" s="94"/>
      <c r="Y669" s="97"/>
      <c r="Z669" s="97"/>
      <c r="AA669" s="97"/>
      <c r="AB669" s="97"/>
      <c r="AC669" s="97"/>
      <c r="AD669" s="97"/>
      <c r="AE669" s="97"/>
      <c r="AF669" s="98"/>
      <c r="AG669" s="98"/>
      <c r="AH669" s="98"/>
      <c r="AI669" s="99"/>
      <c r="AJ669" s="95">
        <f t="shared" si="1181"/>
        <v>0</v>
      </c>
      <c r="AK669" s="96">
        <f t="shared" si="1182"/>
        <v>0</v>
      </c>
    </row>
    <row r="670" spans="1:38" ht="15.6" hidden="1" thickBot="1">
      <c r="A670" s="91"/>
      <c r="B670" s="100"/>
      <c r="C670" s="92"/>
      <c r="D670" s="101">
        <v>2020</v>
      </c>
      <c r="E670" s="102"/>
      <c r="F670" s="124"/>
      <c r="G670" s="124"/>
      <c r="H670" s="124"/>
      <c r="I670" s="124"/>
      <c r="J670" s="124"/>
      <c r="K670" s="124"/>
      <c r="L670" s="124"/>
      <c r="M670" s="125"/>
      <c r="N670" s="125"/>
      <c r="O670" s="125"/>
      <c r="P670" s="126"/>
      <c r="Q670" s="103">
        <f t="shared" si="1178"/>
        <v>0</v>
      </c>
      <c r="R670" s="104">
        <f t="shared" si="1161"/>
        <v>0</v>
      </c>
      <c r="S670" s="105"/>
      <c r="T670" s="91"/>
      <c r="U670" s="100"/>
      <c r="V670" s="92"/>
      <c r="W670" s="101">
        <v>2020</v>
      </c>
      <c r="X670" s="102"/>
      <c r="Y670" s="124"/>
      <c r="Z670" s="124"/>
      <c r="AA670" s="124"/>
      <c r="AB670" s="124"/>
      <c r="AC670" s="124"/>
      <c r="AD670" s="124"/>
      <c r="AE670" s="124"/>
      <c r="AF670" s="125"/>
      <c r="AG670" s="125"/>
      <c r="AH670" s="125"/>
      <c r="AI670" s="126"/>
      <c r="AJ670" s="103">
        <f t="shared" si="1181"/>
        <v>0</v>
      </c>
      <c r="AK670" s="104">
        <f t="shared" si="1182"/>
        <v>0</v>
      </c>
      <c r="AL670" s="105"/>
    </row>
    <row r="671" spans="1:38" ht="15.6" hidden="1" thickBot="1">
      <c r="A671" s="91"/>
      <c r="B671" s="100"/>
      <c r="C671" s="92"/>
      <c r="D671" s="101" t="s">
        <v>102</v>
      </c>
      <c r="E671" s="106" t="e">
        <f t="shared" ref="E671:R671" si="1183">E670/E669</f>
        <v>#DIV/0!</v>
      </c>
      <c r="F671" s="106" t="e">
        <f t="shared" si="1183"/>
        <v>#DIV/0!</v>
      </c>
      <c r="G671" s="106" t="e">
        <f t="shared" si="1183"/>
        <v>#DIV/0!</v>
      </c>
      <c r="H671" s="106" t="e">
        <f t="shared" si="1183"/>
        <v>#DIV/0!</v>
      </c>
      <c r="I671" s="106" t="e">
        <f t="shared" si="1183"/>
        <v>#DIV/0!</v>
      </c>
      <c r="J671" s="106" t="e">
        <f t="shared" si="1183"/>
        <v>#DIV/0!</v>
      </c>
      <c r="K671" s="106" t="e">
        <f t="shared" si="1183"/>
        <v>#DIV/0!</v>
      </c>
      <c r="L671" s="106" t="e">
        <f t="shared" si="1183"/>
        <v>#DIV/0!</v>
      </c>
      <c r="M671" s="107" t="e">
        <f t="shared" si="1183"/>
        <v>#DIV/0!</v>
      </c>
      <c r="N671" s="107" t="e">
        <f t="shared" si="1183"/>
        <v>#DIV/0!</v>
      </c>
      <c r="O671" s="107" t="e">
        <f t="shared" si="1183"/>
        <v>#DIV/0!</v>
      </c>
      <c r="P671" s="108" t="e">
        <f t="shared" si="1183"/>
        <v>#DIV/0!</v>
      </c>
      <c r="Q671" s="109" t="e">
        <f t="shared" si="1183"/>
        <v>#DIV/0!</v>
      </c>
      <c r="R671" s="110" t="e">
        <f t="shared" si="1183"/>
        <v>#DIV/0!</v>
      </c>
      <c r="S671" s="105"/>
      <c r="T671" s="91"/>
      <c r="U671" s="100"/>
      <c r="V671" s="92"/>
      <c r="W671" s="101" t="s">
        <v>102</v>
      </c>
      <c r="X671" s="106" t="e">
        <f t="shared" ref="X671:AK671" si="1184">X670/X669</f>
        <v>#DIV/0!</v>
      </c>
      <c r="Y671" s="106" t="e">
        <f t="shared" si="1184"/>
        <v>#DIV/0!</v>
      </c>
      <c r="Z671" s="106" t="e">
        <f t="shared" si="1184"/>
        <v>#DIV/0!</v>
      </c>
      <c r="AA671" s="106" t="e">
        <f t="shared" si="1184"/>
        <v>#DIV/0!</v>
      </c>
      <c r="AB671" s="106" t="e">
        <f t="shared" si="1184"/>
        <v>#DIV/0!</v>
      </c>
      <c r="AC671" s="106" t="e">
        <f t="shared" si="1184"/>
        <v>#DIV/0!</v>
      </c>
      <c r="AD671" s="106" t="e">
        <f t="shared" si="1184"/>
        <v>#DIV/0!</v>
      </c>
      <c r="AE671" s="106" t="e">
        <f t="shared" si="1184"/>
        <v>#DIV/0!</v>
      </c>
      <c r="AF671" s="107" t="e">
        <f t="shared" si="1184"/>
        <v>#DIV/0!</v>
      </c>
      <c r="AG671" s="107" t="e">
        <f t="shared" si="1184"/>
        <v>#DIV/0!</v>
      </c>
      <c r="AH671" s="107" t="e">
        <f t="shared" si="1184"/>
        <v>#DIV/0!</v>
      </c>
      <c r="AI671" s="108" t="e">
        <f t="shared" si="1184"/>
        <v>#DIV/0!</v>
      </c>
      <c r="AJ671" s="109" t="e">
        <f t="shared" si="1184"/>
        <v>#DIV/0!</v>
      </c>
      <c r="AK671" s="110" t="e">
        <f t="shared" si="1184"/>
        <v>#DIV/0!</v>
      </c>
      <c r="AL671" s="105"/>
    </row>
    <row r="672" spans="1:38" ht="15.6" hidden="1" thickBot="1">
      <c r="A672" s="91"/>
      <c r="B672" s="100"/>
      <c r="C672" s="111"/>
      <c r="D672" s="112" t="s">
        <v>103</v>
      </c>
      <c r="E672" s="113" t="e">
        <f t="shared" ref="E672:R672" si="1185">E670/E668</f>
        <v>#DIV/0!</v>
      </c>
      <c r="F672" s="113" t="e">
        <f t="shared" si="1185"/>
        <v>#DIV/0!</v>
      </c>
      <c r="G672" s="113" t="e">
        <f t="shared" si="1185"/>
        <v>#DIV/0!</v>
      </c>
      <c r="H672" s="113" t="e">
        <f t="shared" si="1185"/>
        <v>#DIV/0!</v>
      </c>
      <c r="I672" s="113" t="e">
        <f t="shared" si="1185"/>
        <v>#DIV/0!</v>
      </c>
      <c r="J672" s="113" t="e">
        <f t="shared" si="1185"/>
        <v>#DIV/0!</v>
      </c>
      <c r="K672" s="113" t="e">
        <f t="shared" si="1185"/>
        <v>#DIV/0!</v>
      </c>
      <c r="L672" s="113" t="e">
        <f t="shared" si="1185"/>
        <v>#DIV/0!</v>
      </c>
      <c r="M672" s="113" t="e">
        <f t="shared" si="1185"/>
        <v>#DIV/0!</v>
      </c>
      <c r="N672" s="113" t="e">
        <f t="shared" si="1185"/>
        <v>#DIV/0!</v>
      </c>
      <c r="O672" s="113" t="e">
        <f t="shared" si="1185"/>
        <v>#DIV/0!</v>
      </c>
      <c r="P672" s="114" t="e">
        <f t="shared" si="1185"/>
        <v>#DIV/0!</v>
      </c>
      <c r="Q672" s="115" t="e">
        <f t="shared" si="1185"/>
        <v>#DIV/0!</v>
      </c>
      <c r="R672" s="116" t="e">
        <f t="shared" si="1185"/>
        <v>#DIV/0!</v>
      </c>
      <c r="T672" s="91"/>
      <c r="U672" s="100"/>
      <c r="V672" s="111"/>
      <c r="W672" s="112" t="s">
        <v>103</v>
      </c>
      <c r="X672" s="113" t="e">
        <f t="shared" ref="X672:AK672" si="1186">X670/X668</f>
        <v>#DIV/0!</v>
      </c>
      <c r="Y672" s="113" t="e">
        <f t="shared" si="1186"/>
        <v>#DIV/0!</v>
      </c>
      <c r="Z672" s="113" t="e">
        <f t="shared" si="1186"/>
        <v>#DIV/0!</v>
      </c>
      <c r="AA672" s="113" t="e">
        <f t="shared" si="1186"/>
        <v>#DIV/0!</v>
      </c>
      <c r="AB672" s="113" t="e">
        <f t="shared" si="1186"/>
        <v>#DIV/0!</v>
      </c>
      <c r="AC672" s="113" t="e">
        <f t="shared" si="1186"/>
        <v>#DIV/0!</v>
      </c>
      <c r="AD672" s="113" t="e">
        <f t="shared" si="1186"/>
        <v>#DIV/0!</v>
      </c>
      <c r="AE672" s="113" t="e">
        <f t="shared" si="1186"/>
        <v>#DIV/0!</v>
      </c>
      <c r="AF672" s="113" t="e">
        <f t="shared" si="1186"/>
        <v>#DIV/0!</v>
      </c>
      <c r="AG672" s="113" t="e">
        <f t="shared" si="1186"/>
        <v>#DIV/0!</v>
      </c>
      <c r="AH672" s="113" t="e">
        <f t="shared" si="1186"/>
        <v>#DIV/0!</v>
      </c>
      <c r="AI672" s="114" t="e">
        <f t="shared" si="1186"/>
        <v>#DIV/0!</v>
      </c>
      <c r="AJ672" s="115" t="e">
        <f t="shared" si="1186"/>
        <v>#DIV/0!</v>
      </c>
      <c r="AK672" s="116" t="e">
        <f t="shared" si="1186"/>
        <v>#DIV/0!</v>
      </c>
    </row>
    <row r="673" spans="1:38" ht="15.6" hidden="1" thickBot="1">
      <c r="A673" s="91"/>
      <c r="B673" s="303" t="s">
        <v>158</v>
      </c>
      <c r="C673" s="304"/>
      <c r="D673" s="127">
        <v>2019</v>
      </c>
      <c r="E673" s="128">
        <f>SUM(E668,E663,E658,E653,E648,E643,E638,E633,E628,E623,E618,E613,E608,E603)</f>
        <v>0</v>
      </c>
      <c r="F673" s="129">
        <f t="shared" ref="F673:P673" si="1187">SUM(F668,F663,F658,F653,F648,F643,F638,F633,F628,F623,F618,F613,F608,F603)</f>
        <v>0</v>
      </c>
      <c r="G673" s="129">
        <f t="shared" si="1187"/>
        <v>0</v>
      </c>
      <c r="H673" s="129">
        <f t="shared" si="1187"/>
        <v>0</v>
      </c>
      <c r="I673" s="129">
        <f t="shared" si="1187"/>
        <v>0</v>
      </c>
      <c r="J673" s="129">
        <f t="shared" si="1187"/>
        <v>0</v>
      </c>
      <c r="K673" s="129">
        <f t="shared" si="1187"/>
        <v>0</v>
      </c>
      <c r="L673" s="129">
        <f t="shared" si="1187"/>
        <v>0</v>
      </c>
      <c r="M673" s="129">
        <f t="shared" si="1187"/>
        <v>0</v>
      </c>
      <c r="N673" s="129">
        <f t="shared" si="1187"/>
        <v>0</v>
      </c>
      <c r="O673" s="129">
        <f t="shared" si="1187"/>
        <v>0</v>
      </c>
      <c r="P673" s="130">
        <f t="shared" si="1187"/>
        <v>0</v>
      </c>
      <c r="Q673" s="131">
        <f>SUM(E673:P673)</f>
        <v>0</v>
      </c>
      <c r="R673" s="90">
        <f t="shared" ref="R673" si="1188">SUM(E673:M673)</f>
        <v>0</v>
      </c>
      <c r="T673" s="91"/>
      <c r="U673" s="309" t="s">
        <v>158</v>
      </c>
      <c r="V673" s="310"/>
      <c r="W673" s="132">
        <v>2019</v>
      </c>
      <c r="X673" s="133">
        <f>SUM(X668,X663,X658,X653,X648,X643,X638,X633,X628,X623,X618,X613,X608,X603)</f>
        <v>0</v>
      </c>
      <c r="Y673" s="134">
        <f t="shared" ref="Y673:AI673" si="1189">SUM(Y668,Y663,Y658,Y653,Y648,Y643,Y638,Y633,Y628,Y623,Y618,Y613,Y608,Y603)</f>
        <v>0</v>
      </c>
      <c r="Z673" s="134">
        <f t="shared" si="1189"/>
        <v>0</v>
      </c>
      <c r="AA673" s="134">
        <f t="shared" si="1189"/>
        <v>0</v>
      </c>
      <c r="AB673" s="134">
        <f t="shared" si="1189"/>
        <v>0</v>
      </c>
      <c r="AC673" s="134">
        <f t="shared" si="1189"/>
        <v>0</v>
      </c>
      <c r="AD673" s="134">
        <f t="shared" si="1189"/>
        <v>0</v>
      </c>
      <c r="AE673" s="134">
        <f t="shared" si="1189"/>
        <v>0</v>
      </c>
      <c r="AF673" s="134">
        <f t="shared" si="1189"/>
        <v>0</v>
      </c>
      <c r="AG673" s="134">
        <f t="shared" si="1189"/>
        <v>0</v>
      </c>
      <c r="AH673" s="134">
        <f t="shared" si="1189"/>
        <v>0</v>
      </c>
      <c r="AI673" s="135">
        <f t="shared" si="1189"/>
        <v>0</v>
      </c>
      <c r="AJ673" s="136">
        <f>SUM(X673:AI673)</f>
        <v>0</v>
      </c>
      <c r="AK673" s="90">
        <f t="shared" ref="AK673:AK675" si="1190">SUM(X673:AF673)</f>
        <v>0</v>
      </c>
    </row>
    <row r="674" spans="1:38" ht="15.6" hidden="1" thickBot="1">
      <c r="A674" s="91"/>
      <c r="B674" s="305"/>
      <c r="C674" s="306"/>
      <c r="D674" s="137" t="s">
        <v>92</v>
      </c>
      <c r="E674" s="138">
        <f t="shared" ref="E674:P675" si="1191">SUM(E669,E664,E659,E654,E649,E644,E639,E634,E629,E624,E619,E614,E609,E604)</f>
        <v>0</v>
      </c>
      <c r="F674" s="138">
        <f t="shared" si="1191"/>
        <v>0</v>
      </c>
      <c r="G674" s="138">
        <f t="shared" si="1191"/>
        <v>0</v>
      </c>
      <c r="H674" s="138">
        <f t="shared" si="1191"/>
        <v>0</v>
      </c>
      <c r="I674" s="138">
        <f t="shared" si="1191"/>
        <v>0</v>
      </c>
      <c r="J674" s="138">
        <f t="shared" si="1191"/>
        <v>0</v>
      </c>
      <c r="K674" s="138">
        <f t="shared" si="1191"/>
        <v>0</v>
      </c>
      <c r="L674" s="138">
        <f t="shared" si="1191"/>
        <v>0</v>
      </c>
      <c r="M674" s="138">
        <f t="shared" si="1191"/>
        <v>0</v>
      </c>
      <c r="N674" s="138">
        <f t="shared" si="1191"/>
        <v>0</v>
      </c>
      <c r="O674" s="138">
        <f t="shared" si="1191"/>
        <v>0</v>
      </c>
      <c r="P674" s="138">
        <f t="shared" si="1191"/>
        <v>0</v>
      </c>
      <c r="Q674" s="139">
        <f t="shared" ref="Q674:Q675" si="1192">SUM(E674:P674)</f>
        <v>0</v>
      </c>
      <c r="R674" s="96">
        <f t="shared" si="1161"/>
        <v>0</v>
      </c>
      <c r="T674" s="91"/>
      <c r="U674" s="311"/>
      <c r="V674" s="312"/>
      <c r="W674" s="140" t="s">
        <v>92</v>
      </c>
      <c r="X674" s="141">
        <f t="shared" ref="X674:AI675" si="1193">SUM(X669,X664,X659,X654,X649,X644,X639,X634,X629,X624,X619,X614,X609,X604)</f>
        <v>0</v>
      </c>
      <c r="Y674" s="141">
        <f t="shared" si="1193"/>
        <v>0</v>
      </c>
      <c r="Z674" s="141">
        <f t="shared" si="1193"/>
        <v>0</v>
      </c>
      <c r="AA674" s="141">
        <f t="shared" si="1193"/>
        <v>0</v>
      </c>
      <c r="AB674" s="141">
        <f t="shared" si="1193"/>
        <v>0</v>
      </c>
      <c r="AC674" s="141">
        <f t="shared" si="1193"/>
        <v>0</v>
      </c>
      <c r="AD674" s="141">
        <f t="shared" si="1193"/>
        <v>0</v>
      </c>
      <c r="AE674" s="141">
        <f t="shared" si="1193"/>
        <v>0</v>
      </c>
      <c r="AF674" s="141">
        <f t="shared" si="1193"/>
        <v>0</v>
      </c>
      <c r="AG674" s="141">
        <f t="shared" si="1193"/>
        <v>0</v>
      </c>
      <c r="AH674" s="141">
        <f t="shared" si="1193"/>
        <v>0</v>
      </c>
      <c r="AI674" s="141">
        <f t="shared" si="1193"/>
        <v>0</v>
      </c>
      <c r="AJ674" s="142">
        <f t="shared" ref="AJ674:AJ675" si="1194">SUM(X674:AI674)</f>
        <v>0</v>
      </c>
      <c r="AK674" s="96">
        <f t="shared" si="1190"/>
        <v>0</v>
      </c>
    </row>
    <row r="675" spans="1:38" ht="15.6" hidden="1" thickBot="1">
      <c r="A675" s="91"/>
      <c r="B675" s="305"/>
      <c r="C675" s="306"/>
      <c r="D675" s="143">
        <v>2020</v>
      </c>
      <c r="E675" s="144">
        <f>SUM(E670,E665,E660,E655,E650,E645,E640,E635,E630,E625,E620,E615,E610,E605)</f>
        <v>0</v>
      </c>
      <c r="F675" s="144">
        <f t="shared" si="1191"/>
        <v>0</v>
      </c>
      <c r="G675" s="144">
        <f t="shared" si="1191"/>
        <v>0</v>
      </c>
      <c r="H675" s="144">
        <f t="shared" si="1191"/>
        <v>0</v>
      </c>
      <c r="I675" s="144">
        <f t="shared" si="1191"/>
        <v>0</v>
      </c>
      <c r="J675" s="144">
        <f t="shared" si="1191"/>
        <v>0</v>
      </c>
      <c r="K675" s="144">
        <f t="shared" si="1191"/>
        <v>0</v>
      </c>
      <c r="L675" s="144">
        <f t="shared" si="1191"/>
        <v>0</v>
      </c>
      <c r="M675" s="144">
        <f t="shared" si="1191"/>
        <v>0</v>
      </c>
      <c r="N675" s="144">
        <f t="shared" si="1191"/>
        <v>0</v>
      </c>
      <c r="O675" s="144">
        <f t="shared" si="1191"/>
        <v>0</v>
      </c>
      <c r="P675" s="144">
        <f t="shared" si="1191"/>
        <v>0</v>
      </c>
      <c r="Q675" s="145">
        <f t="shared" si="1192"/>
        <v>0</v>
      </c>
      <c r="R675" s="104">
        <f t="shared" si="1161"/>
        <v>0</v>
      </c>
      <c r="S675" s="105"/>
      <c r="T675" s="91"/>
      <c r="U675" s="311"/>
      <c r="V675" s="312"/>
      <c r="W675" s="146">
        <v>2020</v>
      </c>
      <c r="X675" s="147">
        <f>SUM(X670,X665,X660,X655,X650,X645,X640,X635,X630,X625,X620,X615,X610,X605)</f>
        <v>0</v>
      </c>
      <c r="Y675" s="147">
        <f t="shared" si="1193"/>
        <v>0</v>
      </c>
      <c r="Z675" s="147">
        <f t="shared" si="1193"/>
        <v>0</v>
      </c>
      <c r="AA675" s="147">
        <f t="shared" si="1193"/>
        <v>0</v>
      </c>
      <c r="AB675" s="147">
        <f t="shared" si="1193"/>
        <v>0</v>
      </c>
      <c r="AC675" s="147">
        <f t="shared" si="1193"/>
        <v>0</v>
      </c>
      <c r="AD675" s="147">
        <f t="shared" si="1193"/>
        <v>0</v>
      </c>
      <c r="AE675" s="147">
        <f t="shared" si="1193"/>
        <v>0</v>
      </c>
      <c r="AF675" s="147">
        <f t="shared" si="1193"/>
        <v>0</v>
      </c>
      <c r="AG675" s="147">
        <f t="shared" si="1193"/>
        <v>0</v>
      </c>
      <c r="AH675" s="147">
        <f t="shared" si="1193"/>
        <v>0</v>
      </c>
      <c r="AI675" s="147">
        <f t="shared" si="1193"/>
        <v>0</v>
      </c>
      <c r="AJ675" s="148">
        <f t="shared" si="1194"/>
        <v>0</v>
      </c>
      <c r="AK675" s="104">
        <f t="shared" si="1190"/>
        <v>0</v>
      </c>
      <c r="AL675" s="105"/>
    </row>
    <row r="676" spans="1:38" ht="15.6" hidden="1" thickBot="1">
      <c r="A676" s="91"/>
      <c r="B676" s="305"/>
      <c r="C676" s="306"/>
      <c r="D676" s="143" t="s">
        <v>102</v>
      </c>
      <c r="E676" s="149" t="e">
        <f t="shared" ref="E676:R676" si="1195">E675/E674</f>
        <v>#DIV/0!</v>
      </c>
      <c r="F676" s="149" t="e">
        <f t="shared" si="1195"/>
        <v>#DIV/0!</v>
      </c>
      <c r="G676" s="149" t="e">
        <f t="shared" si="1195"/>
        <v>#DIV/0!</v>
      </c>
      <c r="H676" s="149" t="e">
        <f t="shared" si="1195"/>
        <v>#DIV/0!</v>
      </c>
      <c r="I676" s="149" t="e">
        <f t="shared" si="1195"/>
        <v>#DIV/0!</v>
      </c>
      <c r="J676" s="149" t="e">
        <f t="shared" si="1195"/>
        <v>#DIV/0!</v>
      </c>
      <c r="K676" s="149" t="e">
        <f t="shared" si="1195"/>
        <v>#DIV/0!</v>
      </c>
      <c r="L676" s="149" t="e">
        <f t="shared" si="1195"/>
        <v>#DIV/0!</v>
      </c>
      <c r="M676" s="149" t="e">
        <f t="shared" si="1195"/>
        <v>#DIV/0!</v>
      </c>
      <c r="N676" s="149" t="e">
        <f t="shared" si="1195"/>
        <v>#DIV/0!</v>
      </c>
      <c r="O676" s="149" t="e">
        <f t="shared" si="1195"/>
        <v>#DIV/0!</v>
      </c>
      <c r="P676" s="150" t="e">
        <f t="shared" si="1195"/>
        <v>#DIV/0!</v>
      </c>
      <c r="Q676" s="151" t="e">
        <f t="shared" si="1195"/>
        <v>#DIV/0!</v>
      </c>
      <c r="R676" s="104" t="e">
        <f t="shared" si="1195"/>
        <v>#DIV/0!</v>
      </c>
      <c r="S676" s="105"/>
      <c r="T676" s="91"/>
      <c r="U676" s="311"/>
      <c r="V676" s="312"/>
      <c r="W676" s="146" t="s">
        <v>102</v>
      </c>
      <c r="X676" s="152" t="e">
        <f t="shared" ref="X676:AK676" si="1196">X675/X674</f>
        <v>#DIV/0!</v>
      </c>
      <c r="Y676" s="152" t="e">
        <f t="shared" si="1196"/>
        <v>#DIV/0!</v>
      </c>
      <c r="Z676" s="152" t="e">
        <f t="shared" si="1196"/>
        <v>#DIV/0!</v>
      </c>
      <c r="AA676" s="152" t="e">
        <f t="shared" si="1196"/>
        <v>#DIV/0!</v>
      </c>
      <c r="AB676" s="152" t="e">
        <f t="shared" si="1196"/>
        <v>#DIV/0!</v>
      </c>
      <c r="AC676" s="152" t="e">
        <f t="shared" si="1196"/>
        <v>#DIV/0!</v>
      </c>
      <c r="AD676" s="152" t="e">
        <f t="shared" si="1196"/>
        <v>#DIV/0!</v>
      </c>
      <c r="AE676" s="152" t="e">
        <f t="shared" si="1196"/>
        <v>#DIV/0!</v>
      </c>
      <c r="AF676" s="152" t="e">
        <f t="shared" si="1196"/>
        <v>#DIV/0!</v>
      </c>
      <c r="AG676" s="152" t="e">
        <f t="shared" si="1196"/>
        <v>#DIV/0!</v>
      </c>
      <c r="AH676" s="152" t="e">
        <f t="shared" si="1196"/>
        <v>#DIV/0!</v>
      </c>
      <c r="AI676" s="153" t="e">
        <f t="shared" si="1196"/>
        <v>#DIV/0!</v>
      </c>
      <c r="AJ676" s="154" t="e">
        <f t="shared" si="1196"/>
        <v>#DIV/0!</v>
      </c>
      <c r="AK676" s="104" t="e">
        <f t="shared" si="1196"/>
        <v>#DIV/0!</v>
      </c>
      <c r="AL676" s="105"/>
    </row>
    <row r="677" spans="1:38" ht="15.6" hidden="1" thickBot="1">
      <c r="A677" s="155"/>
      <c r="B677" s="307"/>
      <c r="C677" s="308"/>
      <c r="D677" s="156" t="s">
        <v>103</v>
      </c>
      <c r="E677" s="165" t="e">
        <f t="shared" ref="E677:R677" si="1197">E675/E673</f>
        <v>#DIV/0!</v>
      </c>
      <c r="F677" s="165" t="e">
        <f t="shared" si="1197"/>
        <v>#DIV/0!</v>
      </c>
      <c r="G677" s="165" t="e">
        <f t="shared" si="1197"/>
        <v>#DIV/0!</v>
      </c>
      <c r="H677" s="165" t="e">
        <f t="shared" si="1197"/>
        <v>#DIV/0!</v>
      </c>
      <c r="I677" s="165" t="e">
        <f t="shared" si="1197"/>
        <v>#DIV/0!</v>
      </c>
      <c r="J677" s="165" t="e">
        <f t="shared" si="1197"/>
        <v>#DIV/0!</v>
      </c>
      <c r="K677" s="165" t="e">
        <f t="shared" si="1197"/>
        <v>#DIV/0!</v>
      </c>
      <c r="L677" s="165" t="e">
        <f t="shared" si="1197"/>
        <v>#DIV/0!</v>
      </c>
      <c r="M677" s="165" t="e">
        <f t="shared" si="1197"/>
        <v>#DIV/0!</v>
      </c>
      <c r="N677" s="165" t="e">
        <f t="shared" si="1197"/>
        <v>#DIV/0!</v>
      </c>
      <c r="O677" s="165" t="e">
        <f t="shared" si="1197"/>
        <v>#DIV/0!</v>
      </c>
      <c r="P677" s="166" t="e">
        <f t="shared" si="1197"/>
        <v>#DIV/0!</v>
      </c>
      <c r="Q677" s="167" t="e">
        <f t="shared" si="1197"/>
        <v>#DIV/0!</v>
      </c>
      <c r="R677" s="168" t="e">
        <f t="shared" si="1197"/>
        <v>#DIV/0!</v>
      </c>
      <c r="T677" s="155"/>
      <c r="U677" s="313"/>
      <c r="V677" s="314"/>
      <c r="W677" s="160" t="s">
        <v>103</v>
      </c>
      <c r="X677" s="169" t="e">
        <f t="shared" ref="X677:AK677" si="1198">X675/X673</f>
        <v>#DIV/0!</v>
      </c>
      <c r="Y677" s="169" t="e">
        <f t="shared" si="1198"/>
        <v>#DIV/0!</v>
      </c>
      <c r="Z677" s="169" t="e">
        <f t="shared" si="1198"/>
        <v>#DIV/0!</v>
      </c>
      <c r="AA677" s="169" t="e">
        <f t="shared" si="1198"/>
        <v>#DIV/0!</v>
      </c>
      <c r="AB677" s="169" t="e">
        <f t="shared" si="1198"/>
        <v>#DIV/0!</v>
      </c>
      <c r="AC677" s="169" t="e">
        <f t="shared" si="1198"/>
        <v>#DIV/0!</v>
      </c>
      <c r="AD677" s="169" t="e">
        <f t="shared" si="1198"/>
        <v>#DIV/0!</v>
      </c>
      <c r="AE677" s="169" t="e">
        <f t="shared" si="1198"/>
        <v>#DIV/0!</v>
      </c>
      <c r="AF677" s="169" t="e">
        <f t="shared" si="1198"/>
        <v>#DIV/0!</v>
      </c>
      <c r="AG677" s="169" t="e">
        <f t="shared" si="1198"/>
        <v>#DIV/0!</v>
      </c>
      <c r="AH677" s="169" t="e">
        <f t="shared" si="1198"/>
        <v>#DIV/0!</v>
      </c>
      <c r="AI677" s="170" t="e">
        <f t="shared" si="1198"/>
        <v>#DIV/0!</v>
      </c>
      <c r="AJ677" s="171" t="e">
        <f t="shared" si="1198"/>
        <v>#DIV/0!</v>
      </c>
      <c r="AK677" s="168" t="e">
        <f t="shared" si="1198"/>
        <v>#DIV/0!</v>
      </c>
    </row>
    <row r="678" spans="1:38" ht="15.6" thickTop="1">
      <c r="A678" s="315" t="s">
        <v>159</v>
      </c>
      <c r="B678" s="316"/>
      <c r="C678" s="317"/>
      <c r="D678" s="176">
        <v>2019</v>
      </c>
      <c r="E678" s="177">
        <f>SUM(E673,E598,E523,E448,E373,E298,E223,E148,E73)</f>
        <v>14368.086999999998</v>
      </c>
      <c r="F678" s="178">
        <f t="shared" ref="F678:P678" si="1199">SUM(F673,F598,F523,F448,F373,F298,F223,F148,F73)</f>
        <v>18434.846999999991</v>
      </c>
      <c r="G678" s="178">
        <f t="shared" si="1199"/>
        <v>17669.880000000005</v>
      </c>
      <c r="H678" s="178">
        <f t="shared" si="1199"/>
        <v>20829.798999999999</v>
      </c>
      <c r="I678" s="178">
        <f t="shared" si="1199"/>
        <v>12416.486999999986</v>
      </c>
      <c r="J678" s="178">
        <f t="shared" si="1199"/>
        <v>16634.21899999999</v>
      </c>
      <c r="K678" s="178">
        <f t="shared" si="1199"/>
        <v>17817.79199999999</v>
      </c>
      <c r="L678" s="178">
        <f t="shared" si="1199"/>
        <v>14512.405999999992</v>
      </c>
      <c r="M678" s="178">
        <f t="shared" si="1199"/>
        <v>17310.710999999992</v>
      </c>
      <c r="N678" s="178">
        <f t="shared" si="1199"/>
        <v>19059.775999999998</v>
      </c>
      <c r="O678" s="178">
        <f t="shared" si="1199"/>
        <v>19214.578000000001</v>
      </c>
      <c r="P678" s="179">
        <f t="shared" si="1199"/>
        <v>23345.610000000008</v>
      </c>
      <c r="Q678" s="180">
        <f>SUM(E678:P678)</f>
        <v>211614.19199999992</v>
      </c>
      <c r="R678" s="90">
        <f t="shared" ref="R678" si="1200">SUM(E678:M678)</f>
        <v>149994.22799999992</v>
      </c>
      <c r="T678" s="324" t="s">
        <v>159</v>
      </c>
      <c r="U678" s="325"/>
      <c r="V678" s="326"/>
      <c r="W678" s="181">
        <v>2019</v>
      </c>
      <c r="X678" s="182">
        <f>SUM(X673,X598,X523,X448,X373,X298,X223,X148,X73)</f>
        <v>14368.086999999998</v>
      </c>
      <c r="Y678" s="183">
        <f t="shared" ref="Y678:AI678" si="1201">SUM(Y673,Y598,Y523,Y448,Y373,Y298,Y223,Y148,Y73)</f>
        <v>18434.846999999991</v>
      </c>
      <c r="Z678" s="183">
        <f t="shared" si="1201"/>
        <v>17669.880000000005</v>
      </c>
      <c r="AA678" s="183">
        <f t="shared" si="1201"/>
        <v>20829.798999999999</v>
      </c>
      <c r="AB678" s="183">
        <f t="shared" si="1201"/>
        <v>12416.486999999986</v>
      </c>
      <c r="AC678" s="183">
        <f t="shared" si="1201"/>
        <v>16634.21899999999</v>
      </c>
      <c r="AD678" s="183">
        <f t="shared" si="1201"/>
        <v>17817.79199999999</v>
      </c>
      <c r="AE678" s="183">
        <f t="shared" si="1201"/>
        <v>14512.405999999992</v>
      </c>
      <c r="AF678" s="183">
        <f t="shared" si="1201"/>
        <v>17310.710999999992</v>
      </c>
      <c r="AG678" s="183">
        <f t="shared" si="1201"/>
        <v>19059.775999999998</v>
      </c>
      <c r="AH678" s="183">
        <f t="shared" si="1201"/>
        <v>19214.578000000001</v>
      </c>
      <c r="AI678" s="184">
        <f t="shared" si="1201"/>
        <v>23345.610000000008</v>
      </c>
      <c r="AJ678" s="185">
        <f>SUM(X678:AI678)</f>
        <v>211614.19199999992</v>
      </c>
      <c r="AK678" s="90">
        <f t="shared" ref="AK678:AK680" si="1202">SUM(X678:AF678)</f>
        <v>149994.22799999992</v>
      </c>
    </row>
    <row r="679" spans="1:38">
      <c r="A679" s="318"/>
      <c r="B679" s="319"/>
      <c r="C679" s="320"/>
      <c r="D679" s="186" t="s">
        <v>92</v>
      </c>
      <c r="E679" s="187">
        <f t="shared" ref="E679:P680" si="1203">SUM(E674,E599,E524,E449,E374,E299,E224,E149,E74)</f>
        <v>12300</v>
      </c>
      <c r="F679" s="187">
        <f t="shared" si="1203"/>
        <v>17090</v>
      </c>
      <c r="G679" s="187">
        <f t="shared" si="1203"/>
        <v>19440</v>
      </c>
      <c r="H679" s="187">
        <f t="shared" si="1203"/>
        <v>22440</v>
      </c>
      <c r="I679" s="187">
        <f t="shared" si="1203"/>
        <v>15740</v>
      </c>
      <c r="J679" s="187">
        <f t="shared" si="1203"/>
        <v>19390</v>
      </c>
      <c r="K679" s="187">
        <f t="shared" si="1203"/>
        <v>21640</v>
      </c>
      <c r="L679" s="187">
        <f t="shared" si="1203"/>
        <v>20190</v>
      </c>
      <c r="M679" s="187">
        <f t="shared" si="1203"/>
        <v>21190</v>
      </c>
      <c r="N679" s="187">
        <f t="shared" si="1203"/>
        <v>22290</v>
      </c>
      <c r="O679" s="187">
        <f t="shared" si="1203"/>
        <v>23590</v>
      </c>
      <c r="P679" s="187">
        <f t="shared" si="1203"/>
        <v>29790</v>
      </c>
      <c r="Q679" s="188">
        <f t="shared" ref="Q679:Q680" si="1204">SUM(E679:P679)</f>
        <v>245090</v>
      </c>
      <c r="R679" s="96">
        <f t="shared" si="1161"/>
        <v>169420</v>
      </c>
      <c r="T679" s="327"/>
      <c r="U679" s="328"/>
      <c r="V679" s="329"/>
      <c r="W679" s="189" t="s">
        <v>92</v>
      </c>
      <c r="X679" s="190">
        <f t="shared" ref="X679:AI680" si="1205">SUM(X674,X599,X524,X449,X374,X299,X224,X149,X74)</f>
        <v>11700</v>
      </c>
      <c r="Y679" s="190">
        <f t="shared" si="1205"/>
        <v>16290</v>
      </c>
      <c r="Z679" s="190">
        <f t="shared" si="1205"/>
        <v>18640</v>
      </c>
      <c r="AA679" s="190">
        <f t="shared" si="1205"/>
        <v>21590</v>
      </c>
      <c r="AB679" s="190">
        <f t="shared" si="1205"/>
        <v>14740</v>
      </c>
      <c r="AC679" s="190">
        <f t="shared" si="1205"/>
        <v>18490</v>
      </c>
      <c r="AD679" s="190">
        <f t="shared" si="1205"/>
        <v>20740</v>
      </c>
      <c r="AE679" s="190">
        <f t="shared" si="1205"/>
        <v>19140</v>
      </c>
      <c r="AF679" s="190">
        <f t="shared" si="1205"/>
        <v>20140</v>
      </c>
      <c r="AG679" s="190">
        <f t="shared" si="1205"/>
        <v>21140</v>
      </c>
      <c r="AH679" s="190">
        <f t="shared" si="1205"/>
        <v>22440</v>
      </c>
      <c r="AI679" s="190">
        <f t="shared" si="1205"/>
        <v>28540</v>
      </c>
      <c r="AJ679" s="191">
        <f t="shared" ref="AJ679:AJ680" si="1206">SUM(X679:AI679)</f>
        <v>233590</v>
      </c>
      <c r="AK679" s="96">
        <f t="shared" si="1202"/>
        <v>161470</v>
      </c>
    </row>
    <row r="680" spans="1:38">
      <c r="A680" s="318"/>
      <c r="B680" s="319"/>
      <c r="C680" s="320"/>
      <c r="D680" s="192">
        <v>2020</v>
      </c>
      <c r="E680" s="187">
        <f t="shared" si="1203"/>
        <v>18326.896999999997</v>
      </c>
      <c r="F680" s="193">
        <f t="shared" si="1203"/>
        <v>24427.498999999982</v>
      </c>
      <c r="G680" s="193">
        <f t="shared" si="1203"/>
        <v>38656.799000000006</v>
      </c>
      <c r="H680" s="193">
        <f t="shared" si="1203"/>
        <v>0</v>
      </c>
      <c r="I680" s="193">
        <f t="shared" si="1203"/>
        <v>0</v>
      </c>
      <c r="J680" s="193">
        <f t="shared" si="1203"/>
        <v>0</v>
      </c>
      <c r="K680" s="193">
        <f t="shared" si="1203"/>
        <v>0</v>
      </c>
      <c r="L680" s="193">
        <f t="shared" si="1203"/>
        <v>0</v>
      </c>
      <c r="M680" s="193">
        <f t="shared" si="1203"/>
        <v>0</v>
      </c>
      <c r="N680" s="193">
        <f t="shared" si="1203"/>
        <v>0</v>
      </c>
      <c r="O680" s="193">
        <f t="shared" si="1203"/>
        <v>0</v>
      </c>
      <c r="P680" s="194">
        <f t="shared" si="1203"/>
        <v>0</v>
      </c>
      <c r="Q680" s="188">
        <f t="shared" si="1204"/>
        <v>81411.194999999978</v>
      </c>
      <c r="R680" s="104">
        <f t="shared" si="1161"/>
        <v>81411.194999999978</v>
      </c>
      <c r="S680" s="105"/>
      <c r="T680" s="327"/>
      <c r="U680" s="328"/>
      <c r="V680" s="329"/>
      <c r="W680" s="195">
        <v>2020</v>
      </c>
      <c r="X680" s="190">
        <f t="shared" si="1205"/>
        <v>16661.692999999999</v>
      </c>
      <c r="Y680" s="196">
        <f t="shared" si="1205"/>
        <v>23117.602999999981</v>
      </c>
      <c r="Z680" s="196">
        <f t="shared" si="1205"/>
        <v>37150.829000000012</v>
      </c>
      <c r="AA680" s="196">
        <f t="shared" si="1205"/>
        <v>0</v>
      </c>
      <c r="AB680" s="196">
        <f t="shared" si="1205"/>
        <v>0</v>
      </c>
      <c r="AC680" s="196">
        <f t="shared" si="1205"/>
        <v>0</v>
      </c>
      <c r="AD680" s="196">
        <f t="shared" si="1205"/>
        <v>0</v>
      </c>
      <c r="AE680" s="196">
        <f t="shared" si="1205"/>
        <v>0</v>
      </c>
      <c r="AF680" s="196">
        <f t="shared" si="1205"/>
        <v>0</v>
      </c>
      <c r="AG680" s="196">
        <f t="shared" si="1205"/>
        <v>0</v>
      </c>
      <c r="AH680" s="196">
        <f t="shared" si="1205"/>
        <v>0</v>
      </c>
      <c r="AI680" s="197">
        <f t="shared" si="1205"/>
        <v>0</v>
      </c>
      <c r="AJ680" s="191">
        <f t="shared" si="1206"/>
        <v>76930.125</v>
      </c>
      <c r="AK680" s="104">
        <f t="shared" si="1202"/>
        <v>76930.125</v>
      </c>
      <c r="AL680" s="105"/>
    </row>
    <row r="681" spans="1:38">
      <c r="A681" s="318"/>
      <c r="B681" s="319"/>
      <c r="C681" s="320"/>
      <c r="D681" s="192" t="s">
        <v>102</v>
      </c>
      <c r="E681" s="198">
        <f t="shared" ref="E681:R681" si="1207">E680/E679</f>
        <v>1.48999162601626</v>
      </c>
      <c r="F681" s="198">
        <f t="shared" si="1207"/>
        <v>1.4293445874780564</v>
      </c>
      <c r="G681" s="198">
        <f t="shared" si="1207"/>
        <v>1.9885184670781897</v>
      </c>
      <c r="H681" s="198">
        <f t="shared" si="1207"/>
        <v>0</v>
      </c>
      <c r="I681" s="198">
        <f t="shared" si="1207"/>
        <v>0</v>
      </c>
      <c r="J681" s="198">
        <f t="shared" si="1207"/>
        <v>0</v>
      </c>
      <c r="K681" s="198">
        <f t="shared" si="1207"/>
        <v>0</v>
      </c>
      <c r="L681" s="198">
        <f t="shared" si="1207"/>
        <v>0</v>
      </c>
      <c r="M681" s="198">
        <f t="shared" si="1207"/>
        <v>0</v>
      </c>
      <c r="N681" s="198">
        <f t="shared" si="1207"/>
        <v>0</v>
      </c>
      <c r="O681" s="198">
        <f t="shared" si="1207"/>
        <v>0</v>
      </c>
      <c r="P681" s="199">
        <f t="shared" si="1207"/>
        <v>0</v>
      </c>
      <c r="Q681" s="200">
        <f t="shared" si="1207"/>
        <v>0.33216857072911982</v>
      </c>
      <c r="R681" s="110">
        <f t="shared" si="1207"/>
        <v>0.48052883366780769</v>
      </c>
      <c r="S681" s="105"/>
      <c r="T681" s="327"/>
      <c r="U681" s="328"/>
      <c r="V681" s="329"/>
      <c r="W681" s="195" t="s">
        <v>102</v>
      </c>
      <c r="X681" s="201">
        <f t="shared" ref="X681:AK681" si="1208">X680/X679</f>
        <v>1.4240763247863246</v>
      </c>
      <c r="Y681" s="201">
        <f t="shared" si="1208"/>
        <v>1.4191284837323499</v>
      </c>
      <c r="Z681" s="201">
        <f t="shared" si="1208"/>
        <v>1.993070225321889</v>
      </c>
      <c r="AA681" s="201">
        <f t="shared" si="1208"/>
        <v>0</v>
      </c>
      <c r="AB681" s="201">
        <f t="shared" si="1208"/>
        <v>0</v>
      </c>
      <c r="AC681" s="201">
        <f t="shared" si="1208"/>
        <v>0</v>
      </c>
      <c r="AD681" s="201">
        <f t="shared" si="1208"/>
        <v>0</v>
      </c>
      <c r="AE681" s="201">
        <f t="shared" si="1208"/>
        <v>0</v>
      </c>
      <c r="AF681" s="201">
        <f t="shared" si="1208"/>
        <v>0</v>
      </c>
      <c r="AG681" s="201">
        <f t="shared" si="1208"/>
        <v>0</v>
      </c>
      <c r="AH681" s="201">
        <f t="shared" si="1208"/>
        <v>0</v>
      </c>
      <c r="AI681" s="202">
        <f t="shared" si="1208"/>
        <v>0</v>
      </c>
      <c r="AJ681" s="203">
        <f t="shared" si="1208"/>
        <v>0.32933826362429897</v>
      </c>
      <c r="AK681" s="110">
        <f t="shared" si="1208"/>
        <v>0.47643602526785161</v>
      </c>
      <c r="AL681" s="105"/>
    </row>
    <row r="682" spans="1:38" ht="15.6" thickBot="1">
      <c r="A682" s="321"/>
      <c r="B682" s="322"/>
      <c r="C682" s="323"/>
      <c r="D682" s="204" t="s">
        <v>103</v>
      </c>
      <c r="E682" s="205">
        <f t="shared" ref="E682:R682" si="1209">E680/E678</f>
        <v>1.2755279808648152</v>
      </c>
      <c r="F682" s="205">
        <f t="shared" si="1209"/>
        <v>1.3250719683217329</v>
      </c>
      <c r="G682" s="205">
        <f t="shared" si="1209"/>
        <v>2.1877227802339347</v>
      </c>
      <c r="H682" s="205">
        <f t="shared" si="1209"/>
        <v>0</v>
      </c>
      <c r="I682" s="205">
        <f t="shared" si="1209"/>
        <v>0</v>
      </c>
      <c r="J682" s="205">
        <f t="shared" si="1209"/>
        <v>0</v>
      </c>
      <c r="K682" s="205">
        <f t="shared" si="1209"/>
        <v>0</v>
      </c>
      <c r="L682" s="205">
        <f t="shared" si="1209"/>
        <v>0</v>
      </c>
      <c r="M682" s="205">
        <f t="shared" si="1209"/>
        <v>0</v>
      </c>
      <c r="N682" s="205">
        <f t="shared" si="1209"/>
        <v>0</v>
      </c>
      <c r="O682" s="205">
        <f t="shared" si="1209"/>
        <v>0</v>
      </c>
      <c r="P682" s="206">
        <f t="shared" si="1209"/>
        <v>0</v>
      </c>
      <c r="Q682" s="207">
        <f t="shared" si="1209"/>
        <v>0.38471519433819451</v>
      </c>
      <c r="R682" s="168">
        <f t="shared" si="1209"/>
        <v>0.54276218548889776</v>
      </c>
      <c r="S682" s="105"/>
      <c r="T682" s="330"/>
      <c r="U682" s="331"/>
      <c r="V682" s="332"/>
      <c r="W682" s="208" t="s">
        <v>103</v>
      </c>
      <c r="X682" s="209">
        <f t="shared" ref="X682:AK682" si="1210">X680/X678</f>
        <v>1.1596319677073226</v>
      </c>
      <c r="Y682" s="209">
        <f t="shared" si="1210"/>
        <v>1.2540165372677079</v>
      </c>
      <c r="Z682" s="209">
        <f t="shared" si="1210"/>
        <v>2.102494697190926</v>
      </c>
      <c r="AA682" s="209">
        <f t="shared" si="1210"/>
        <v>0</v>
      </c>
      <c r="AB682" s="209">
        <f t="shared" si="1210"/>
        <v>0</v>
      </c>
      <c r="AC682" s="209">
        <f t="shared" si="1210"/>
        <v>0</v>
      </c>
      <c r="AD682" s="209">
        <f t="shared" si="1210"/>
        <v>0</v>
      </c>
      <c r="AE682" s="209">
        <f t="shared" si="1210"/>
        <v>0</v>
      </c>
      <c r="AF682" s="209">
        <f t="shared" si="1210"/>
        <v>0</v>
      </c>
      <c r="AG682" s="209">
        <f t="shared" si="1210"/>
        <v>0</v>
      </c>
      <c r="AH682" s="209">
        <f t="shared" si="1210"/>
        <v>0</v>
      </c>
      <c r="AI682" s="210">
        <f t="shared" si="1210"/>
        <v>0</v>
      </c>
      <c r="AJ682" s="211">
        <f t="shared" si="1210"/>
        <v>0.36353953519336751</v>
      </c>
      <c r="AK682" s="168">
        <f t="shared" si="1210"/>
        <v>0.51288723590083773</v>
      </c>
      <c r="AL682" s="105"/>
    </row>
    <row r="683" spans="1:38" ht="15.6" thickTop="1">
      <c r="A683" s="84" t="s">
        <v>160</v>
      </c>
      <c r="B683" s="85" t="s">
        <v>88</v>
      </c>
      <c r="C683" s="86"/>
      <c r="D683" s="87">
        <v>2019</v>
      </c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9">
        <f>SUM(E683:P683)</f>
        <v>0</v>
      </c>
      <c r="R683" s="90">
        <f t="shared" ref="R683" si="1211">SUM(E683:M683)</f>
        <v>0</v>
      </c>
      <c r="T683" s="84" t="s">
        <v>160</v>
      </c>
      <c r="U683" s="85" t="s">
        <v>88</v>
      </c>
      <c r="V683" s="86">
        <f>C683</f>
        <v>0</v>
      </c>
      <c r="W683" s="87">
        <v>2019</v>
      </c>
      <c r="X683" s="88"/>
      <c r="Y683" s="88"/>
      <c r="Z683" s="88"/>
      <c r="AA683" s="88"/>
      <c r="AB683" s="88"/>
      <c r="AC683" s="88"/>
      <c r="AD683" s="88"/>
      <c r="AE683" s="88"/>
      <c r="AF683" s="88"/>
      <c r="AG683" s="88"/>
      <c r="AH683" s="88"/>
      <c r="AI683" s="88"/>
      <c r="AJ683" s="89">
        <f>SUM(X683:AI683)</f>
        <v>0</v>
      </c>
      <c r="AK683" s="90">
        <f t="shared" ref="AK683:AK685" si="1212">SUM(X683:AF683)</f>
        <v>0</v>
      </c>
    </row>
    <row r="684" spans="1:38">
      <c r="A684" s="91"/>
      <c r="B684" s="85" t="s">
        <v>90</v>
      </c>
      <c r="C684" s="92"/>
      <c r="D684" s="93" t="s">
        <v>92</v>
      </c>
      <c r="E684" s="94"/>
      <c r="F684" s="94"/>
      <c r="G684" s="94"/>
      <c r="H684" s="94"/>
      <c r="I684" s="94"/>
      <c r="J684" s="94"/>
      <c r="K684" s="94"/>
      <c r="L684" s="94"/>
      <c r="M684" s="94"/>
      <c r="N684" s="94"/>
      <c r="O684" s="94"/>
      <c r="P684" s="94"/>
      <c r="Q684" s="95">
        <f>SUM(E684:P684)</f>
        <v>0</v>
      </c>
      <c r="R684" s="96">
        <f t="shared" si="1161"/>
        <v>0</v>
      </c>
      <c r="T684" s="91"/>
      <c r="U684" s="85" t="s">
        <v>90</v>
      </c>
      <c r="V684" s="92">
        <f>C684</f>
        <v>0</v>
      </c>
      <c r="W684" s="93" t="s">
        <v>92</v>
      </c>
      <c r="X684" s="94"/>
      <c r="Y684" s="94"/>
      <c r="Z684" s="94"/>
      <c r="AA684" s="94"/>
      <c r="AB684" s="94"/>
      <c r="AC684" s="94"/>
      <c r="AD684" s="94"/>
      <c r="AE684" s="94"/>
      <c r="AF684" s="94"/>
      <c r="AG684" s="94"/>
      <c r="AH684" s="94"/>
      <c r="AI684" s="94"/>
      <c r="AJ684" s="95">
        <f>SUM(X684:AI684)</f>
        <v>0</v>
      </c>
      <c r="AK684" s="96">
        <f t="shared" si="1212"/>
        <v>0</v>
      </c>
    </row>
    <row r="685" spans="1:38">
      <c r="A685" s="91"/>
      <c r="B685" s="100"/>
      <c r="C685" s="92"/>
      <c r="D685" s="101">
        <v>2020</v>
      </c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3">
        <f>SUM(E685:P685)</f>
        <v>0</v>
      </c>
      <c r="R685" s="104">
        <f t="shared" si="1161"/>
        <v>0</v>
      </c>
      <c r="S685" s="105"/>
      <c r="T685" s="91"/>
      <c r="U685" s="100"/>
      <c r="V685" s="92"/>
      <c r="W685" s="101">
        <v>2020</v>
      </c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3">
        <f>SUM(X685:AI685)</f>
        <v>0</v>
      </c>
      <c r="AK685" s="104">
        <f t="shared" si="1212"/>
        <v>0</v>
      </c>
      <c r="AL685" s="105"/>
    </row>
    <row r="686" spans="1:38">
      <c r="A686" s="91"/>
      <c r="B686" s="100"/>
      <c r="C686" s="92"/>
      <c r="D686" s="101" t="s">
        <v>102</v>
      </c>
      <c r="E686" s="106" t="e">
        <f>E685/E684</f>
        <v>#DIV/0!</v>
      </c>
      <c r="F686" s="106" t="e">
        <f t="shared" ref="F686:R686" si="1213">F685/F684</f>
        <v>#DIV/0!</v>
      </c>
      <c r="G686" s="106" t="e">
        <f t="shared" si="1213"/>
        <v>#DIV/0!</v>
      </c>
      <c r="H686" s="106" t="e">
        <f t="shared" si="1213"/>
        <v>#DIV/0!</v>
      </c>
      <c r="I686" s="106" t="e">
        <f t="shared" si="1213"/>
        <v>#DIV/0!</v>
      </c>
      <c r="J686" s="106" t="e">
        <f t="shared" si="1213"/>
        <v>#DIV/0!</v>
      </c>
      <c r="K686" s="106" t="e">
        <f t="shared" si="1213"/>
        <v>#DIV/0!</v>
      </c>
      <c r="L686" s="106" t="e">
        <f t="shared" si="1213"/>
        <v>#DIV/0!</v>
      </c>
      <c r="M686" s="107" t="e">
        <f t="shared" si="1213"/>
        <v>#DIV/0!</v>
      </c>
      <c r="N686" s="107" t="e">
        <f t="shared" si="1213"/>
        <v>#DIV/0!</v>
      </c>
      <c r="O686" s="107" t="e">
        <f t="shared" si="1213"/>
        <v>#DIV/0!</v>
      </c>
      <c r="P686" s="108" t="e">
        <f t="shared" si="1213"/>
        <v>#DIV/0!</v>
      </c>
      <c r="Q686" s="109" t="e">
        <f t="shared" si="1213"/>
        <v>#DIV/0!</v>
      </c>
      <c r="R686" s="110" t="e">
        <f t="shared" si="1213"/>
        <v>#DIV/0!</v>
      </c>
      <c r="S686" s="105"/>
      <c r="T686" s="91"/>
      <c r="U686" s="100"/>
      <c r="V686" s="92"/>
      <c r="W686" s="101" t="s">
        <v>102</v>
      </c>
      <c r="X686" s="106" t="e">
        <f>X685/X684</f>
        <v>#DIV/0!</v>
      </c>
      <c r="Y686" s="106" t="e">
        <f t="shared" ref="Y686:AK686" si="1214">Y685/Y684</f>
        <v>#DIV/0!</v>
      </c>
      <c r="Z686" s="106" t="e">
        <f t="shared" si="1214"/>
        <v>#DIV/0!</v>
      </c>
      <c r="AA686" s="106" t="e">
        <f t="shared" si="1214"/>
        <v>#DIV/0!</v>
      </c>
      <c r="AB686" s="106" t="e">
        <f t="shared" si="1214"/>
        <v>#DIV/0!</v>
      </c>
      <c r="AC686" s="106" t="e">
        <f t="shared" si="1214"/>
        <v>#DIV/0!</v>
      </c>
      <c r="AD686" s="106" t="e">
        <f t="shared" si="1214"/>
        <v>#DIV/0!</v>
      </c>
      <c r="AE686" s="106" t="e">
        <f t="shared" si="1214"/>
        <v>#DIV/0!</v>
      </c>
      <c r="AF686" s="107" t="e">
        <f t="shared" si="1214"/>
        <v>#DIV/0!</v>
      </c>
      <c r="AG686" s="107" t="e">
        <f t="shared" si="1214"/>
        <v>#DIV/0!</v>
      </c>
      <c r="AH686" s="107" t="e">
        <f t="shared" si="1214"/>
        <v>#DIV/0!</v>
      </c>
      <c r="AI686" s="108" t="e">
        <f t="shared" si="1214"/>
        <v>#DIV/0!</v>
      </c>
      <c r="AJ686" s="109" t="e">
        <f t="shared" si="1214"/>
        <v>#DIV/0!</v>
      </c>
      <c r="AK686" s="110" t="e">
        <f t="shared" si="1214"/>
        <v>#DIV/0!</v>
      </c>
      <c r="AL686" s="105"/>
    </row>
    <row r="687" spans="1:38">
      <c r="A687" s="91"/>
      <c r="B687" s="100"/>
      <c r="C687" s="111"/>
      <c r="D687" s="112" t="s">
        <v>103</v>
      </c>
      <c r="E687" s="113" t="e">
        <f>E685/E683</f>
        <v>#DIV/0!</v>
      </c>
      <c r="F687" s="113" t="e">
        <f t="shared" ref="F687:R687" si="1215">F685/F683</f>
        <v>#DIV/0!</v>
      </c>
      <c r="G687" s="113" t="e">
        <f t="shared" si="1215"/>
        <v>#DIV/0!</v>
      </c>
      <c r="H687" s="113" t="e">
        <f t="shared" si="1215"/>
        <v>#DIV/0!</v>
      </c>
      <c r="I687" s="113" t="e">
        <f t="shared" si="1215"/>
        <v>#DIV/0!</v>
      </c>
      <c r="J687" s="113" t="e">
        <f t="shared" si="1215"/>
        <v>#DIV/0!</v>
      </c>
      <c r="K687" s="113" t="e">
        <f t="shared" si="1215"/>
        <v>#DIV/0!</v>
      </c>
      <c r="L687" s="113" t="e">
        <f t="shared" si="1215"/>
        <v>#DIV/0!</v>
      </c>
      <c r="M687" s="113" t="e">
        <f t="shared" si="1215"/>
        <v>#DIV/0!</v>
      </c>
      <c r="N687" s="113" t="e">
        <f t="shared" si="1215"/>
        <v>#DIV/0!</v>
      </c>
      <c r="O687" s="113" t="e">
        <f t="shared" si="1215"/>
        <v>#DIV/0!</v>
      </c>
      <c r="P687" s="114" t="e">
        <f t="shared" si="1215"/>
        <v>#DIV/0!</v>
      </c>
      <c r="Q687" s="115" t="e">
        <f t="shared" si="1215"/>
        <v>#DIV/0!</v>
      </c>
      <c r="R687" s="116" t="e">
        <f t="shared" si="1215"/>
        <v>#DIV/0!</v>
      </c>
      <c r="T687" s="91"/>
      <c r="U687" s="100"/>
      <c r="V687" s="111"/>
      <c r="W687" s="112" t="s">
        <v>103</v>
      </c>
      <c r="X687" s="113" t="e">
        <f>X685/X683</f>
        <v>#DIV/0!</v>
      </c>
      <c r="Y687" s="113" t="e">
        <f t="shared" ref="Y687:AK687" si="1216">Y685/Y683</f>
        <v>#DIV/0!</v>
      </c>
      <c r="Z687" s="113" t="e">
        <f t="shared" si="1216"/>
        <v>#DIV/0!</v>
      </c>
      <c r="AA687" s="113" t="e">
        <f t="shared" si="1216"/>
        <v>#DIV/0!</v>
      </c>
      <c r="AB687" s="113" t="e">
        <f t="shared" si="1216"/>
        <v>#DIV/0!</v>
      </c>
      <c r="AC687" s="113" t="e">
        <f t="shared" si="1216"/>
        <v>#DIV/0!</v>
      </c>
      <c r="AD687" s="113" t="e">
        <f t="shared" si="1216"/>
        <v>#DIV/0!</v>
      </c>
      <c r="AE687" s="113" t="e">
        <f t="shared" si="1216"/>
        <v>#DIV/0!</v>
      </c>
      <c r="AF687" s="113" t="e">
        <f t="shared" si="1216"/>
        <v>#DIV/0!</v>
      </c>
      <c r="AG687" s="113" t="e">
        <f t="shared" si="1216"/>
        <v>#DIV/0!</v>
      </c>
      <c r="AH687" s="113" t="e">
        <f t="shared" si="1216"/>
        <v>#DIV/0!</v>
      </c>
      <c r="AI687" s="114" t="e">
        <f t="shared" si="1216"/>
        <v>#DIV/0!</v>
      </c>
      <c r="AJ687" s="115" t="e">
        <f t="shared" si="1216"/>
        <v>#DIV/0!</v>
      </c>
      <c r="AK687" s="116" t="e">
        <f t="shared" si="1216"/>
        <v>#DIV/0!</v>
      </c>
    </row>
    <row r="688" spans="1:38">
      <c r="A688" s="91"/>
      <c r="B688" s="100"/>
      <c r="C688" s="86" t="s">
        <v>135</v>
      </c>
      <c r="D688" s="87">
        <v>2019</v>
      </c>
      <c r="E688" s="88">
        <f>X688</f>
        <v>4239.0399999999972</v>
      </c>
      <c r="F688" s="88">
        <f t="shared" ref="F688:P689" si="1217">Y688</f>
        <v>4277.9180000000051</v>
      </c>
      <c r="G688" s="88">
        <f t="shared" si="1217"/>
        <v>4979.3820000000096</v>
      </c>
      <c r="H688" s="88">
        <f t="shared" si="1217"/>
        <v>4256.4130000000032</v>
      </c>
      <c r="I688" s="88">
        <f t="shared" si="1217"/>
        <v>5201.5400000000054</v>
      </c>
      <c r="J688" s="88">
        <f t="shared" si="1217"/>
        <v>4322.3589999999976</v>
      </c>
      <c r="K688" s="88">
        <f t="shared" si="1217"/>
        <v>5502.4820000000045</v>
      </c>
      <c r="L688" s="88">
        <f t="shared" si="1217"/>
        <v>3494.5540000000037</v>
      </c>
      <c r="M688" s="88">
        <f t="shared" si="1217"/>
        <v>5143.0389999999989</v>
      </c>
      <c r="N688" s="88">
        <f t="shared" si="1217"/>
        <v>3635.2520000000004</v>
      </c>
      <c r="O688" s="88">
        <f t="shared" si="1217"/>
        <v>4091.1689999999999</v>
      </c>
      <c r="P688" s="88">
        <f t="shared" si="1217"/>
        <v>4016.7970000000009</v>
      </c>
      <c r="Q688" s="89">
        <f t="shared" ref="Q688:Q690" si="1218">SUM(E688:P688)</f>
        <v>53159.945000000022</v>
      </c>
      <c r="R688" s="90">
        <f t="shared" ref="R688" si="1219">SUM(E688:M688)</f>
        <v>41416.727000000021</v>
      </c>
      <c r="T688" s="91"/>
      <c r="U688" s="100"/>
      <c r="V688" s="86" t="str">
        <f t="shared" ref="V688:V689" si="1220">C688</f>
        <v>楽天株式会社</v>
      </c>
      <c r="W688" s="87">
        <v>2019</v>
      </c>
      <c r="X688" s="88">
        <f>[1]Sheet4!D14</f>
        <v>4239.0399999999972</v>
      </c>
      <c r="Y688" s="88">
        <f>[1]Sheet4!E14</f>
        <v>4277.9180000000051</v>
      </c>
      <c r="Z688" s="88">
        <f>[1]Sheet4!F14</f>
        <v>4979.3820000000096</v>
      </c>
      <c r="AA688" s="88">
        <f>[1]Sheet4!G14</f>
        <v>4256.4130000000032</v>
      </c>
      <c r="AB688" s="88">
        <f>[1]Sheet4!H14</f>
        <v>5201.5400000000054</v>
      </c>
      <c r="AC688" s="88">
        <f>[1]Sheet4!I14</f>
        <v>4322.3589999999976</v>
      </c>
      <c r="AD688" s="88">
        <f>[1]Sheet4!J14</f>
        <v>5502.4820000000045</v>
      </c>
      <c r="AE688" s="88">
        <f>[1]Sheet4!K14</f>
        <v>3494.5540000000037</v>
      </c>
      <c r="AF688" s="88">
        <f>[1]Sheet4!L14</f>
        <v>5143.0389999999989</v>
      </c>
      <c r="AG688" s="88">
        <f>[1]Sheet4!M14</f>
        <v>3635.2520000000004</v>
      </c>
      <c r="AH688" s="88">
        <f>[1]Sheet4!N14</f>
        <v>4091.1689999999999</v>
      </c>
      <c r="AI688" s="88">
        <f>[1]Sheet4!O14</f>
        <v>4016.7970000000009</v>
      </c>
      <c r="AJ688" s="89">
        <f t="shared" ref="AJ688:AJ690" si="1221">SUM(X688:AI688)</f>
        <v>53159.945000000022</v>
      </c>
      <c r="AK688" s="90">
        <f t="shared" ref="AK688:AK690" si="1222">SUM(X688:AF688)</f>
        <v>41416.727000000021</v>
      </c>
    </row>
    <row r="689" spans="1:38">
      <c r="A689" s="91"/>
      <c r="B689" s="100"/>
      <c r="C689" s="92" t="s">
        <v>136</v>
      </c>
      <c r="D689" s="93" t="s">
        <v>92</v>
      </c>
      <c r="E689" s="94">
        <f>X689</f>
        <v>4000</v>
      </c>
      <c r="F689" s="94">
        <f t="shared" si="1217"/>
        <v>4300</v>
      </c>
      <c r="G689" s="94">
        <f t="shared" si="1217"/>
        <v>5000</v>
      </c>
      <c r="H689" s="94">
        <f t="shared" si="1217"/>
        <v>4500</v>
      </c>
      <c r="I689" s="94">
        <f t="shared" si="1217"/>
        <v>5300</v>
      </c>
      <c r="J689" s="94">
        <f t="shared" si="1217"/>
        <v>4500</v>
      </c>
      <c r="K689" s="94">
        <f t="shared" si="1217"/>
        <v>5600</v>
      </c>
      <c r="L689" s="94">
        <f t="shared" si="1217"/>
        <v>4000</v>
      </c>
      <c r="M689" s="94">
        <f t="shared" si="1217"/>
        <v>6000</v>
      </c>
      <c r="N689" s="94">
        <f t="shared" si="1217"/>
        <v>4000</v>
      </c>
      <c r="O689" s="94">
        <f t="shared" si="1217"/>
        <v>4100</v>
      </c>
      <c r="P689" s="94">
        <f t="shared" si="1217"/>
        <v>5000</v>
      </c>
      <c r="Q689" s="95">
        <f t="shared" si="1218"/>
        <v>56300</v>
      </c>
      <c r="R689" s="96">
        <f t="shared" si="1161"/>
        <v>43200</v>
      </c>
      <c r="T689" s="91"/>
      <c r="U689" s="100"/>
      <c r="V689" s="92" t="str">
        <f t="shared" si="1220"/>
        <v>Rakuten</v>
      </c>
      <c r="W689" s="93" t="s">
        <v>92</v>
      </c>
      <c r="X689" s="94">
        <v>4000</v>
      </c>
      <c r="Y689" s="94">
        <v>4300</v>
      </c>
      <c r="Z689" s="94">
        <v>5000</v>
      </c>
      <c r="AA689" s="94">
        <v>4500</v>
      </c>
      <c r="AB689" s="94">
        <v>5300</v>
      </c>
      <c r="AC689" s="94">
        <v>4500</v>
      </c>
      <c r="AD689" s="94">
        <v>5600</v>
      </c>
      <c r="AE689" s="94">
        <v>4000</v>
      </c>
      <c r="AF689" s="94">
        <v>6000</v>
      </c>
      <c r="AG689" s="94">
        <v>4000</v>
      </c>
      <c r="AH689" s="94">
        <v>4100</v>
      </c>
      <c r="AI689" s="94">
        <v>5000</v>
      </c>
      <c r="AJ689" s="95">
        <f t="shared" si="1221"/>
        <v>56300</v>
      </c>
      <c r="AK689" s="96">
        <f t="shared" si="1222"/>
        <v>43200</v>
      </c>
    </row>
    <row r="690" spans="1:38">
      <c r="A690" s="91"/>
      <c r="B690" s="100"/>
      <c r="C690" s="92"/>
      <c r="D690" s="101">
        <v>2020</v>
      </c>
      <c r="E690" s="102">
        <f>[2]Sheet4!BA14</f>
        <v>4681.0000000000091</v>
      </c>
      <c r="F690" s="102">
        <f>[2]Sheet4!BB14</f>
        <v>4502.7080000000042</v>
      </c>
      <c r="G690" s="102">
        <f>[2]Sheet4!BC14</f>
        <v>4293.4749999999913</v>
      </c>
      <c r="H690" s="102">
        <f>[2]Sheet4!BD14</f>
        <v>0</v>
      </c>
      <c r="I690" s="102">
        <f>[2]Sheet4!BE14</f>
        <v>0</v>
      </c>
      <c r="J690" s="102">
        <f>[2]Sheet4!BF14</f>
        <v>0</v>
      </c>
      <c r="K690" s="102">
        <f>[2]Sheet4!BG14</f>
        <v>0</v>
      </c>
      <c r="L690" s="102">
        <f>[2]Sheet4!BH14</f>
        <v>0</v>
      </c>
      <c r="M690" s="102">
        <f>[2]Sheet4!BI14</f>
        <v>0</v>
      </c>
      <c r="N690" s="102">
        <f>[2]Sheet4!BJ14</f>
        <v>0</v>
      </c>
      <c r="O690" s="102">
        <f>[2]Sheet4!BK14</f>
        <v>0</v>
      </c>
      <c r="P690" s="102">
        <f>[2]Sheet4!BL14</f>
        <v>0</v>
      </c>
      <c r="Q690" s="103">
        <f t="shared" si="1218"/>
        <v>13477.183000000005</v>
      </c>
      <c r="R690" s="104">
        <f t="shared" si="1161"/>
        <v>13477.183000000005</v>
      </c>
      <c r="S690" s="105"/>
      <c r="T690" s="91"/>
      <c r="U690" s="100"/>
      <c r="V690" s="92"/>
      <c r="W690" s="101">
        <v>2020</v>
      </c>
      <c r="X690" s="102">
        <f>E690-[2]Sheet4!BM14</f>
        <v>4681.0000000000091</v>
      </c>
      <c r="Y690" s="102">
        <f>F690-[2]Sheet4!BN14</f>
        <v>4502.7080000000042</v>
      </c>
      <c r="Z690" s="102">
        <f>G690-[2]Sheet4!BO14</f>
        <v>4293.4749999999913</v>
      </c>
      <c r="AA690" s="102">
        <f>H690-[2]Sheet4!BP14</f>
        <v>0</v>
      </c>
      <c r="AB690" s="102">
        <f>I690-[2]Sheet4!BQ14</f>
        <v>0</v>
      </c>
      <c r="AC690" s="102">
        <f>J690-[2]Sheet4!BR14</f>
        <v>0</v>
      </c>
      <c r="AD690" s="102">
        <f>K690-[2]Sheet4!BS14</f>
        <v>0</v>
      </c>
      <c r="AE690" s="102">
        <f>L690-[2]Sheet4!BT14</f>
        <v>0</v>
      </c>
      <c r="AF690" s="102">
        <f>M690-[2]Sheet4!BU14</f>
        <v>0</v>
      </c>
      <c r="AG690" s="102">
        <f>N690-[2]Sheet4!BV14</f>
        <v>0</v>
      </c>
      <c r="AH690" s="102">
        <f>O690-[2]Sheet4!BW14</f>
        <v>0</v>
      </c>
      <c r="AI690" s="102">
        <f>P690-[2]Sheet4!BX14</f>
        <v>0</v>
      </c>
      <c r="AJ690" s="103">
        <f t="shared" si="1221"/>
        <v>13477.183000000005</v>
      </c>
      <c r="AK690" s="104">
        <f t="shared" si="1222"/>
        <v>13477.183000000005</v>
      </c>
      <c r="AL690" s="105"/>
    </row>
    <row r="691" spans="1:38">
      <c r="A691" s="91"/>
      <c r="B691" s="100"/>
      <c r="C691" s="92"/>
      <c r="D691" s="101" t="s">
        <v>102</v>
      </c>
      <c r="E691" s="106">
        <f t="shared" ref="E691:R691" si="1223">E690/E689</f>
        <v>1.1702500000000022</v>
      </c>
      <c r="F691" s="106">
        <f t="shared" si="1223"/>
        <v>1.0471413953488382</v>
      </c>
      <c r="G691" s="106">
        <f t="shared" si="1223"/>
        <v>0.85869499999999821</v>
      </c>
      <c r="H691" s="106">
        <f t="shared" si="1223"/>
        <v>0</v>
      </c>
      <c r="I691" s="106">
        <f t="shared" si="1223"/>
        <v>0</v>
      </c>
      <c r="J691" s="106">
        <f t="shared" si="1223"/>
        <v>0</v>
      </c>
      <c r="K691" s="106">
        <f t="shared" si="1223"/>
        <v>0</v>
      </c>
      <c r="L691" s="106">
        <f t="shared" si="1223"/>
        <v>0</v>
      </c>
      <c r="M691" s="107">
        <f t="shared" si="1223"/>
        <v>0</v>
      </c>
      <c r="N691" s="107">
        <f t="shared" si="1223"/>
        <v>0</v>
      </c>
      <c r="O691" s="107">
        <f t="shared" si="1223"/>
        <v>0</v>
      </c>
      <c r="P691" s="108">
        <f t="shared" si="1223"/>
        <v>0</v>
      </c>
      <c r="Q691" s="109">
        <f t="shared" si="1223"/>
        <v>0.2393815808170516</v>
      </c>
      <c r="R691" s="110">
        <f t="shared" si="1223"/>
        <v>0.31197182870370382</v>
      </c>
      <c r="S691" s="105"/>
      <c r="T691" s="91"/>
      <c r="U691" s="100"/>
      <c r="V691" s="92"/>
      <c r="W691" s="101" t="s">
        <v>102</v>
      </c>
      <c r="X691" s="106">
        <f t="shared" ref="X691:AK691" si="1224">X690/X689</f>
        <v>1.1702500000000022</v>
      </c>
      <c r="Y691" s="106">
        <f t="shared" si="1224"/>
        <v>1.0471413953488382</v>
      </c>
      <c r="Z691" s="106">
        <f t="shared" si="1224"/>
        <v>0.85869499999999821</v>
      </c>
      <c r="AA691" s="106">
        <f t="shared" si="1224"/>
        <v>0</v>
      </c>
      <c r="AB691" s="106">
        <f t="shared" si="1224"/>
        <v>0</v>
      </c>
      <c r="AC691" s="106">
        <f t="shared" si="1224"/>
        <v>0</v>
      </c>
      <c r="AD691" s="106">
        <f t="shared" si="1224"/>
        <v>0</v>
      </c>
      <c r="AE691" s="106">
        <f t="shared" si="1224"/>
        <v>0</v>
      </c>
      <c r="AF691" s="107">
        <f t="shared" si="1224"/>
        <v>0</v>
      </c>
      <c r="AG691" s="107">
        <f t="shared" si="1224"/>
        <v>0</v>
      </c>
      <c r="AH691" s="107">
        <f t="shared" si="1224"/>
        <v>0</v>
      </c>
      <c r="AI691" s="108">
        <f t="shared" si="1224"/>
        <v>0</v>
      </c>
      <c r="AJ691" s="109">
        <f t="shared" si="1224"/>
        <v>0.2393815808170516</v>
      </c>
      <c r="AK691" s="110">
        <f t="shared" si="1224"/>
        <v>0.31197182870370382</v>
      </c>
      <c r="AL691" s="105"/>
    </row>
    <row r="692" spans="1:38">
      <c r="A692" s="91"/>
      <c r="B692" s="100"/>
      <c r="C692" s="111"/>
      <c r="D692" s="112" t="s">
        <v>103</v>
      </c>
      <c r="E692" s="113">
        <f t="shared" ref="E692:R692" si="1225">E690/E688</f>
        <v>1.1042594549709397</v>
      </c>
      <c r="F692" s="113">
        <f t="shared" si="1225"/>
        <v>1.0525465892520611</v>
      </c>
      <c r="G692" s="113">
        <f t="shared" si="1225"/>
        <v>0.86225057647715786</v>
      </c>
      <c r="H692" s="113">
        <f t="shared" si="1225"/>
        <v>0</v>
      </c>
      <c r="I692" s="113">
        <f t="shared" si="1225"/>
        <v>0</v>
      </c>
      <c r="J692" s="113">
        <f t="shared" si="1225"/>
        <v>0</v>
      </c>
      <c r="K692" s="113">
        <f t="shared" si="1225"/>
        <v>0</v>
      </c>
      <c r="L692" s="113">
        <f t="shared" si="1225"/>
        <v>0</v>
      </c>
      <c r="M692" s="113">
        <f t="shared" si="1225"/>
        <v>0</v>
      </c>
      <c r="N692" s="113">
        <f t="shared" si="1225"/>
        <v>0</v>
      </c>
      <c r="O692" s="113">
        <f t="shared" si="1225"/>
        <v>0</v>
      </c>
      <c r="P692" s="114">
        <f t="shared" si="1225"/>
        <v>0</v>
      </c>
      <c r="Q692" s="115">
        <f t="shared" si="1225"/>
        <v>0.25352138720233813</v>
      </c>
      <c r="R692" s="116">
        <f t="shared" si="1225"/>
        <v>0.32540434689588094</v>
      </c>
      <c r="T692" s="91"/>
      <c r="U692" s="100"/>
      <c r="V692" s="111"/>
      <c r="W692" s="112" t="s">
        <v>103</v>
      </c>
      <c r="X692" s="113">
        <f t="shared" ref="X692:AK692" si="1226">X690/X688</f>
        <v>1.1042594549709397</v>
      </c>
      <c r="Y692" s="113">
        <f t="shared" si="1226"/>
        <v>1.0525465892520611</v>
      </c>
      <c r="Z692" s="113">
        <f t="shared" si="1226"/>
        <v>0.86225057647715786</v>
      </c>
      <c r="AA692" s="113">
        <f t="shared" si="1226"/>
        <v>0</v>
      </c>
      <c r="AB692" s="113">
        <f t="shared" si="1226"/>
        <v>0</v>
      </c>
      <c r="AC692" s="113">
        <f t="shared" si="1226"/>
        <v>0</v>
      </c>
      <c r="AD692" s="113">
        <f t="shared" si="1226"/>
        <v>0</v>
      </c>
      <c r="AE692" s="113">
        <f t="shared" si="1226"/>
        <v>0</v>
      </c>
      <c r="AF692" s="113">
        <f t="shared" si="1226"/>
        <v>0</v>
      </c>
      <c r="AG692" s="113">
        <f t="shared" si="1226"/>
        <v>0</v>
      </c>
      <c r="AH692" s="113">
        <f t="shared" si="1226"/>
        <v>0</v>
      </c>
      <c r="AI692" s="114">
        <f t="shared" si="1226"/>
        <v>0</v>
      </c>
      <c r="AJ692" s="115">
        <f t="shared" si="1226"/>
        <v>0.25352138720233813</v>
      </c>
      <c r="AK692" s="116">
        <f t="shared" si="1226"/>
        <v>0.32540434689588094</v>
      </c>
    </row>
    <row r="693" spans="1:38">
      <c r="A693" s="91"/>
      <c r="B693" s="100"/>
      <c r="C693" s="86" t="s">
        <v>137</v>
      </c>
      <c r="D693" s="87">
        <v>2019</v>
      </c>
      <c r="E693" s="88">
        <f>X693</f>
        <v>779.69400000000007</v>
      </c>
      <c r="F693" s="88">
        <f t="shared" ref="F693:P694" si="1227">Y693</f>
        <v>641.33399999999961</v>
      </c>
      <c r="G693" s="88">
        <f t="shared" si="1227"/>
        <v>776.98799999999983</v>
      </c>
      <c r="H693" s="88">
        <f t="shared" si="1227"/>
        <v>745.8499999999998</v>
      </c>
      <c r="I693" s="88">
        <f t="shared" si="1227"/>
        <v>857.63399999999945</v>
      </c>
      <c r="J693" s="88">
        <f t="shared" si="1227"/>
        <v>727.20299999999929</v>
      </c>
      <c r="K693" s="88">
        <f t="shared" si="1227"/>
        <v>819.08199999999977</v>
      </c>
      <c r="L693" s="88">
        <f t="shared" si="1227"/>
        <v>967.04399999999896</v>
      </c>
      <c r="M693" s="88">
        <f t="shared" si="1227"/>
        <v>984.12899999999979</v>
      </c>
      <c r="N693" s="88">
        <f t="shared" si="1227"/>
        <v>730.90800000000047</v>
      </c>
      <c r="O693" s="88">
        <f t="shared" si="1227"/>
        <v>629.11999999999978</v>
      </c>
      <c r="P693" s="88">
        <f t="shared" si="1227"/>
        <v>786.16799999999967</v>
      </c>
      <c r="Q693" s="89">
        <f t="shared" ref="Q693:Q695" si="1228">SUM(E693:P693)</f>
        <v>9445.1539999999968</v>
      </c>
      <c r="R693" s="90">
        <f t="shared" ref="R693" si="1229">SUM(E693:M693)</f>
        <v>7298.9579999999969</v>
      </c>
      <c r="T693" s="91"/>
      <c r="U693" s="100"/>
      <c r="V693" s="86" t="str">
        <f t="shared" ref="V693:V694" si="1230">C693</f>
        <v>(株)ヨドバシカメラ</v>
      </c>
      <c r="W693" s="87">
        <v>2019</v>
      </c>
      <c r="X693" s="88">
        <f>[1]Sheet4!D15</f>
        <v>779.69400000000007</v>
      </c>
      <c r="Y693" s="88">
        <f>[1]Sheet4!E15</f>
        <v>641.33399999999961</v>
      </c>
      <c r="Z693" s="88">
        <f>[1]Sheet4!F15</f>
        <v>776.98799999999983</v>
      </c>
      <c r="AA693" s="88">
        <f>[1]Sheet4!G15</f>
        <v>745.8499999999998</v>
      </c>
      <c r="AB693" s="88">
        <f>[1]Sheet4!H15</f>
        <v>857.63399999999945</v>
      </c>
      <c r="AC693" s="88">
        <f>[1]Sheet4!I15</f>
        <v>727.20299999999929</v>
      </c>
      <c r="AD693" s="88">
        <f>[1]Sheet4!J15</f>
        <v>819.08199999999977</v>
      </c>
      <c r="AE693" s="88">
        <f>[1]Sheet4!K15</f>
        <v>967.04399999999896</v>
      </c>
      <c r="AF693" s="88">
        <f>[1]Sheet4!L15</f>
        <v>984.12899999999979</v>
      </c>
      <c r="AG693" s="88">
        <f>[1]Sheet4!M15</f>
        <v>730.90800000000047</v>
      </c>
      <c r="AH693" s="88">
        <f>[1]Sheet4!N15</f>
        <v>629.11999999999978</v>
      </c>
      <c r="AI693" s="88">
        <f>[1]Sheet4!O15</f>
        <v>786.16799999999967</v>
      </c>
      <c r="AJ693" s="89">
        <f t="shared" ref="AJ693:AJ695" si="1231">SUM(X693:AI693)</f>
        <v>9445.1539999999968</v>
      </c>
      <c r="AK693" s="90">
        <f t="shared" ref="AK693:AK695" si="1232">SUM(X693:AF693)</f>
        <v>7298.9579999999969</v>
      </c>
    </row>
    <row r="694" spans="1:38">
      <c r="A694" s="91"/>
      <c r="B694" s="100"/>
      <c r="C694" s="92" t="s">
        <v>138</v>
      </c>
      <c r="D694" s="93" t="s">
        <v>92</v>
      </c>
      <c r="E694" s="94">
        <f>X694</f>
        <v>700</v>
      </c>
      <c r="F694" s="94">
        <f t="shared" si="1227"/>
        <v>700</v>
      </c>
      <c r="G694" s="94">
        <f t="shared" si="1227"/>
        <v>800</v>
      </c>
      <c r="H694" s="94">
        <f t="shared" si="1227"/>
        <v>800</v>
      </c>
      <c r="I694" s="94">
        <f t="shared" si="1227"/>
        <v>900</v>
      </c>
      <c r="J694" s="94">
        <f t="shared" si="1227"/>
        <v>800</v>
      </c>
      <c r="K694" s="94">
        <f t="shared" si="1227"/>
        <v>900</v>
      </c>
      <c r="L694" s="94">
        <f t="shared" si="1227"/>
        <v>1000</v>
      </c>
      <c r="M694" s="94">
        <f t="shared" si="1227"/>
        <v>1000</v>
      </c>
      <c r="N694" s="94">
        <f t="shared" si="1227"/>
        <v>900</v>
      </c>
      <c r="O694" s="94">
        <f t="shared" si="1227"/>
        <v>800</v>
      </c>
      <c r="P694" s="94">
        <f t="shared" si="1227"/>
        <v>800</v>
      </c>
      <c r="Q694" s="95">
        <f t="shared" si="1228"/>
        <v>10100</v>
      </c>
      <c r="R694" s="96">
        <f t="shared" si="1161"/>
        <v>7600</v>
      </c>
      <c r="T694" s="91"/>
      <c r="U694" s="100"/>
      <c r="V694" s="92" t="str">
        <f t="shared" si="1230"/>
        <v>YODOBASHICAMERA</v>
      </c>
      <c r="W694" s="93" t="s">
        <v>92</v>
      </c>
      <c r="X694" s="94">
        <v>700</v>
      </c>
      <c r="Y694" s="94">
        <v>700</v>
      </c>
      <c r="Z694" s="94">
        <v>800</v>
      </c>
      <c r="AA694" s="94">
        <v>800</v>
      </c>
      <c r="AB694" s="94">
        <v>900</v>
      </c>
      <c r="AC694" s="94">
        <v>800</v>
      </c>
      <c r="AD694" s="94">
        <v>900</v>
      </c>
      <c r="AE694" s="94">
        <v>1000</v>
      </c>
      <c r="AF694" s="94">
        <v>1000</v>
      </c>
      <c r="AG694" s="94">
        <v>900</v>
      </c>
      <c r="AH694" s="94">
        <v>800</v>
      </c>
      <c r="AI694" s="94">
        <v>800</v>
      </c>
      <c r="AJ694" s="95">
        <f t="shared" si="1231"/>
        <v>10100</v>
      </c>
      <c r="AK694" s="96">
        <f t="shared" si="1232"/>
        <v>7600</v>
      </c>
    </row>
    <row r="695" spans="1:38">
      <c r="A695" s="91"/>
      <c r="B695" s="100"/>
      <c r="C695" s="92"/>
      <c r="D695" s="101">
        <v>2020</v>
      </c>
      <c r="E695" s="102">
        <f>[2]Sheet4!BA15</f>
        <v>846.25500000000011</v>
      </c>
      <c r="F695" s="102">
        <f>[2]Sheet4!BB15</f>
        <v>1066.1759999999995</v>
      </c>
      <c r="G695" s="102">
        <f>[2]Sheet4!BC15</f>
        <v>1887.9439999999965</v>
      </c>
      <c r="H695" s="102">
        <f>[2]Sheet4!BD15</f>
        <v>0</v>
      </c>
      <c r="I695" s="102">
        <f>[2]Sheet4!BE15</f>
        <v>0</v>
      </c>
      <c r="J695" s="102">
        <f>[2]Sheet4!BF15</f>
        <v>0</v>
      </c>
      <c r="K695" s="102">
        <f>[2]Sheet4!BG15</f>
        <v>0</v>
      </c>
      <c r="L695" s="102">
        <f>[2]Sheet4!BH15</f>
        <v>0</v>
      </c>
      <c r="M695" s="102">
        <f>[2]Sheet4!BI15</f>
        <v>0</v>
      </c>
      <c r="N695" s="102">
        <f>[2]Sheet4!BJ15</f>
        <v>0</v>
      </c>
      <c r="O695" s="102">
        <f>[2]Sheet4!BK15</f>
        <v>0</v>
      </c>
      <c r="P695" s="102">
        <f>[2]Sheet4!BL15</f>
        <v>0</v>
      </c>
      <c r="Q695" s="103">
        <f t="shared" si="1228"/>
        <v>3800.3749999999964</v>
      </c>
      <c r="R695" s="104">
        <f t="shared" si="1161"/>
        <v>3800.3749999999964</v>
      </c>
      <c r="S695" s="105"/>
      <c r="T695" s="91"/>
      <c r="U695" s="100"/>
      <c r="V695" s="92"/>
      <c r="W695" s="101">
        <v>2020</v>
      </c>
      <c r="X695" s="102">
        <f>E695-[2]Sheet4!BM15</f>
        <v>846.25500000000011</v>
      </c>
      <c r="Y695" s="102">
        <f>F695-[2]Sheet4!BN15</f>
        <v>1066.1759999999995</v>
      </c>
      <c r="Z695" s="102">
        <f>G695-[2]Sheet4!BO15</f>
        <v>1887.9439999999965</v>
      </c>
      <c r="AA695" s="102">
        <f>H695-[2]Sheet4!BP15</f>
        <v>0</v>
      </c>
      <c r="AB695" s="102">
        <f>I695-[2]Sheet4!BQ15</f>
        <v>0</v>
      </c>
      <c r="AC695" s="102">
        <f>J695-[2]Sheet4!BR15</f>
        <v>0</v>
      </c>
      <c r="AD695" s="102">
        <f>K695-[2]Sheet4!BS15</f>
        <v>0</v>
      </c>
      <c r="AE695" s="102">
        <f>L695-[2]Sheet4!BT15</f>
        <v>0</v>
      </c>
      <c r="AF695" s="102">
        <f>M695-[2]Sheet4!BU15</f>
        <v>0</v>
      </c>
      <c r="AG695" s="102">
        <f>N695-[2]Sheet4!BV15</f>
        <v>0</v>
      </c>
      <c r="AH695" s="102">
        <f>O695-[2]Sheet4!BW15</f>
        <v>0</v>
      </c>
      <c r="AI695" s="102">
        <f>P695-[2]Sheet4!BX15</f>
        <v>0</v>
      </c>
      <c r="AJ695" s="103">
        <f t="shared" si="1231"/>
        <v>3800.3749999999964</v>
      </c>
      <c r="AK695" s="104">
        <f t="shared" si="1232"/>
        <v>3800.3749999999964</v>
      </c>
      <c r="AL695" s="105"/>
    </row>
    <row r="696" spans="1:38">
      <c r="A696" s="91"/>
      <c r="B696" s="100"/>
      <c r="C696" s="92"/>
      <c r="D696" s="101" t="s">
        <v>102</v>
      </c>
      <c r="E696" s="106">
        <f t="shared" ref="E696:R696" si="1233">E695/E694</f>
        <v>1.2089357142857144</v>
      </c>
      <c r="F696" s="106">
        <f t="shared" si="1233"/>
        <v>1.5231085714285706</v>
      </c>
      <c r="G696" s="106">
        <f t="shared" si="1233"/>
        <v>2.3599299999999959</v>
      </c>
      <c r="H696" s="106">
        <f t="shared" si="1233"/>
        <v>0</v>
      </c>
      <c r="I696" s="106">
        <f t="shared" si="1233"/>
        <v>0</v>
      </c>
      <c r="J696" s="106">
        <f t="shared" si="1233"/>
        <v>0</v>
      </c>
      <c r="K696" s="106">
        <f t="shared" si="1233"/>
        <v>0</v>
      </c>
      <c r="L696" s="106">
        <f t="shared" si="1233"/>
        <v>0</v>
      </c>
      <c r="M696" s="107">
        <f t="shared" si="1233"/>
        <v>0</v>
      </c>
      <c r="N696" s="107">
        <f t="shared" si="1233"/>
        <v>0</v>
      </c>
      <c r="O696" s="107">
        <f t="shared" si="1233"/>
        <v>0</v>
      </c>
      <c r="P696" s="108">
        <f t="shared" si="1233"/>
        <v>0</v>
      </c>
      <c r="Q696" s="109">
        <f t="shared" si="1233"/>
        <v>0.37627475247524717</v>
      </c>
      <c r="R696" s="110">
        <f t="shared" si="1233"/>
        <v>0.50004934210526264</v>
      </c>
      <c r="S696" s="105"/>
      <c r="T696" s="91"/>
      <c r="U696" s="100"/>
      <c r="V696" s="92"/>
      <c r="W696" s="101" t="s">
        <v>102</v>
      </c>
      <c r="X696" s="106">
        <f t="shared" ref="X696:AK696" si="1234">X695/X694</f>
        <v>1.2089357142857144</v>
      </c>
      <c r="Y696" s="106">
        <f t="shared" si="1234"/>
        <v>1.5231085714285706</v>
      </c>
      <c r="Z696" s="106">
        <f t="shared" si="1234"/>
        <v>2.3599299999999959</v>
      </c>
      <c r="AA696" s="106">
        <f t="shared" si="1234"/>
        <v>0</v>
      </c>
      <c r="AB696" s="106">
        <f t="shared" si="1234"/>
        <v>0</v>
      </c>
      <c r="AC696" s="106">
        <f t="shared" si="1234"/>
        <v>0</v>
      </c>
      <c r="AD696" s="106">
        <f t="shared" si="1234"/>
        <v>0</v>
      </c>
      <c r="AE696" s="106">
        <f t="shared" si="1234"/>
        <v>0</v>
      </c>
      <c r="AF696" s="107">
        <f t="shared" si="1234"/>
        <v>0</v>
      </c>
      <c r="AG696" s="107">
        <f t="shared" si="1234"/>
        <v>0</v>
      </c>
      <c r="AH696" s="107">
        <f t="shared" si="1234"/>
        <v>0</v>
      </c>
      <c r="AI696" s="108">
        <f t="shared" si="1234"/>
        <v>0</v>
      </c>
      <c r="AJ696" s="109">
        <f t="shared" si="1234"/>
        <v>0.37627475247524717</v>
      </c>
      <c r="AK696" s="110">
        <f t="shared" si="1234"/>
        <v>0.50004934210526264</v>
      </c>
      <c r="AL696" s="105"/>
    </row>
    <row r="697" spans="1:38">
      <c r="A697" s="91"/>
      <c r="B697" s="100"/>
      <c r="C697" s="111"/>
      <c r="D697" s="112" t="s">
        <v>103</v>
      </c>
      <c r="E697" s="113">
        <f t="shared" ref="E697:R697" si="1235">E695/E693</f>
        <v>1.085368105949257</v>
      </c>
      <c r="F697" s="113">
        <f t="shared" si="1235"/>
        <v>1.6624348623338232</v>
      </c>
      <c r="G697" s="113">
        <f t="shared" si="1235"/>
        <v>2.429823884023945</v>
      </c>
      <c r="H697" s="113">
        <f t="shared" si="1235"/>
        <v>0</v>
      </c>
      <c r="I697" s="113">
        <f t="shared" si="1235"/>
        <v>0</v>
      </c>
      <c r="J697" s="113">
        <f t="shared" si="1235"/>
        <v>0</v>
      </c>
      <c r="K697" s="113">
        <f t="shared" si="1235"/>
        <v>0</v>
      </c>
      <c r="L697" s="113">
        <f t="shared" si="1235"/>
        <v>0</v>
      </c>
      <c r="M697" s="113">
        <f t="shared" si="1235"/>
        <v>0</v>
      </c>
      <c r="N697" s="113">
        <f t="shared" si="1235"/>
        <v>0</v>
      </c>
      <c r="O697" s="113">
        <f t="shared" si="1235"/>
        <v>0</v>
      </c>
      <c r="P697" s="114">
        <f t="shared" si="1235"/>
        <v>0</v>
      </c>
      <c r="Q697" s="115">
        <f t="shared" si="1235"/>
        <v>0.40236241780705723</v>
      </c>
      <c r="R697" s="116">
        <f t="shared" si="1235"/>
        <v>0.52067363588062821</v>
      </c>
      <c r="T697" s="91"/>
      <c r="U697" s="100"/>
      <c r="V697" s="111"/>
      <c r="W697" s="112" t="s">
        <v>103</v>
      </c>
      <c r="X697" s="113">
        <f t="shared" ref="X697:AK697" si="1236">X695/X693</f>
        <v>1.085368105949257</v>
      </c>
      <c r="Y697" s="113">
        <f t="shared" si="1236"/>
        <v>1.6624348623338232</v>
      </c>
      <c r="Z697" s="113">
        <f t="shared" si="1236"/>
        <v>2.429823884023945</v>
      </c>
      <c r="AA697" s="113">
        <f t="shared" si="1236"/>
        <v>0</v>
      </c>
      <c r="AB697" s="113">
        <f t="shared" si="1236"/>
        <v>0</v>
      </c>
      <c r="AC697" s="113">
        <f t="shared" si="1236"/>
        <v>0</v>
      </c>
      <c r="AD697" s="113">
        <f t="shared" si="1236"/>
        <v>0</v>
      </c>
      <c r="AE697" s="113">
        <f t="shared" si="1236"/>
        <v>0</v>
      </c>
      <c r="AF697" s="113">
        <f t="shared" si="1236"/>
        <v>0</v>
      </c>
      <c r="AG697" s="113">
        <f t="shared" si="1236"/>
        <v>0</v>
      </c>
      <c r="AH697" s="113">
        <f t="shared" si="1236"/>
        <v>0</v>
      </c>
      <c r="AI697" s="114">
        <f t="shared" si="1236"/>
        <v>0</v>
      </c>
      <c r="AJ697" s="115">
        <f t="shared" si="1236"/>
        <v>0.40236241780705723</v>
      </c>
      <c r="AK697" s="116">
        <f t="shared" si="1236"/>
        <v>0.52067363588062821</v>
      </c>
    </row>
    <row r="698" spans="1:38" hidden="1">
      <c r="A698" s="91"/>
      <c r="B698" s="100"/>
      <c r="C698" s="86"/>
      <c r="D698" s="87">
        <v>2019</v>
      </c>
      <c r="E698" s="88"/>
      <c r="F698" s="121"/>
      <c r="G698" s="121"/>
      <c r="H698" s="121"/>
      <c r="I698" s="121"/>
      <c r="J698" s="121"/>
      <c r="K698" s="121"/>
      <c r="L698" s="121"/>
      <c r="M698" s="122"/>
      <c r="N698" s="122"/>
      <c r="O698" s="122"/>
      <c r="P698" s="123"/>
      <c r="Q698" s="89">
        <f t="shared" ref="Q698:Q700" si="1237">SUM(E698:P698)</f>
        <v>0</v>
      </c>
      <c r="R698" s="90">
        <f t="shared" ref="R698" si="1238">SUM(E698:M698)</f>
        <v>0</v>
      </c>
      <c r="T698" s="91"/>
      <c r="U698" s="100"/>
      <c r="V698" s="86">
        <f t="shared" ref="V698:V699" si="1239">C698</f>
        <v>0</v>
      </c>
      <c r="W698" s="87">
        <v>2019</v>
      </c>
      <c r="X698" s="88"/>
      <c r="Y698" s="121"/>
      <c r="Z698" s="121"/>
      <c r="AA698" s="121"/>
      <c r="AB698" s="121"/>
      <c r="AC698" s="121"/>
      <c r="AD698" s="121"/>
      <c r="AE698" s="121"/>
      <c r="AF698" s="122"/>
      <c r="AG698" s="122"/>
      <c r="AH698" s="122"/>
      <c r="AI698" s="123"/>
      <c r="AJ698" s="89">
        <f t="shared" ref="AJ698:AJ700" si="1240">SUM(X698:AI698)</f>
        <v>0</v>
      </c>
      <c r="AK698" s="90">
        <f t="shared" ref="AK698:AK700" si="1241">SUM(X698:AF698)</f>
        <v>0</v>
      </c>
    </row>
    <row r="699" spans="1:38" hidden="1">
      <c r="A699" s="91"/>
      <c r="B699" s="100"/>
      <c r="C699" s="92"/>
      <c r="D699" s="93" t="s">
        <v>92</v>
      </c>
      <c r="E699" s="94"/>
      <c r="F699" s="97"/>
      <c r="G699" s="97"/>
      <c r="H699" s="97"/>
      <c r="I699" s="97"/>
      <c r="J699" s="97"/>
      <c r="K699" s="97"/>
      <c r="L699" s="97"/>
      <c r="M699" s="98"/>
      <c r="N699" s="98"/>
      <c r="O699" s="98"/>
      <c r="P699" s="99"/>
      <c r="Q699" s="95">
        <f t="shared" si="1237"/>
        <v>0</v>
      </c>
      <c r="R699" s="96">
        <f t="shared" si="1161"/>
        <v>0</v>
      </c>
      <c r="T699" s="91"/>
      <c r="U699" s="100"/>
      <c r="V699" s="92">
        <f t="shared" si="1239"/>
        <v>0</v>
      </c>
      <c r="W699" s="93" t="s">
        <v>92</v>
      </c>
      <c r="X699" s="94"/>
      <c r="Y699" s="97"/>
      <c r="Z699" s="97"/>
      <c r="AA699" s="97"/>
      <c r="AB699" s="97"/>
      <c r="AC699" s="97"/>
      <c r="AD699" s="97"/>
      <c r="AE699" s="97"/>
      <c r="AF699" s="98"/>
      <c r="AG699" s="98"/>
      <c r="AH699" s="98"/>
      <c r="AI699" s="99"/>
      <c r="AJ699" s="95">
        <f t="shared" si="1240"/>
        <v>0</v>
      </c>
      <c r="AK699" s="96">
        <f t="shared" si="1241"/>
        <v>0</v>
      </c>
    </row>
    <row r="700" spans="1:38" hidden="1">
      <c r="A700" s="91"/>
      <c r="B700" s="100"/>
      <c r="C700" s="92"/>
      <c r="D700" s="101">
        <v>2020</v>
      </c>
      <c r="E700" s="102"/>
      <c r="F700" s="124"/>
      <c r="G700" s="124"/>
      <c r="H700" s="124"/>
      <c r="I700" s="124"/>
      <c r="J700" s="124"/>
      <c r="K700" s="124"/>
      <c r="L700" s="124"/>
      <c r="M700" s="125"/>
      <c r="N700" s="125"/>
      <c r="O700" s="125"/>
      <c r="P700" s="126"/>
      <c r="Q700" s="103">
        <f t="shared" si="1237"/>
        <v>0</v>
      </c>
      <c r="R700" s="104">
        <f t="shared" si="1161"/>
        <v>0</v>
      </c>
      <c r="S700" s="105"/>
      <c r="T700" s="91"/>
      <c r="U700" s="100"/>
      <c r="V700" s="92"/>
      <c r="W700" s="101">
        <v>2020</v>
      </c>
      <c r="X700" s="102"/>
      <c r="Y700" s="124"/>
      <c r="Z700" s="124"/>
      <c r="AA700" s="124"/>
      <c r="AB700" s="124"/>
      <c r="AC700" s="124"/>
      <c r="AD700" s="124"/>
      <c r="AE700" s="124"/>
      <c r="AF700" s="125"/>
      <c r="AG700" s="125"/>
      <c r="AH700" s="125"/>
      <c r="AI700" s="126"/>
      <c r="AJ700" s="103">
        <f t="shared" si="1240"/>
        <v>0</v>
      </c>
      <c r="AK700" s="104">
        <f t="shared" si="1241"/>
        <v>0</v>
      </c>
      <c r="AL700" s="105"/>
    </row>
    <row r="701" spans="1:38" hidden="1">
      <c r="A701" s="91"/>
      <c r="B701" s="100"/>
      <c r="C701" s="92"/>
      <c r="D701" s="101" t="s">
        <v>102</v>
      </c>
      <c r="E701" s="106" t="e">
        <f t="shared" ref="E701:R701" si="1242">E700/E699</f>
        <v>#DIV/0!</v>
      </c>
      <c r="F701" s="106" t="e">
        <f t="shared" si="1242"/>
        <v>#DIV/0!</v>
      </c>
      <c r="G701" s="106" t="e">
        <f t="shared" si="1242"/>
        <v>#DIV/0!</v>
      </c>
      <c r="H701" s="106" t="e">
        <f t="shared" si="1242"/>
        <v>#DIV/0!</v>
      </c>
      <c r="I701" s="106" t="e">
        <f t="shared" si="1242"/>
        <v>#DIV/0!</v>
      </c>
      <c r="J701" s="106" t="e">
        <f t="shared" si="1242"/>
        <v>#DIV/0!</v>
      </c>
      <c r="K701" s="106" t="e">
        <f t="shared" si="1242"/>
        <v>#DIV/0!</v>
      </c>
      <c r="L701" s="106" t="e">
        <f t="shared" si="1242"/>
        <v>#DIV/0!</v>
      </c>
      <c r="M701" s="107" t="e">
        <f t="shared" si="1242"/>
        <v>#DIV/0!</v>
      </c>
      <c r="N701" s="107" t="e">
        <f t="shared" si="1242"/>
        <v>#DIV/0!</v>
      </c>
      <c r="O701" s="107" t="e">
        <f t="shared" si="1242"/>
        <v>#DIV/0!</v>
      </c>
      <c r="P701" s="108" t="e">
        <f t="shared" si="1242"/>
        <v>#DIV/0!</v>
      </c>
      <c r="Q701" s="109" t="e">
        <f t="shared" si="1242"/>
        <v>#DIV/0!</v>
      </c>
      <c r="R701" s="110" t="e">
        <f t="shared" si="1242"/>
        <v>#DIV/0!</v>
      </c>
      <c r="S701" s="105"/>
      <c r="T701" s="91"/>
      <c r="U701" s="100"/>
      <c r="V701" s="92"/>
      <c r="W701" s="101" t="s">
        <v>102</v>
      </c>
      <c r="X701" s="106" t="e">
        <f t="shared" ref="X701:AK701" si="1243">X700/X699</f>
        <v>#DIV/0!</v>
      </c>
      <c r="Y701" s="106" t="e">
        <f t="shared" si="1243"/>
        <v>#DIV/0!</v>
      </c>
      <c r="Z701" s="106" t="e">
        <f t="shared" si="1243"/>
        <v>#DIV/0!</v>
      </c>
      <c r="AA701" s="106" t="e">
        <f t="shared" si="1243"/>
        <v>#DIV/0!</v>
      </c>
      <c r="AB701" s="106" t="e">
        <f t="shared" si="1243"/>
        <v>#DIV/0!</v>
      </c>
      <c r="AC701" s="106" t="e">
        <f t="shared" si="1243"/>
        <v>#DIV/0!</v>
      </c>
      <c r="AD701" s="106" t="e">
        <f t="shared" si="1243"/>
        <v>#DIV/0!</v>
      </c>
      <c r="AE701" s="106" t="e">
        <f t="shared" si="1243"/>
        <v>#DIV/0!</v>
      </c>
      <c r="AF701" s="107" t="e">
        <f t="shared" si="1243"/>
        <v>#DIV/0!</v>
      </c>
      <c r="AG701" s="107" t="e">
        <f t="shared" si="1243"/>
        <v>#DIV/0!</v>
      </c>
      <c r="AH701" s="107" t="e">
        <f t="shared" si="1243"/>
        <v>#DIV/0!</v>
      </c>
      <c r="AI701" s="108" t="e">
        <f t="shared" si="1243"/>
        <v>#DIV/0!</v>
      </c>
      <c r="AJ701" s="109" t="e">
        <f t="shared" si="1243"/>
        <v>#DIV/0!</v>
      </c>
      <c r="AK701" s="110" t="e">
        <f t="shared" si="1243"/>
        <v>#DIV/0!</v>
      </c>
      <c r="AL701" s="105"/>
    </row>
    <row r="702" spans="1:38" hidden="1">
      <c r="A702" s="91"/>
      <c r="B702" s="100"/>
      <c r="C702" s="111"/>
      <c r="D702" s="112" t="s">
        <v>103</v>
      </c>
      <c r="E702" s="113" t="e">
        <f t="shared" ref="E702:R702" si="1244">E700/E698</f>
        <v>#DIV/0!</v>
      </c>
      <c r="F702" s="113" t="e">
        <f t="shared" si="1244"/>
        <v>#DIV/0!</v>
      </c>
      <c r="G702" s="113" t="e">
        <f t="shared" si="1244"/>
        <v>#DIV/0!</v>
      </c>
      <c r="H702" s="113" t="e">
        <f t="shared" si="1244"/>
        <v>#DIV/0!</v>
      </c>
      <c r="I702" s="113" t="e">
        <f t="shared" si="1244"/>
        <v>#DIV/0!</v>
      </c>
      <c r="J702" s="113" t="e">
        <f t="shared" si="1244"/>
        <v>#DIV/0!</v>
      </c>
      <c r="K702" s="113" t="e">
        <f t="shared" si="1244"/>
        <v>#DIV/0!</v>
      </c>
      <c r="L702" s="113" t="e">
        <f t="shared" si="1244"/>
        <v>#DIV/0!</v>
      </c>
      <c r="M702" s="113" t="e">
        <f t="shared" si="1244"/>
        <v>#DIV/0!</v>
      </c>
      <c r="N702" s="113" t="e">
        <f t="shared" si="1244"/>
        <v>#DIV/0!</v>
      </c>
      <c r="O702" s="113" t="e">
        <f t="shared" si="1244"/>
        <v>#DIV/0!</v>
      </c>
      <c r="P702" s="114" t="e">
        <f t="shared" si="1244"/>
        <v>#DIV/0!</v>
      </c>
      <c r="Q702" s="115" t="e">
        <f t="shared" si="1244"/>
        <v>#DIV/0!</v>
      </c>
      <c r="R702" s="116" t="e">
        <f t="shared" si="1244"/>
        <v>#DIV/0!</v>
      </c>
      <c r="T702" s="91"/>
      <c r="U702" s="100"/>
      <c r="V702" s="111"/>
      <c r="W702" s="112" t="s">
        <v>103</v>
      </c>
      <c r="X702" s="113" t="e">
        <f t="shared" ref="X702:AK702" si="1245">X700/X698</f>
        <v>#DIV/0!</v>
      </c>
      <c r="Y702" s="113" t="e">
        <f t="shared" si="1245"/>
        <v>#DIV/0!</v>
      </c>
      <c r="Z702" s="113" t="e">
        <f t="shared" si="1245"/>
        <v>#DIV/0!</v>
      </c>
      <c r="AA702" s="113" t="e">
        <f t="shared" si="1245"/>
        <v>#DIV/0!</v>
      </c>
      <c r="AB702" s="113" t="e">
        <f t="shared" si="1245"/>
        <v>#DIV/0!</v>
      </c>
      <c r="AC702" s="113" t="e">
        <f t="shared" si="1245"/>
        <v>#DIV/0!</v>
      </c>
      <c r="AD702" s="113" t="e">
        <f t="shared" si="1245"/>
        <v>#DIV/0!</v>
      </c>
      <c r="AE702" s="113" t="e">
        <f t="shared" si="1245"/>
        <v>#DIV/0!</v>
      </c>
      <c r="AF702" s="113" t="e">
        <f t="shared" si="1245"/>
        <v>#DIV/0!</v>
      </c>
      <c r="AG702" s="113" t="e">
        <f t="shared" si="1245"/>
        <v>#DIV/0!</v>
      </c>
      <c r="AH702" s="113" t="e">
        <f t="shared" si="1245"/>
        <v>#DIV/0!</v>
      </c>
      <c r="AI702" s="114" t="e">
        <f t="shared" si="1245"/>
        <v>#DIV/0!</v>
      </c>
      <c r="AJ702" s="115" t="e">
        <f t="shared" si="1245"/>
        <v>#DIV/0!</v>
      </c>
      <c r="AK702" s="116" t="e">
        <f t="shared" si="1245"/>
        <v>#DIV/0!</v>
      </c>
    </row>
    <row r="703" spans="1:38" hidden="1">
      <c r="A703" s="91"/>
      <c r="B703" s="100"/>
      <c r="C703" s="86"/>
      <c r="D703" s="87">
        <v>2019</v>
      </c>
      <c r="E703" s="88"/>
      <c r="F703" s="121"/>
      <c r="G703" s="121"/>
      <c r="H703" s="121"/>
      <c r="I703" s="121"/>
      <c r="J703" s="121"/>
      <c r="K703" s="121"/>
      <c r="L703" s="121"/>
      <c r="M703" s="122"/>
      <c r="N703" s="122"/>
      <c r="O703" s="122"/>
      <c r="P703" s="123"/>
      <c r="Q703" s="89">
        <f t="shared" ref="Q703:Q705" si="1246">SUM(E703:P703)</f>
        <v>0</v>
      </c>
      <c r="R703" s="90">
        <f t="shared" ref="R703" si="1247">SUM(E703:M703)</f>
        <v>0</v>
      </c>
      <c r="T703" s="91"/>
      <c r="U703" s="100"/>
      <c r="V703" s="86">
        <f t="shared" ref="V703:V704" si="1248">C703</f>
        <v>0</v>
      </c>
      <c r="W703" s="87">
        <v>2019</v>
      </c>
      <c r="X703" s="88"/>
      <c r="Y703" s="121"/>
      <c r="Z703" s="121"/>
      <c r="AA703" s="121"/>
      <c r="AB703" s="121"/>
      <c r="AC703" s="121"/>
      <c r="AD703" s="121"/>
      <c r="AE703" s="121"/>
      <c r="AF703" s="122"/>
      <c r="AG703" s="122"/>
      <c r="AH703" s="122"/>
      <c r="AI703" s="123"/>
      <c r="AJ703" s="89">
        <f t="shared" ref="AJ703:AJ705" si="1249">SUM(X703:AI703)</f>
        <v>0</v>
      </c>
      <c r="AK703" s="90">
        <f t="shared" ref="AK703:AK705" si="1250">SUM(X703:AF703)</f>
        <v>0</v>
      </c>
    </row>
    <row r="704" spans="1:38" hidden="1">
      <c r="A704" s="91"/>
      <c r="B704" s="100"/>
      <c r="C704" s="92"/>
      <c r="D704" s="93" t="s">
        <v>92</v>
      </c>
      <c r="E704" s="94"/>
      <c r="F704" s="97"/>
      <c r="G704" s="97"/>
      <c r="H704" s="97"/>
      <c r="I704" s="97"/>
      <c r="J704" s="97"/>
      <c r="K704" s="97"/>
      <c r="L704" s="97"/>
      <c r="M704" s="98"/>
      <c r="N704" s="98"/>
      <c r="O704" s="98"/>
      <c r="P704" s="99"/>
      <c r="Q704" s="95">
        <f t="shared" si="1246"/>
        <v>0</v>
      </c>
      <c r="R704" s="96">
        <f t="shared" si="1161"/>
        <v>0</v>
      </c>
      <c r="T704" s="91"/>
      <c r="U704" s="100"/>
      <c r="V704" s="92">
        <f t="shared" si="1248"/>
        <v>0</v>
      </c>
      <c r="W704" s="93" t="s">
        <v>92</v>
      </c>
      <c r="X704" s="94"/>
      <c r="Y704" s="97"/>
      <c r="Z704" s="97"/>
      <c r="AA704" s="97"/>
      <c r="AB704" s="97"/>
      <c r="AC704" s="97"/>
      <c r="AD704" s="97"/>
      <c r="AE704" s="97"/>
      <c r="AF704" s="98"/>
      <c r="AG704" s="98"/>
      <c r="AH704" s="98"/>
      <c r="AI704" s="99"/>
      <c r="AJ704" s="95">
        <f t="shared" si="1249"/>
        <v>0</v>
      </c>
      <c r="AK704" s="96">
        <f t="shared" si="1250"/>
        <v>0</v>
      </c>
    </row>
    <row r="705" spans="1:38" hidden="1">
      <c r="A705" s="91"/>
      <c r="B705" s="100"/>
      <c r="C705" s="92"/>
      <c r="D705" s="101">
        <v>2020</v>
      </c>
      <c r="E705" s="102"/>
      <c r="F705" s="124"/>
      <c r="G705" s="124"/>
      <c r="H705" s="124"/>
      <c r="I705" s="124"/>
      <c r="J705" s="124"/>
      <c r="K705" s="124"/>
      <c r="L705" s="124"/>
      <c r="M705" s="125"/>
      <c r="N705" s="125"/>
      <c r="O705" s="125"/>
      <c r="P705" s="126"/>
      <c r="Q705" s="103">
        <f t="shared" si="1246"/>
        <v>0</v>
      </c>
      <c r="R705" s="104">
        <f t="shared" si="1161"/>
        <v>0</v>
      </c>
      <c r="S705" s="105"/>
      <c r="T705" s="91"/>
      <c r="U705" s="100"/>
      <c r="V705" s="92"/>
      <c r="W705" s="101">
        <v>2020</v>
      </c>
      <c r="X705" s="102"/>
      <c r="Y705" s="124"/>
      <c r="Z705" s="124"/>
      <c r="AA705" s="124"/>
      <c r="AB705" s="124"/>
      <c r="AC705" s="124"/>
      <c r="AD705" s="124"/>
      <c r="AE705" s="124"/>
      <c r="AF705" s="125"/>
      <c r="AG705" s="125"/>
      <c r="AH705" s="125"/>
      <c r="AI705" s="126"/>
      <c r="AJ705" s="103">
        <f t="shared" si="1249"/>
        <v>0</v>
      </c>
      <c r="AK705" s="104">
        <f t="shared" si="1250"/>
        <v>0</v>
      </c>
      <c r="AL705" s="105"/>
    </row>
    <row r="706" spans="1:38" hidden="1">
      <c r="A706" s="91"/>
      <c r="B706" s="100"/>
      <c r="C706" s="92"/>
      <c r="D706" s="101" t="s">
        <v>102</v>
      </c>
      <c r="E706" s="106" t="e">
        <f t="shared" ref="E706:R706" si="1251">E705/E704</f>
        <v>#DIV/0!</v>
      </c>
      <c r="F706" s="106" t="e">
        <f t="shared" si="1251"/>
        <v>#DIV/0!</v>
      </c>
      <c r="G706" s="106" t="e">
        <f t="shared" si="1251"/>
        <v>#DIV/0!</v>
      </c>
      <c r="H706" s="106" t="e">
        <f t="shared" si="1251"/>
        <v>#DIV/0!</v>
      </c>
      <c r="I706" s="106" t="e">
        <f t="shared" si="1251"/>
        <v>#DIV/0!</v>
      </c>
      <c r="J706" s="106" t="e">
        <f t="shared" si="1251"/>
        <v>#DIV/0!</v>
      </c>
      <c r="K706" s="106" t="e">
        <f t="shared" si="1251"/>
        <v>#DIV/0!</v>
      </c>
      <c r="L706" s="106" t="e">
        <f t="shared" si="1251"/>
        <v>#DIV/0!</v>
      </c>
      <c r="M706" s="107" t="e">
        <f t="shared" si="1251"/>
        <v>#DIV/0!</v>
      </c>
      <c r="N706" s="107" t="e">
        <f t="shared" si="1251"/>
        <v>#DIV/0!</v>
      </c>
      <c r="O706" s="107" t="e">
        <f t="shared" si="1251"/>
        <v>#DIV/0!</v>
      </c>
      <c r="P706" s="108" t="e">
        <f t="shared" si="1251"/>
        <v>#DIV/0!</v>
      </c>
      <c r="Q706" s="109" t="e">
        <f t="shared" si="1251"/>
        <v>#DIV/0!</v>
      </c>
      <c r="R706" s="110" t="e">
        <f t="shared" si="1251"/>
        <v>#DIV/0!</v>
      </c>
      <c r="S706" s="105"/>
      <c r="T706" s="91"/>
      <c r="U706" s="100"/>
      <c r="V706" s="92"/>
      <c r="W706" s="101" t="s">
        <v>102</v>
      </c>
      <c r="X706" s="106" t="e">
        <f t="shared" ref="X706:AK706" si="1252">X705/X704</f>
        <v>#DIV/0!</v>
      </c>
      <c r="Y706" s="106" t="e">
        <f t="shared" si="1252"/>
        <v>#DIV/0!</v>
      </c>
      <c r="Z706" s="106" t="e">
        <f t="shared" si="1252"/>
        <v>#DIV/0!</v>
      </c>
      <c r="AA706" s="106" t="e">
        <f t="shared" si="1252"/>
        <v>#DIV/0!</v>
      </c>
      <c r="AB706" s="106" t="e">
        <f t="shared" si="1252"/>
        <v>#DIV/0!</v>
      </c>
      <c r="AC706" s="106" t="e">
        <f t="shared" si="1252"/>
        <v>#DIV/0!</v>
      </c>
      <c r="AD706" s="106" t="e">
        <f t="shared" si="1252"/>
        <v>#DIV/0!</v>
      </c>
      <c r="AE706" s="106" t="e">
        <f t="shared" si="1252"/>
        <v>#DIV/0!</v>
      </c>
      <c r="AF706" s="107" t="e">
        <f t="shared" si="1252"/>
        <v>#DIV/0!</v>
      </c>
      <c r="AG706" s="107" t="e">
        <f t="shared" si="1252"/>
        <v>#DIV/0!</v>
      </c>
      <c r="AH706" s="107" t="e">
        <f t="shared" si="1252"/>
        <v>#DIV/0!</v>
      </c>
      <c r="AI706" s="108" t="e">
        <f t="shared" si="1252"/>
        <v>#DIV/0!</v>
      </c>
      <c r="AJ706" s="109" t="e">
        <f t="shared" si="1252"/>
        <v>#DIV/0!</v>
      </c>
      <c r="AK706" s="110" t="e">
        <f t="shared" si="1252"/>
        <v>#DIV/0!</v>
      </c>
      <c r="AL706" s="105"/>
    </row>
    <row r="707" spans="1:38" hidden="1">
      <c r="A707" s="91"/>
      <c r="B707" s="100"/>
      <c r="C707" s="111"/>
      <c r="D707" s="112" t="s">
        <v>103</v>
      </c>
      <c r="E707" s="113" t="e">
        <f t="shared" ref="E707:R707" si="1253">E705/E703</f>
        <v>#DIV/0!</v>
      </c>
      <c r="F707" s="113" t="e">
        <f t="shared" si="1253"/>
        <v>#DIV/0!</v>
      </c>
      <c r="G707" s="113" t="e">
        <f t="shared" si="1253"/>
        <v>#DIV/0!</v>
      </c>
      <c r="H707" s="113" t="e">
        <f t="shared" si="1253"/>
        <v>#DIV/0!</v>
      </c>
      <c r="I707" s="113" t="e">
        <f t="shared" si="1253"/>
        <v>#DIV/0!</v>
      </c>
      <c r="J707" s="113" t="e">
        <f t="shared" si="1253"/>
        <v>#DIV/0!</v>
      </c>
      <c r="K707" s="113" t="e">
        <f t="shared" si="1253"/>
        <v>#DIV/0!</v>
      </c>
      <c r="L707" s="113" t="e">
        <f t="shared" si="1253"/>
        <v>#DIV/0!</v>
      </c>
      <c r="M707" s="113" t="e">
        <f t="shared" si="1253"/>
        <v>#DIV/0!</v>
      </c>
      <c r="N707" s="113" t="e">
        <f t="shared" si="1253"/>
        <v>#DIV/0!</v>
      </c>
      <c r="O707" s="113" t="e">
        <f t="shared" si="1253"/>
        <v>#DIV/0!</v>
      </c>
      <c r="P707" s="114" t="e">
        <f t="shared" si="1253"/>
        <v>#DIV/0!</v>
      </c>
      <c r="Q707" s="115" t="e">
        <f t="shared" si="1253"/>
        <v>#DIV/0!</v>
      </c>
      <c r="R707" s="116" t="e">
        <f t="shared" si="1253"/>
        <v>#DIV/0!</v>
      </c>
      <c r="T707" s="91"/>
      <c r="U707" s="100"/>
      <c r="V707" s="111"/>
      <c r="W707" s="112" t="s">
        <v>103</v>
      </c>
      <c r="X707" s="113" t="e">
        <f t="shared" ref="X707:AK707" si="1254">X705/X703</f>
        <v>#DIV/0!</v>
      </c>
      <c r="Y707" s="113" t="e">
        <f t="shared" si="1254"/>
        <v>#DIV/0!</v>
      </c>
      <c r="Z707" s="113" t="e">
        <f t="shared" si="1254"/>
        <v>#DIV/0!</v>
      </c>
      <c r="AA707" s="113" t="e">
        <f t="shared" si="1254"/>
        <v>#DIV/0!</v>
      </c>
      <c r="AB707" s="113" t="e">
        <f t="shared" si="1254"/>
        <v>#DIV/0!</v>
      </c>
      <c r="AC707" s="113" t="e">
        <f t="shared" si="1254"/>
        <v>#DIV/0!</v>
      </c>
      <c r="AD707" s="113" t="e">
        <f t="shared" si="1254"/>
        <v>#DIV/0!</v>
      </c>
      <c r="AE707" s="113" t="e">
        <f t="shared" si="1254"/>
        <v>#DIV/0!</v>
      </c>
      <c r="AF707" s="113" t="e">
        <f t="shared" si="1254"/>
        <v>#DIV/0!</v>
      </c>
      <c r="AG707" s="113" t="e">
        <f t="shared" si="1254"/>
        <v>#DIV/0!</v>
      </c>
      <c r="AH707" s="113" t="e">
        <f t="shared" si="1254"/>
        <v>#DIV/0!</v>
      </c>
      <c r="AI707" s="114" t="e">
        <f t="shared" si="1254"/>
        <v>#DIV/0!</v>
      </c>
      <c r="AJ707" s="115" t="e">
        <f t="shared" si="1254"/>
        <v>#DIV/0!</v>
      </c>
      <c r="AK707" s="116" t="e">
        <f t="shared" si="1254"/>
        <v>#DIV/0!</v>
      </c>
    </row>
    <row r="708" spans="1:38" hidden="1">
      <c r="A708" s="91"/>
      <c r="B708" s="100"/>
      <c r="C708" s="86"/>
      <c r="D708" s="87">
        <v>2019</v>
      </c>
      <c r="E708" s="88"/>
      <c r="F708" s="121"/>
      <c r="G708" s="121"/>
      <c r="H708" s="121"/>
      <c r="I708" s="121"/>
      <c r="J708" s="121"/>
      <c r="K708" s="121"/>
      <c r="L708" s="121"/>
      <c r="M708" s="122"/>
      <c r="N708" s="122"/>
      <c r="O708" s="122"/>
      <c r="P708" s="123"/>
      <c r="Q708" s="89">
        <f t="shared" ref="Q708:Q710" si="1255">SUM(E708:P708)</f>
        <v>0</v>
      </c>
      <c r="R708" s="90">
        <f t="shared" ref="R708" si="1256">SUM(E708:M708)</f>
        <v>0</v>
      </c>
      <c r="T708" s="91"/>
      <c r="U708" s="100"/>
      <c r="V708" s="86">
        <f t="shared" ref="V708:V709" si="1257">C708</f>
        <v>0</v>
      </c>
      <c r="W708" s="87">
        <v>2019</v>
      </c>
      <c r="X708" s="88"/>
      <c r="Y708" s="121"/>
      <c r="Z708" s="121"/>
      <c r="AA708" s="121"/>
      <c r="AB708" s="121"/>
      <c r="AC708" s="121"/>
      <c r="AD708" s="121"/>
      <c r="AE708" s="121"/>
      <c r="AF708" s="122"/>
      <c r="AG708" s="122"/>
      <c r="AH708" s="122"/>
      <c r="AI708" s="123"/>
      <c r="AJ708" s="89">
        <f t="shared" ref="AJ708:AJ710" si="1258">SUM(X708:AI708)</f>
        <v>0</v>
      </c>
      <c r="AK708" s="90">
        <f t="shared" ref="AK708:AK710" si="1259">SUM(X708:AF708)</f>
        <v>0</v>
      </c>
    </row>
    <row r="709" spans="1:38" hidden="1">
      <c r="A709" s="91"/>
      <c r="B709" s="100"/>
      <c r="C709" s="92"/>
      <c r="D709" s="93" t="s">
        <v>92</v>
      </c>
      <c r="E709" s="94"/>
      <c r="F709" s="97"/>
      <c r="G709" s="97"/>
      <c r="H709" s="97"/>
      <c r="I709" s="97"/>
      <c r="J709" s="97"/>
      <c r="K709" s="97"/>
      <c r="L709" s="97"/>
      <c r="M709" s="98"/>
      <c r="N709" s="98"/>
      <c r="O709" s="98"/>
      <c r="P709" s="99"/>
      <c r="Q709" s="95">
        <f t="shared" si="1255"/>
        <v>0</v>
      </c>
      <c r="R709" s="96">
        <f t="shared" si="1161"/>
        <v>0</v>
      </c>
      <c r="T709" s="91"/>
      <c r="U709" s="100"/>
      <c r="V709" s="92">
        <f t="shared" si="1257"/>
        <v>0</v>
      </c>
      <c r="W709" s="93" t="s">
        <v>92</v>
      </c>
      <c r="X709" s="94"/>
      <c r="Y709" s="97"/>
      <c r="Z709" s="97"/>
      <c r="AA709" s="97"/>
      <c r="AB709" s="97"/>
      <c r="AC709" s="97"/>
      <c r="AD709" s="97"/>
      <c r="AE709" s="97"/>
      <c r="AF709" s="98"/>
      <c r="AG709" s="98"/>
      <c r="AH709" s="98"/>
      <c r="AI709" s="99"/>
      <c r="AJ709" s="95">
        <f t="shared" si="1258"/>
        <v>0</v>
      </c>
      <c r="AK709" s="96">
        <f t="shared" si="1259"/>
        <v>0</v>
      </c>
    </row>
    <row r="710" spans="1:38" hidden="1">
      <c r="A710" s="91"/>
      <c r="B710" s="100"/>
      <c r="C710" s="92"/>
      <c r="D710" s="101">
        <v>2020</v>
      </c>
      <c r="E710" s="102"/>
      <c r="F710" s="124"/>
      <c r="G710" s="124"/>
      <c r="H710" s="124"/>
      <c r="I710" s="124"/>
      <c r="J710" s="124"/>
      <c r="K710" s="124"/>
      <c r="L710" s="124"/>
      <c r="M710" s="125"/>
      <c r="N710" s="125"/>
      <c r="O710" s="125"/>
      <c r="P710" s="126"/>
      <c r="Q710" s="103">
        <f t="shared" si="1255"/>
        <v>0</v>
      </c>
      <c r="R710" s="104">
        <f t="shared" si="1161"/>
        <v>0</v>
      </c>
      <c r="S710" s="105"/>
      <c r="T710" s="91"/>
      <c r="U710" s="100"/>
      <c r="V710" s="92"/>
      <c r="W710" s="101">
        <v>2020</v>
      </c>
      <c r="X710" s="102"/>
      <c r="Y710" s="124"/>
      <c r="Z710" s="124"/>
      <c r="AA710" s="124"/>
      <c r="AB710" s="124"/>
      <c r="AC710" s="124"/>
      <c r="AD710" s="124"/>
      <c r="AE710" s="124"/>
      <c r="AF710" s="125"/>
      <c r="AG710" s="125"/>
      <c r="AH710" s="125"/>
      <c r="AI710" s="126"/>
      <c r="AJ710" s="103">
        <f t="shared" si="1258"/>
        <v>0</v>
      </c>
      <c r="AK710" s="104">
        <f t="shared" si="1259"/>
        <v>0</v>
      </c>
      <c r="AL710" s="105"/>
    </row>
    <row r="711" spans="1:38" hidden="1">
      <c r="A711" s="91"/>
      <c r="B711" s="100"/>
      <c r="C711" s="92"/>
      <c r="D711" s="101" t="s">
        <v>102</v>
      </c>
      <c r="E711" s="106" t="e">
        <f t="shared" ref="E711:R711" si="1260">E710/E709</f>
        <v>#DIV/0!</v>
      </c>
      <c r="F711" s="106" t="e">
        <f t="shared" si="1260"/>
        <v>#DIV/0!</v>
      </c>
      <c r="G711" s="106" t="e">
        <f t="shared" si="1260"/>
        <v>#DIV/0!</v>
      </c>
      <c r="H711" s="106" t="e">
        <f t="shared" si="1260"/>
        <v>#DIV/0!</v>
      </c>
      <c r="I711" s="106" t="e">
        <f t="shared" si="1260"/>
        <v>#DIV/0!</v>
      </c>
      <c r="J711" s="106" t="e">
        <f t="shared" si="1260"/>
        <v>#DIV/0!</v>
      </c>
      <c r="K711" s="106" t="e">
        <f t="shared" si="1260"/>
        <v>#DIV/0!</v>
      </c>
      <c r="L711" s="106" t="e">
        <f t="shared" si="1260"/>
        <v>#DIV/0!</v>
      </c>
      <c r="M711" s="107" t="e">
        <f t="shared" si="1260"/>
        <v>#DIV/0!</v>
      </c>
      <c r="N711" s="107" t="e">
        <f t="shared" si="1260"/>
        <v>#DIV/0!</v>
      </c>
      <c r="O711" s="107" t="e">
        <f t="shared" si="1260"/>
        <v>#DIV/0!</v>
      </c>
      <c r="P711" s="108" t="e">
        <f t="shared" si="1260"/>
        <v>#DIV/0!</v>
      </c>
      <c r="Q711" s="109" t="e">
        <f t="shared" si="1260"/>
        <v>#DIV/0!</v>
      </c>
      <c r="R711" s="110" t="e">
        <f t="shared" si="1260"/>
        <v>#DIV/0!</v>
      </c>
      <c r="S711" s="105"/>
      <c r="T711" s="91"/>
      <c r="U711" s="100"/>
      <c r="V711" s="92"/>
      <c r="W711" s="101" t="s">
        <v>102</v>
      </c>
      <c r="X711" s="106" t="e">
        <f t="shared" ref="X711:AK711" si="1261">X710/X709</f>
        <v>#DIV/0!</v>
      </c>
      <c r="Y711" s="106" t="e">
        <f t="shared" si="1261"/>
        <v>#DIV/0!</v>
      </c>
      <c r="Z711" s="106" t="e">
        <f t="shared" si="1261"/>
        <v>#DIV/0!</v>
      </c>
      <c r="AA711" s="106" t="e">
        <f t="shared" si="1261"/>
        <v>#DIV/0!</v>
      </c>
      <c r="AB711" s="106" t="e">
        <f t="shared" si="1261"/>
        <v>#DIV/0!</v>
      </c>
      <c r="AC711" s="106" t="e">
        <f t="shared" si="1261"/>
        <v>#DIV/0!</v>
      </c>
      <c r="AD711" s="106" t="e">
        <f t="shared" si="1261"/>
        <v>#DIV/0!</v>
      </c>
      <c r="AE711" s="106" t="e">
        <f t="shared" si="1261"/>
        <v>#DIV/0!</v>
      </c>
      <c r="AF711" s="107" t="e">
        <f t="shared" si="1261"/>
        <v>#DIV/0!</v>
      </c>
      <c r="AG711" s="107" t="e">
        <f t="shared" si="1261"/>
        <v>#DIV/0!</v>
      </c>
      <c r="AH711" s="107" t="e">
        <f t="shared" si="1261"/>
        <v>#DIV/0!</v>
      </c>
      <c r="AI711" s="108" t="e">
        <f t="shared" si="1261"/>
        <v>#DIV/0!</v>
      </c>
      <c r="AJ711" s="109" t="e">
        <f t="shared" si="1261"/>
        <v>#DIV/0!</v>
      </c>
      <c r="AK711" s="110" t="e">
        <f t="shared" si="1261"/>
        <v>#DIV/0!</v>
      </c>
      <c r="AL711" s="105"/>
    </row>
    <row r="712" spans="1:38" hidden="1">
      <c r="A712" s="91"/>
      <c r="B712" s="100"/>
      <c r="C712" s="111"/>
      <c r="D712" s="112" t="s">
        <v>103</v>
      </c>
      <c r="E712" s="113" t="e">
        <f t="shared" ref="E712:R712" si="1262">E710/E708</f>
        <v>#DIV/0!</v>
      </c>
      <c r="F712" s="113" t="e">
        <f t="shared" si="1262"/>
        <v>#DIV/0!</v>
      </c>
      <c r="G712" s="113" t="e">
        <f t="shared" si="1262"/>
        <v>#DIV/0!</v>
      </c>
      <c r="H712" s="113" t="e">
        <f t="shared" si="1262"/>
        <v>#DIV/0!</v>
      </c>
      <c r="I712" s="113" t="e">
        <f t="shared" si="1262"/>
        <v>#DIV/0!</v>
      </c>
      <c r="J712" s="113" t="e">
        <f t="shared" si="1262"/>
        <v>#DIV/0!</v>
      </c>
      <c r="K712" s="113" t="e">
        <f t="shared" si="1262"/>
        <v>#DIV/0!</v>
      </c>
      <c r="L712" s="113" t="e">
        <f t="shared" si="1262"/>
        <v>#DIV/0!</v>
      </c>
      <c r="M712" s="113" t="e">
        <f t="shared" si="1262"/>
        <v>#DIV/0!</v>
      </c>
      <c r="N712" s="113" t="e">
        <f t="shared" si="1262"/>
        <v>#DIV/0!</v>
      </c>
      <c r="O712" s="113" t="e">
        <f t="shared" si="1262"/>
        <v>#DIV/0!</v>
      </c>
      <c r="P712" s="114" t="e">
        <f t="shared" si="1262"/>
        <v>#DIV/0!</v>
      </c>
      <c r="Q712" s="115" t="e">
        <f t="shared" si="1262"/>
        <v>#DIV/0!</v>
      </c>
      <c r="R712" s="116" t="e">
        <f t="shared" si="1262"/>
        <v>#DIV/0!</v>
      </c>
      <c r="T712" s="91"/>
      <c r="U712" s="100"/>
      <c r="V712" s="111"/>
      <c r="W712" s="112" t="s">
        <v>103</v>
      </c>
      <c r="X712" s="113" t="e">
        <f t="shared" ref="X712:AK712" si="1263">X710/X708</f>
        <v>#DIV/0!</v>
      </c>
      <c r="Y712" s="113" t="e">
        <f t="shared" si="1263"/>
        <v>#DIV/0!</v>
      </c>
      <c r="Z712" s="113" t="e">
        <f t="shared" si="1263"/>
        <v>#DIV/0!</v>
      </c>
      <c r="AA712" s="113" t="e">
        <f t="shared" si="1263"/>
        <v>#DIV/0!</v>
      </c>
      <c r="AB712" s="113" t="e">
        <f t="shared" si="1263"/>
        <v>#DIV/0!</v>
      </c>
      <c r="AC712" s="113" t="e">
        <f t="shared" si="1263"/>
        <v>#DIV/0!</v>
      </c>
      <c r="AD712" s="113" t="e">
        <f t="shared" si="1263"/>
        <v>#DIV/0!</v>
      </c>
      <c r="AE712" s="113" t="e">
        <f t="shared" si="1263"/>
        <v>#DIV/0!</v>
      </c>
      <c r="AF712" s="113" t="e">
        <f t="shared" si="1263"/>
        <v>#DIV/0!</v>
      </c>
      <c r="AG712" s="113" t="e">
        <f t="shared" si="1263"/>
        <v>#DIV/0!</v>
      </c>
      <c r="AH712" s="113" t="e">
        <f t="shared" si="1263"/>
        <v>#DIV/0!</v>
      </c>
      <c r="AI712" s="114" t="e">
        <f t="shared" si="1263"/>
        <v>#DIV/0!</v>
      </c>
      <c r="AJ712" s="115" t="e">
        <f t="shared" si="1263"/>
        <v>#DIV/0!</v>
      </c>
      <c r="AK712" s="116" t="e">
        <f t="shared" si="1263"/>
        <v>#DIV/0!</v>
      </c>
    </row>
    <row r="713" spans="1:38" hidden="1">
      <c r="A713" s="91"/>
      <c r="B713" s="100"/>
      <c r="C713" s="86"/>
      <c r="D713" s="87">
        <v>2019</v>
      </c>
      <c r="E713" s="88"/>
      <c r="F713" s="121"/>
      <c r="G713" s="121"/>
      <c r="H713" s="121"/>
      <c r="I713" s="121"/>
      <c r="J713" s="121"/>
      <c r="K713" s="121"/>
      <c r="L713" s="121"/>
      <c r="M713" s="122"/>
      <c r="N713" s="122"/>
      <c r="O713" s="122"/>
      <c r="P713" s="123"/>
      <c r="Q713" s="89">
        <f t="shared" ref="Q713:Q715" si="1264">SUM(E713:P713)</f>
        <v>0</v>
      </c>
      <c r="R713" s="90">
        <f t="shared" ref="R713" si="1265">SUM(E713:M713)</f>
        <v>0</v>
      </c>
      <c r="T713" s="91"/>
      <c r="U713" s="100"/>
      <c r="V713" s="86">
        <f t="shared" ref="V713:V714" si="1266">C713</f>
        <v>0</v>
      </c>
      <c r="W713" s="87">
        <v>2019</v>
      </c>
      <c r="X713" s="88"/>
      <c r="Y713" s="121"/>
      <c r="Z713" s="121"/>
      <c r="AA713" s="121"/>
      <c r="AB713" s="121"/>
      <c r="AC713" s="121"/>
      <c r="AD713" s="121"/>
      <c r="AE713" s="121"/>
      <c r="AF713" s="122"/>
      <c r="AG713" s="122"/>
      <c r="AH713" s="122"/>
      <c r="AI713" s="123"/>
      <c r="AJ713" s="89">
        <f t="shared" ref="AJ713:AJ715" si="1267">SUM(X713:AI713)</f>
        <v>0</v>
      </c>
      <c r="AK713" s="90">
        <f t="shared" ref="AK713:AK715" si="1268">SUM(X713:AF713)</f>
        <v>0</v>
      </c>
    </row>
    <row r="714" spans="1:38" hidden="1">
      <c r="A714" s="91"/>
      <c r="B714" s="100"/>
      <c r="C714" s="92"/>
      <c r="D714" s="93" t="s">
        <v>92</v>
      </c>
      <c r="E714" s="94"/>
      <c r="F714" s="97"/>
      <c r="G714" s="97"/>
      <c r="H714" s="97"/>
      <c r="I714" s="97"/>
      <c r="J714" s="97"/>
      <c r="K714" s="97"/>
      <c r="L714" s="97"/>
      <c r="M714" s="98"/>
      <c r="N714" s="98"/>
      <c r="O714" s="98"/>
      <c r="P714" s="99"/>
      <c r="Q714" s="95">
        <f t="shared" si="1264"/>
        <v>0</v>
      </c>
      <c r="R714" s="96">
        <f t="shared" si="1161"/>
        <v>0</v>
      </c>
      <c r="T714" s="91"/>
      <c r="U714" s="100"/>
      <c r="V714" s="92">
        <f t="shared" si="1266"/>
        <v>0</v>
      </c>
      <c r="W714" s="93" t="s">
        <v>92</v>
      </c>
      <c r="X714" s="94"/>
      <c r="Y714" s="97"/>
      <c r="Z714" s="97"/>
      <c r="AA714" s="97"/>
      <c r="AB714" s="97"/>
      <c r="AC714" s="97"/>
      <c r="AD714" s="97"/>
      <c r="AE714" s="97"/>
      <c r="AF714" s="98"/>
      <c r="AG714" s="98"/>
      <c r="AH714" s="98"/>
      <c r="AI714" s="99"/>
      <c r="AJ714" s="95">
        <f t="shared" si="1267"/>
        <v>0</v>
      </c>
      <c r="AK714" s="96">
        <f t="shared" si="1268"/>
        <v>0</v>
      </c>
    </row>
    <row r="715" spans="1:38" hidden="1">
      <c r="A715" s="91"/>
      <c r="B715" s="100"/>
      <c r="C715" s="92"/>
      <c r="D715" s="101">
        <v>2020</v>
      </c>
      <c r="E715" s="102"/>
      <c r="F715" s="124"/>
      <c r="G715" s="124"/>
      <c r="H715" s="124"/>
      <c r="I715" s="124"/>
      <c r="J715" s="124"/>
      <c r="K715" s="124"/>
      <c r="L715" s="124"/>
      <c r="M715" s="125"/>
      <c r="N715" s="125"/>
      <c r="O715" s="125"/>
      <c r="P715" s="126"/>
      <c r="Q715" s="103">
        <f t="shared" si="1264"/>
        <v>0</v>
      </c>
      <c r="R715" s="104">
        <f t="shared" si="1161"/>
        <v>0</v>
      </c>
      <c r="S715" s="105"/>
      <c r="T715" s="91"/>
      <c r="U715" s="100"/>
      <c r="V715" s="92"/>
      <c r="W715" s="101">
        <v>2020</v>
      </c>
      <c r="X715" s="102"/>
      <c r="Y715" s="124"/>
      <c r="Z715" s="124"/>
      <c r="AA715" s="124"/>
      <c r="AB715" s="124"/>
      <c r="AC715" s="124"/>
      <c r="AD715" s="124"/>
      <c r="AE715" s="124"/>
      <c r="AF715" s="125"/>
      <c r="AG715" s="125"/>
      <c r="AH715" s="125"/>
      <c r="AI715" s="126"/>
      <c r="AJ715" s="103">
        <f t="shared" si="1267"/>
        <v>0</v>
      </c>
      <c r="AK715" s="104">
        <f t="shared" si="1268"/>
        <v>0</v>
      </c>
      <c r="AL715" s="105"/>
    </row>
    <row r="716" spans="1:38" hidden="1">
      <c r="A716" s="91"/>
      <c r="B716" s="100"/>
      <c r="C716" s="92"/>
      <c r="D716" s="101" t="s">
        <v>102</v>
      </c>
      <c r="E716" s="106" t="e">
        <f t="shared" ref="E716:R716" si="1269">E715/E714</f>
        <v>#DIV/0!</v>
      </c>
      <c r="F716" s="106" t="e">
        <f t="shared" si="1269"/>
        <v>#DIV/0!</v>
      </c>
      <c r="G716" s="106" t="e">
        <f t="shared" si="1269"/>
        <v>#DIV/0!</v>
      </c>
      <c r="H716" s="106" t="e">
        <f t="shared" si="1269"/>
        <v>#DIV/0!</v>
      </c>
      <c r="I716" s="106" t="e">
        <f t="shared" si="1269"/>
        <v>#DIV/0!</v>
      </c>
      <c r="J716" s="106" t="e">
        <f t="shared" si="1269"/>
        <v>#DIV/0!</v>
      </c>
      <c r="K716" s="106" t="e">
        <f t="shared" si="1269"/>
        <v>#DIV/0!</v>
      </c>
      <c r="L716" s="106" t="e">
        <f t="shared" si="1269"/>
        <v>#DIV/0!</v>
      </c>
      <c r="M716" s="107" t="e">
        <f t="shared" si="1269"/>
        <v>#DIV/0!</v>
      </c>
      <c r="N716" s="107" t="e">
        <f t="shared" si="1269"/>
        <v>#DIV/0!</v>
      </c>
      <c r="O716" s="107" t="e">
        <f t="shared" si="1269"/>
        <v>#DIV/0!</v>
      </c>
      <c r="P716" s="108" t="e">
        <f t="shared" si="1269"/>
        <v>#DIV/0!</v>
      </c>
      <c r="Q716" s="109" t="e">
        <f t="shared" si="1269"/>
        <v>#DIV/0!</v>
      </c>
      <c r="R716" s="110" t="e">
        <f t="shared" si="1269"/>
        <v>#DIV/0!</v>
      </c>
      <c r="S716" s="105"/>
      <c r="T716" s="91"/>
      <c r="U716" s="100"/>
      <c r="V716" s="92"/>
      <c r="W716" s="101" t="s">
        <v>102</v>
      </c>
      <c r="X716" s="106" t="e">
        <f t="shared" ref="X716:AK716" si="1270">X715/X714</f>
        <v>#DIV/0!</v>
      </c>
      <c r="Y716" s="106" t="e">
        <f t="shared" si="1270"/>
        <v>#DIV/0!</v>
      </c>
      <c r="Z716" s="106" t="e">
        <f t="shared" si="1270"/>
        <v>#DIV/0!</v>
      </c>
      <c r="AA716" s="106" t="e">
        <f t="shared" si="1270"/>
        <v>#DIV/0!</v>
      </c>
      <c r="AB716" s="106" t="e">
        <f t="shared" si="1270"/>
        <v>#DIV/0!</v>
      </c>
      <c r="AC716" s="106" t="e">
        <f t="shared" si="1270"/>
        <v>#DIV/0!</v>
      </c>
      <c r="AD716" s="106" t="e">
        <f t="shared" si="1270"/>
        <v>#DIV/0!</v>
      </c>
      <c r="AE716" s="106" t="e">
        <f t="shared" si="1270"/>
        <v>#DIV/0!</v>
      </c>
      <c r="AF716" s="107" t="e">
        <f t="shared" si="1270"/>
        <v>#DIV/0!</v>
      </c>
      <c r="AG716" s="107" t="e">
        <f t="shared" si="1270"/>
        <v>#DIV/0!</v>
      </c>
      <c r="AH716" s="107" t="e">
        <f t="shared" si="1270"/>
        <v>#DIV/0!</v>
      </c>
      <c r="AI716" s="108" t="e">
        <f t="shared" si="1270"/>
        <v>#DIV/0!</v>
      </c>
      <c r="AJ716" s="109" t="e">
        <f t="shared" si="1270"/>
        <v>#DIV/0!</v>
      </c>
      <c r="AK716" s="110" t="e">
        <f t="shared" si="1270"/>
        <v>#DIV/0!</v>
      </c>
      <c r="AL716" s="105"/>
    </row>
    <row r="717" spans="1:38" hidden="1">
      <c r="A717" s="91"/>
      <c r="B717" s="100"/>
      <c r="C717" s="111"/>
      <c r="D717" s="112" t="s">
        <v>103</v>
      </c>
      <c r="E717" s="113" t="e">
        <f t="shared" ref="E717:R717" si="1271">E715/E713</f>
        <v>#DIV/0!</v>
      </c>
      <c r="F717" s="113" t="e">
        <f t="shared" si="1271"/>
        <v>#DIV/0!</v>
      </c>
      <c r="G717" s="113" t="e">
        <f t="shared" si="1271"/>
        <v>#DIV/0!</v>
      </c>
      <c r="H717" s="113" t="e">
        <f t="shared" si="1271"/>
        <v>#DIV/0!</v>
      </c>
      <c r="I717" s="113" t="e">
        <f t="shared" si="1271"/>
        <v>#DIV/0!</v>
      </c>
      <c r="J717" s="113" t="e">
        <f t="shared" si="1271"/>
        <v>#DIV/0!</v>
      </c>
      <c r="K717" s="113" t="e">
        <f t="shared" si="1271"/>
        <v>#DIV/0!</v>
      </c>
      <c r="L717" s="113" t="e">
        <f t="shared" si="1271"/>
        <v>#DIV/0!</v>
      </c>
      <c r="M717" s="113" t="e">
        <f t="shared" si="1271"/>
        <v>#DIV/0!</v>
      </c>
      <c r="N717" s="113" t="e">
        <f t="shared" si="1271"/>
        <v>#DIV/0!</v>
      </c>
      <c r="O717" s="113" t="e">
        <f t="shared" si="1271"/>
        <v>#DIV/0!</v>
      </c>
      <c r="P717" s="114" t="e">
        <f t="shared" si="1271"/>
        <v>#DIV/0!</v>
      </c>
      <c r="Q717" s="115" t="e">
        <f t="shared" si="1271"/>
        <v>#DIV/0!</v>
      </c>
      <c r="R717" s="116" t="e">
        <f t="shared" si="1271"/>
        <v>#DIV/0!</v>
      </c>
      <c r="T717" s="91"/>
      <c r="U717" s="100"/>
      <c r="V717" s="111"/>
      <c r="W717" s="112" t="s">
        <v>103</v>
      </c>
      <c r="X717" s="113" t="e">
        <f t="shared" ref="X717:AK717" si="1272">X715/X713</f>
        <v>#DIV/0!</v>
      </c>
      <c r="Y717" s="113" t="e">
        <f t="shared" si="1272"/>
        <v>#DIV/0!</v>
      </c>
      <c r="Z717" s="113" t="e">
        <f t="shared" si="1272"/>
        <v>#DIV/0!</v>
      </c>
      <c r="AA717" s="113" t="e">
        <f t="shared" si="1272"/>
        <v>#DIV/0!</v>
      </c>
      <c r="AB717" s="113" t="e">
        <f t="shared" si="1272"/>
        <v>#DIV/0!</v>
      </c>
      <c r="AC717" s="113" t="e">
        <f t="shared" si="1272"/>
        <v>#DIV/0!</v>
      </c>
      <c r="AD717" s="113" t="e">
        <f t="shared" si="1272"/>
        <v>#DIV/0!</v>
      </c>
      <c r="AE717" s="113" t="e">
        <f t="shared" si="1272"/>
        <v>#DIV/0!</v>
      </c>
      <c r="AF717" s="113" t="e">
        <f t="shared" si="1272"/>
        <v>#DIV/0!</v>
      </c>
      <c r="AG717" s="113" t="e">
        <f t="shared" si="1272"/>
        <v>#DIV/0!</v>
      </c>
      <c r="AH717" s="113" t="e">
        <f t="shared" si="1272"/>
        <v>#DIV/0!</v>
      </c>
      <c r="AI717" s="114" t="e">
        <f t="shared" si="1272"/>
        <v>#DIV/0!</v>
      </c>
      <c r="AJ717" s="115" t="e">
        <f t="shared" si="1272"/>
        <v>#DIV/0!</v>
      </c>
      <c r="AK717" s="116" t="e">
        <f t="shared" si="1272"/>
        <v>#DIV/0!</v>
      </c>
    </row>
    <row r="718" spans="1:38" hidden="1">
      <c r="A718" s="91"/>
      <c r="B718" s="100"/>
      <c r="C718" s="86"/>
      <c r="D718" s="87">
        <v>2019</v>
      </c>
      <c r="E718" s="88"/>
      <c r="F718" s="121"/>
      <c r="G718" s="121"/>
      <c r="H718" s="121"/>
      <c r="I718" s="121"/>
      <c r="J718" s="121"/>
      <c r="K718" s="121"/>
      <c r="L718" s="121"/>
      <c r="M718" s="122"/>
      <c r="N718" s="122"/>
      <c r="O718" s="122"/>
      <c r="P718" s="123"/>
      <c r="Q718" s="89">
        <f t="shared" ref="Q718:Q720" si="1273">SUM(E718:P718)</f>
        <v>0</v>
      </c>
      <c r="R718" s="90">
        <f t="shared" ref="R718" si="1274">SUM(E718:M718)</f>
        <v>0</v>
      </c>
      <c r="T718" s="91"/>
      <c r="U718" s="100"/>
      <c r="V718" s="86">
        <f t="shared" ref="V718:V719" si="1275">C718</f>
        <v>0</v>
      </c>
      <c r="W718" s="87">
        <v>2019</v>
      </c>
      <c r="X718" s="88"/>
      <c r="Y718" s="121"/>
      <c r="Z718" s="121"/>
      <c r="AA718" s="121"/>
      <c r="AB718" s="121"/>
      <c r="AC718" s="121"/>
      <c r="AD718" s="121"/>
      <c r="AE718" s="121"/>
      <c r="AF718" s="122"/>
      <c r="AG718" s="122"/>
      <c r="AH718" s="122"/>
      <c r="AI718" s="123"/>
      <c r="AJ718" s="89">
        <f t="shared" ref="AJ718:AJ720" si="1276">SUM(X718:AI718)</f>
        <v>0</v>
      </c>
      <c r="AK718" s="90">
        <f t="shared" ref="AK718:AK720" si="1277">SUM(X718:AF718)</f>
        <v>0</v>
      </c>
    </row>
    <row r="719" spans="1:38" hidden="1">
      <c r="A719" s="91"/>
      <c r="B719" s="100"/>
      <c r="C719" s="92"/>
      <c r="D719" s="93" t="s">
        <v>92</v>
      </c>
      <c r="E719" s="94"/>
      <c r="F719" s="97"/>
      <c r="G719" s="97"/>
      <c r="H719" s="97"/>
      <c r="I719" s="97"/>
      <c r="J719" s="97"/>
      <c r="K719" s="97"/>
      <c r="L719" s="97"/>
      <c r="M719" s="98"/>
      <c r="N719" s="98"/>
      <c r="O719" s="98"/>
      <c r="P719" s="99"/>
      <c r="Q719" s="95">
        <f t="shared" si="1273"/>
        <v>0</v>
      </c>
      <c r="R719" s="96">
        <f t="shared" si="1161"/>
        <v>0</v>
      </c>
      <c r="T719" s="91"/>
      <c r="U719" s="100"/>
      <c r="V719" s="92">
        <f t="shared" si="1275"/>
        <v>0</v>
      </c>
      <c r="W719" s="93" t="s">
        <v>92</v>
      </c>
      <c r="X719" s="94"/>
      <c r="Y719" s="97"/>
      <c r="Z719" s="97"/>
      <c r="AA719" s="97"/>
      <c r="AB719" s="97"/>
      <c r="AC719" s="97"/>
      <c r="AD719" s="97"/>
      <c r="AE719" s="97"/>
      <c r="AF719" s="98"/>
      <c r="AG719" s="98"/>
      <c r="AH719" s="98"/>
      <c r="AI719" s="99"/>
      <c r="AJ719" s="95">
        <f t="shared" si="1276"/>
        <v>0</v>
      </c>
      <c r="AK719" s="96">
        <f t="shared" si="1277"/>
        <v>0</v>
      </c>
    </row>
    <row r="720" spans="1:38" hidden="1">
      <c r="A720" s="91"/>
      <c r="B720" s="100"/>
      <c r="C720" s="92"/>
      <c r="D720" s="101">
        <v>2020</v>
      </c>
      <c r="E720" s="102"/>
      <c r="F720" s="124"/>
      <c r="G720" s="124"/>
      <c r="H720" s="124"/>
      <c r="I720" s="124"/>
      <c r="J720" s="124"/>
      <c r="K720" s="124"/>
      <c r="L720" s="124"/>
      <c r="M720" s="125"/>
      <c r="N720" s="125"/>
      <c r="O720" s="125"/>
      <c r="P720" s="126"/>
      <c r="Q720" s="103">
        <f t="shared" si="1273"/>
        <v>0</v>
      </c>
      <c r="R720" s="104">
        <f t="shared" si="1161"/>
        <v>0</v>
      </c>
      <c r="S720" s="105"/>
      <c r="T720" s="91"/>
      <c r="U720" s="100"/>
      <c r="V720" s="92"/>
      <c r="W720" s="101">
        <v>2020</v>
      </c>
      <c r="X720" s="102"/>
      <c r="Y720" s="124"/>
      <c r="Z720" s="124"/>
      <c r="AA720" s="124"/>
      <c r="AB720" s="124"/>
      <c r="AC720" s="124"/>
      <c r="AD720" s="124"/>
      <c r="AE720" s="124"/>
      <c r="AF720" s="125"/>
      <c r="AG720" s="125"/>
      <c r="AH720" s="125"/>
      <c r="AI720" s="126"/>
      <c r="AJ720" s="103">
        <f t="shared" si="1276"/>
        <v>0</v>
      </c>
      <c r="AK720" s="104">
        <f t="shared" si="1277"/>
        <v>0</v>
      </c>
      <c r="AL720" s="105"/>
    </row>
    <row r="721" spans="1:38" hidden="1">
      <c r="A721" s="91"/>
      <c r="B721" s="100"/>
      <c r="C721" s="92"/>
      <c r="D721" s="101" t="s">
        <v>102</v>
      </c>
      <c r="E721" s="106" t="e">
        <f t="shared" ref="E721:R721" si="1278">E720/E719</f>
        <v>#DIV/0!</v>
      </c>
      <c r="F721" s="106" t="e">
        <f t="shared" si="1278"/>
        <v>#DIV/0!</v>
      </c>
      <c r="G721" s="106" t="e">
        <f t="shared" si="1278"/>
        <v>#DIV/0!</v>
      </c>
      <c r="H721" s="106" t="e">
        <f t="shared" si="1278"/>
        <v>#DIV/0!</v>
      </c>
      <c r="I721" s="106" t="e">
        <f t="shared" si="1278"/>
        <v>#DIV/0!</v>
      </c>
      <c r="J721" s="106" t="e">
        <f t="shared" si="1278"/>
        <v>#DIV/0!</v>
      </c>
      <c r="K721" s="106" t="e">
        <f t="shared" si="1278"/>
        <v>#DIV/0!</v>
      </c>
      <c r="L721" s="106" t="e">
        <f t="shared" si="1278"/>
        <v>#DIV/0!</v>
      </c>
      <c r="M721" s="107" t="e">
        <f t="shared" si="1278"/>
        <v>#DIV/0!</v>
      </c>
      <c r="N721" s="107" t="e">
        <f t="shared" si="1278"/>
        <v>#DIV/0!</v>
      </c>
      <c r="O721" s="107" t="e">
        <f t="shared" si="1278"/>
        <v>#DIV/0!</v>
      </c>
      <c r="P721" s="108" t="e">
        <f t="shared" si="1278"/>
        <v>#DIV/0!</v>
      </c>
      <c r="Q721" s="109" t="e">
        <f t="shared" si="1278"/>
        <v>#DIV/0!</v>
      </c>
      <c r="R721" s="110" t="e">
        <f t="shared" si="1278"/>
        <v>#DIV/0!</v>
      </c>
      <c r="S721" s="105"/>
      <c r="T721" s="91"/>
      <c r="U721" s="100"/>
      <c r="V721" s="92"/>
      <c r="W721" s="101" t="s">
        <v>102</v>
      </c>
      <c r="X721" s="106" t="e">
        <f t="shared" ref="X721:AK721" si="1279">X720/X719</f>
        <v>#DIV/0!</v>
      </c>
      <c r="Y721" s="106" t="e">
        <f t="shared" si="1279"/>
        <v>#DIV/0!</v>
      </c>
      <c r="Z721" s="106" t="e">
        <f t="shared" si="1279"/>
        <v>#DIV/0!</v>
      </c>
      <c r="AA721" s="106" t="e">
        <f t="shared" si="1279"/>
        <v>#DIV/0!</v>
      </c>
      <c r="AB721" s="106" t="e">
        <f t="shared" si="1279"/>
        <v>#DIV/0!</v>
      </c>
      <c r="AC721" s="106" t="e">
        <f t="shared" si="1279"/>
        <v>#DIV/0!</v>
      </c>
      <c r="AD721" s="106" t="e">
        <f t="shared" si="1279"/>
        <v>#DIV/0!</v>
      </c>
      <c r="AE721" s="106" t="e">
        <f t="shared" si="1279"/>
        <v>#DIV/0!</v>
      </c>
      <c r="AF721" s="107" t="e">
        <f t="shared" si="1279"/>
        <v>#DIV/0!</v>
      </c>
      <c r="AG721" s="107" t="e">
        <f t="shared" si="1279"/>
        <v>#DIV/0!</v>
      </c>
      <c r="AH721" s="107" t="e">
        <f t="shared" si="1279"/>
        <v>#DIV/0!</v>
      </c>
      <c r="AI721" s="108" t="e">
        <f t="shared" si="1279"/>
        <v>#DIV/0!</v>
      </c>
      <c r="AJ721" s="109" t="e">
        <f t="shared" si="1279"/>
        <v>#DIV/0!</v>
      </c>
      <c r="AK721" s="110" t="e">
        <f t="shared" si="1279"/>
        <v>#DIV/0!</v>
      </c>
      <c r="AL721" s="105"/>
    </row>
    <row r="722" spans="1:38" hidden="1">
      <c r="A722" s="91"/>
      <c r="B722" s="100"/>
      <c r="C722" s="111"/>
      <c r="D722" s="112" t="s">
        <v>103</v>
      </c>
      <c r="E722" s="113" t="e">
        <f t="shared" ref="E722:R722" si="1280">E720/E718</f>
        <v>#DIV/0!</v>
      </c>
      <c r="F722" s="113" t="e">
        <f t="shared" si="1280"/>
        <v>#DIV/0!</v>
      </c>
      <c r="G722" s="113" t="e">
        <f t="shared" si="1280"/>
        <v>#DIV/0!</v>
      </c>
      <c r="H722" s="113" t="e">
        <f t="shared" si="1280"/>
        <v>#DIV/0!</v>
      </c>
      <c r="I722" s="113" t="e">
        <f t="shared" si="1280"/>
        <v>#DIV/0!</v>
      </c>
      <c r="J722" s="113" t="e">
        <f t="shared" si="1280"/>
        <v>#DIV/0!</v>
      </c>
      <c r="K722" s="113" t="e">
        <f t="shared" si="1280"/>
        <v>#DIV/0!</v>
      </c>
      <c r="L722" s="113" t="e">
        <f t="shared" si="1280"/>
        <v>#DIV/0!</v>
      </c>
      <c r="M722" s="113" t="e">
        <f t="shared" si="1280"/>
        <v>#DIV/0!</v>
      </c>
      <c r="N722" s="113" t="e">
        <f t="shared" si="1280"/>
        <v>#DIV/0!</v>
      </c>
      <c r="O722" s="113" t="e">
        <f t="shared" si="1280"/>
        <v>#DIV/0!</v>
      </c>
      <c r="P722" s="114" t="e">
        <f t="shared" si="1280"/>
        <v>#DIV/0!</v>
      </c>
      <c r="Q722" s="115" t="e">
        <f t="shared" si="1280"/>
        <v>#DIV/0!</v>
      </c>
      <c r="R722" s="116" t="e">
        <f t="shared" si="1280"/>
        <v>#DIV/0!</v>
      </c>
      <c r="T722" s="91"/>
      <c r="U722" s="100"/>
      <c r="V722" s="111"/>
      <c r="W722" s="112" t="s">
        <v>103</v>
      </c>
      <c r="X722" s="113" t="e">
        <f t="shared" ref="X722:AK722" si="1281">X720/X718</f>
        <v>#DIV/0!</v>
      </c>
      <c r="Y722" s="113" t="e">
        <f t="shared" si="1281"/>
        <v>#DIV/0!</v>
      </c>
      <c r="Z722" s="113" t="e">
        <f t="shared" si="1281"/>
        <v>#DIV/0!</v>
      </c>
      <c r="AA722" s="113" t="e">
        <f t="shared" si="1281"/>
        <v>#DIV/0!</v>
      </c>
      <c r="AB722" s="113" t="e">
        <f t="shared" si="1281"/>
        <v>#DIV/0!</v>
      </c>
      <c r="AC722" s="113" t="e">
        <f t="shared" si="1281"/>
        <v>#DIV/0!</v>
      </c>
      <c r="AD722" s="113" t="e">
        <f t="shared" si="1281"/>
        <v>#DIV/0!</v>
      </c>
      <c r="AE722" s="113" t="e">
        <f t="shared" si="1281"/>
        <v>#DIV/0!</v>
      </c>
      <c r="AF722" s="113" t="e">
        <f t="shared" si="1281"/>
        <v>#DIV/0!</v>
      </c>
      <c r="AG722" s="113" t="e">
        <f t="shared" si="1281"/>
        <v>#DIV/0!</v>
      </c>
      <c r="AH722" s="113" t="e">
        <f t="shared" si="1281"/>
        <v>#DIV/0!</v>
      </c>
      <c r="AI722" s="114" t="e">
        <f t="shared" si="1281"/>
        <v>#DIV/0!</v>
      </c>
      <c r="AJ722" s="115" t="e">
        <f t="shared" si="1281"/>
        <v>#DIV/0!</v>
      </c>
      <c r="AK722" s="116" t="e">
        <f t="shared" si="1281"/>
        <v>#DIV/0!</v>
      </c>
    </row>
    <row r="723" spans="1:38" hidden="1">
      <c r="A723" s="91"/>
      <c r="B723" s="100"/>
      <c r="C723" s="86"/>
      <c r="D723" s="87">
        <v>2019</v>
      </c>
      <c r="E723" s="88"/>
      <c r="F723" s="121"/>
      <c r="G723" s="121"/>
      <c r="H723" s="121"/>
      <c r="I723" s="121"/>
      <c r="J723" s="121"/>
      <c r="K723" s="121"/>
      <c r="L723" s="121"/>
      <c r="M723" s="122"/>
      <c r="N723" s="122"/>
      <c r="O723" s="122"/>
      <c r="P723" s="123"/>
      <c r="Q723" s="89">
        <f t="shared" ref="Q723:Q725" si="1282">SUM(E723:P723)</f>
        <v>0</v>
      </c>
      <c r="R723" s="90">
        <f t="shared" ref="R723:R785" si="1283">SUM(E723:M723)</f>
        <v>0</v>
      </c>
      <c r="T723" s="91"/>
      <c r="U723" s="100"/>
      <c r="V723" s="86">
        <f t="shared" ref="V723:V724" si="1284">C723</f>
        <v>0</v>
      </c>
      <c r="W723" s="87">
        <v>2019</v>
      </c>
      <c r="X723" s="88"/>
      <c r="Y723" s="121"/>
      <c r="Z723" s="121"/>
      <c r="AA723" s="121"/>
      <c r="AB723" s="121"/>
      <c r="AC723" s="121"/>
      <c r="AD723" s="121"/>
      <c r="AE723" s="121"/>
      <c r="AF723" s="122"/>
      <c r="AG723" s="122"/>
      <c r="AH723" s="122"/>
      <c r="AI723" s="123"/>
      <c r="AJ723" s="89">
        <f t="shared" ref="AJ723:AJ725" si="1285">SUM(X723:AI723)</f>
        <v>0</v>
      </c>
      <c r="AK723" s="90">
        <f t="shared" ref="AK723:AK725" si="1286">SUM(X723:AF723)</f>
        <v>0</v>
      </c>
    </row>
    <row r="724" spans="1:38" hidden="1">
      <c r="A724" s="91"/>
      <c r="B724" s="100"/>
      <c r="C724" s="92"/>
      <c r="D724" s="93" t="s">
        <v>92</v>
      </c>
      <c r="E724" s="94"/>
      <c r="F724" s="97"/>
      <c r="G724" s="97"/>
      <c r="H724" s="97"/>
      <c r="I724" s="97"/>
      <c r="J724" s="97"/>
      <c r="K724" s="97"/>
      <c r="L724" s="97"/>
      <c r="M724" s="98"/>
      <c r="N724" s="98"/>
      <c r="O724" s="98"/>
      <c r="P724" s="99"/>
      <c r="Q724" s="95">
        <f t="shared" si="1282"/>
        <v>0</v>
      </c>
      <c r="R724" s="96">
        <f t="shared" si="1283"/>
        <v>0</v>
      </c>
      <c r="T724" s="91"/>
      <c r="U724" s="100"/>
      <c r="V724" s="92">
        <f t="shared" si="1284"/>
        <v>0</v>
      </c>
      <c r="W724" s="93" t="s">
        <v>92</v>
      </c>
      <c r="X724" s="94"/>
      <c r="Y724" s="97"/>
      <c r="Z724" s="97"/>
      <c r="AA724" s="97"/>
      <c r="AB724" s="97"/>
      <c r="AC724" s="97"/>
      <c r="AD724" s="97"/>
      <c r="AE724" s="97"/>
      <c r="AF724" s="98"/>
      <c r="AG724" s="98"/>
      <c r="AH724" s="98"/>
      <c r="AI724" s="99"/>
      <c r="AJ724" s="95">
        <f t="shared" si="1285"/>
        <v>0</v>
      </c>
      <c r="AK724" s="96">
        <f t="shared" si="1286"/>
        <v>0</v>
      </c>
    </row>
    <row r="725" spans="1:38" hidden="1">
      <c r="A725" s="91"/>
      <c r="B725" s="100"/>
      <c r="C725" s="92"/>
      <c r="D725" s="101">
        <v>2020</v>
      </c>
      <c r="E725" s="102"/>
      <c r="F725" s="124"/>
      <c r="G725" s="124"/>
      <c r="H725" s="124"/>
      <c r="I725" s="124"/>
      <c r="J725" s="124"/>
      <c r="K725" s="124"/>
      <c r="L725" s="124"/>
      <c r="M725" s="125"/>
      <c r="N725" s="125"/>
      <c r="O725" s="125"/>
      <c r="P725" s="126"/>
      <c r="Q725" s="103">
        <f t="shared" si="1282"/>
        <v>0</v>
      </c>
      <c r="R725" s="104">
        <f t="shared" si="1283"/>
        <v>0</v>
      </c>
      <c r="S725" s="105"/>
      <c r="T725" s="91"/>
      <c r="U725" s="100"/>
      <c r="V725" s="92"/>
      <c r="W725" s="101">
        <v>2020</v>
      </c>
      <c r="X725" s="102"/>
      <c r="Y725" s="124"/>
      <c r="Z725" s="124"/>
      <c r="AA725" s="124"/>
      <c r="AB725" s="124"/>
      <c r="AC725" s="124"/>
      <c r="AD725" s="124"/>
      <c r="AE725" s="124"/>
      <c r="AF725" s="125"/>
      <c r="AG725" s="125"/>
      <c r="AH725" s="125"/>
      <c r="AI725" s="126"/>
      <c r="AJ725" s="103">
        <f t="shared" si="1285"/>
        <v>0</v>
      </c>
      <c r="AK725" s="104">
        <f t="shared" si="1286"/>
        <v>0</v>
      </c>
      <c r="AL725" s="105"/>
    </row>
    <row r="726" spans="1:38" hidden="1">
      <c r="A726" s="91"/>
      <c r="B726" s="100"/>
      <c r="C726" s="92"/>
      <c r="D726" s="101" t="s">
        <v>102</v>
      </c>
      <c r="E726" s="106" t="e">
        <f t="shared" ref="E726:R726" si="1287">E725/E724</f>
        <v>#DIV/0!</v>
      </c>
      <c r="F726" s="106" t="e">
        <f t="shared" si="1287"/>
        <v>#DIV/0!</v>
      </c>
      <c r="G726" s="106" t="e">
        <f t="shared" si="1287"/>
        <v>#DIV/0!</v>
      </c>
      <c r="H726" s="106" t="e">
        <f t="shared" si="1287"/>
        <v>#DIV/0!</v>
      </c>
      <c r="I726" s="106" t="e">
        <f t="shared" si="1287"/>
        <v>#DIV/0!</v>
      </c>
      <c r="J726" s="106" t="e">
        <f t="shared" si="1287"/>
        <v>#DIV/0!</v>
      </c>
      <c r="K726" s="106" t="e">
        <f t="shared" si="1287"/>
        <v>#DIV/0!</v>
      </c>
      <c r="L726" s="106" t="e">
        <f t="shared" si="1287"/>
        <v>#DIV/0!</v>
      </c>
      <c r="M726" s="107" t="e">
        <f t="shared" si="1287"/>
        <v>#DIV/0!</v>
      </c>
      <c r="N726" s="107" t="e">
        <f t="shared" si="1287"/>
        <v>#DIV/0!</v>
      </c>
      <c r="O726" s="107" t="e">
        <f t="shared" si="1287"/>
        <v>#DIV/0!</v>
      </c>
      <c r="P726" s="108" t="e">
        <f t="shared" si="1287"/>
        <v>#DIV/0!</v>
      </c>
      <c r="Q726" s="109" t="e">
        <f t="shared" si="1287"/>
        <v>#DIV/0!</v>
      </c>
      <c r="R726" s="110" t="e">
        <f t="shared" si="1287"/>
        <v>#DIV/0!</v>
      </c>
      <c r="S726" s="105"/>
      <c r="T726" s="91"/>
      <c r="U726" s="100"/>
      <c r="V726" s="92"/>
      <c r="W726" s="101" t="s">
        <v>102</v>
      </c>
      <c r="X726" s="106" t="e">
        <f t="shared" ref="X726:AK726" si="1288">X725/X724</f>
        <v>#DIV/0!</v>
      </c>
      <c r="Y726" s="106" t="e">
        <f t="shared" si="1288"/>
        <v>#DIV/0!</v>
      </c>
      <c r="Z726" s="106" t="e">
        <f t="shared" si="1288"/>
        <v>#DIV/0!</v>
      </c>
      <c r="AA726" s="106" t="e">
        <f t="shared" si="1288"/>
        <v>#DIV/0!</v>
      </c>
      <c r="AB726" s="106" t="e">
        <f t="shared" si="1288"/>
        <v>#DIV/0!</v>
      </c>
      <c r="AC726" s="106" t="e">
        <f t="shared" si="1288"/>
        <v>#DIV/0!</v>
      </c>
      <c r="AD726" s="106" t="e">
        <f t="shared" si="1288"/>
        <v>#DIV/0!</v>
      </c>
      <c r="AE726" s="106" t="e">
        <f t="shared" si="1288"/>
        <v>#DIV/0!</v>
      </c>
      <c r="AF726" s="107" t="e">
        <f t="shared" si="1288"/>
        <v>#DIV/0!</v>
      </c>
      <c r="AG726" s="107" t="e">
        <f t="shared" si="1288"/>
        <v>#DIV/0!</v>
      </c>
      <c r="AH726" s="107" t="e">
        <f t="shared" si="1288"/>
        <v>#DIV/0!</v>
      </c>
      <c r="AI726" s="108" t="e">
        <f t="shared" si="1288"/>
        <v>#DIV/0!</v>
      </c>
      <c r="AJ726" s="109" t="e">
        <f t="shared" si="1288"/>
        <v>#DIV/0!</v>
      </c>
      <c r="AK726" s="110" t="e">
        <f t="shared" si="1288"/>
        <v>#DIV/0!</v>
      </c>
      <c r="AL726" s="105"/>
    </row>
    <row r="727" spans="1:38" hidden="1">
      <c r="A727" s="91"/>
      <c r="B727" s="100"/>
      <c r="C727" s="111"/>
      <c r="D727" s="112" t="s">
        <v>103</v>
      </c>
      <c r="E727" s="113" t="e">
        <f t="shared" ref="E727:R727" si="1289">E725/E723</f>
        <v>#DIV/0!</v>
      </c>
      <c r="F727" s="113" t="e">
        <f t="shared" si="1289"/>
        <v>#DIV/0!</v>
      </c>
      <c r="G727" s="113" t="e">
        <f t="shared" si="1289"/>
        <v>#DIV/0!</v>
      </c>
      <c r="H727" s="113" t="e">
        <f t="shared" si="1289"/>
        <v>#DIV/0!</v>
      </c>
      <c r="I727" s="113" t="e">
        <f t="shared" si="1289"/>
        <v>#DIV/0!</v>
      </c>
      <c r="J727" s="113" t="e">
        <f t="shared" si="1289"/>
        <v>#DIV/0!</v>
      </c>
      <c r="K727" s="113" t="e">
        <f t="shared" si="1289"/>
        <v>#DIV/0!</v>
      </c>
      <c r="L727" s="113" t="e">
        <f t="shared" si="1289"/>
        <v>#DIV/0!</v>
      </c>
      <c r="M727" s="113" t="e">
        <f t="shared" si="1289"/>
        <v>#DIV/0!</v>
      </c>
      <c r="N727" s="113" t="e">
        <f t="shared" si="1289"/>
        <v>#DIV/0!</v>
      </c>
      <c r="O727" s="113" t="e">
        <f t="shared" si="1289"/>
        <v>#DIV/0!</v>
      </c>
      <c r="P727" s="114" t="e">
        <f t="shared" si="1289"/>
        <v>#DIV/0!</v>
      </c>
      <c r="Q727" s="115" t="e">
        <f t="shared" si="1289"/>
        <v>#DIV/0!</v>
      </c>
      <c r="R727" s="116" t="e">
        <f t="shared" si="1289"/>
        <v>#DIV/0!</v>
      </c>
      <c r="T727" s="91"/>
      <c r="U727" s="100"/>
      <c r="V727" s="111"/>
      <c r="W727" s="112" t="s">
        <v>103</v>
      </c>
      <c r="X727" s="113" t="e">
        <f t="shared" ref="X727:AK727" si="1290">X725/X723</f>
        <v>#DIV/0!</v>
      </c>
      <c r="Y727" s="113" t="e">
        <f t="shared" si="1290"/>
        <v>#DIV/0!</v>
      </c>
      <c r="Z727" s="113" t="e">
        <f t="shared" si="1290"/>
        <v>#DIV/0!</v>
      </c>
      <c r="AA727" s="113" t="e">
        <f t="shared" si="1290"/>
        <v>#DIV/0!</v>
      </c>
      <c r="AB727" s="113" t="e">
        <f t="shared" si="1290"/>
        <v>#DIV/0!</v>
      </c>
      <c r="AC727" s="113" t="e">
        <f t="shared" si="1290"/>
        <v>#DIV/0!</v>
      </c>
      <c r="AD727" s="113" t="e">
        <f t="shared" si="1290"/>
        <v>#DIV/0!</v>
      </c>
      <c r="AE727" s="113" t="e">
        <f t="shared" si="1290"/>
        <v>#DIV/0!</v>
      </c>
      <c r="AF727" s="113" t="e">
        <f t="shared" si="1290"/>
        <v>#DIV/0!</v>
      </c>
      <c r="AG727" s="113" t="e">
        <f t="shared" si="1290"/>
        <v>#DIV/0!</v>
      </c>
      <c r="AH727" s="113" t="e">
        <f t="shared" si="1290"/>
        <v>#DIV/0!</v>
      </c>
      <c r="AI727" s="114" t="e">
        <f t="shared" si="1290"/>
        <v>#DIV/0!</v>
      </c>
      <c r="AJ727" s="115" t="e">
        <f t="shared" si="1290"/>
        <v>#DIV/0!</v>
      </c>
      <c r="AK727" s="116" t="e">
        <f t="shared" si="1290"/>
        <v>#DIV/0!</v>
      </c>
    </row>
    <row r="728" spans="1:38" hidden="1">
      <c r="A728" s="91"/>
      <c r="B728" s="100"/>
      <c r="C728" s="86"/>
      <c r="D728" s="87">
        <v>2019</v>
      </c>
      <c r="E728" s="88"/>
      <c r="F728" s="121"/>
      <c r="G728" s="121"/>
      <c r="H728" s="121"/>
      <c r="I728" s="121"/>
      <c r="J728" s="121"/>
      <c r="K728" s="121"/>
      <c r="L728" s="121"/>
      <c r="M728" s="122"/>
      <c r="N728" s="122"/>
      <c r="O728" s="122"/>
      <c r="P728" s="123"/>
      <c r="Q728" s="89">
        <f t="shared" ref="Q728:Q730" si="1291">SUM(E728:P728)</f>
        <v>0</v>
      </c>
      <c r="R728" s="90">
        <f t="shared" ref="R728" si="1292">SUM(E728:M728)</f>
        <v>0</v>
      </c>
      <c r="T728" s="91"/>
      <c r="U728" s="100"/>
      <c r="V728" s="86">
        <f t="shared" ref="V728:V729" si="1293">C728</f>
        <v>0</v>
      </c>
      <c r="W728" s="87">
        <v>2019</v>
      </c>
      <c r="X728" s="88"/>
      <c r="Y728" s="121"/>
      <c r="Z728" s="121"/>
      <c r="AA728" s="121"/>
      <c r="AB728" s="121"/>
      <c r="AC728" s="121"/>
      <c r="AD728" s="121"/>
      <c r="AE728" s="121"/>
      <c r="AF728" s="122"/>
      <c r="AG728" s="122"/>
      <c r="AH728" s="122"/>
      <c r="AI728" s="123"/>
      <c r="AJ728" s="89">
        <f t="shared" ref="AJ728:AJ730" si="1294">SUM(X728:AI728)</f>
        <v>0</v>
      </c>
      <c r="AK728" s="90">
        <f t="shared" ref="AK728:AK730" si="1295">SUM(X728:AF728)</f>
        <v>0</v>
      </c>
    </row>
    <row r="729" spans="1:38" hidden="1">
      <c r="A729" s="91"/>
      <c r="B729" s="100"/>
      <c r="C729" s="92"/>
      <c r="D729" s="93" t="s">
        <v>92</v>
      </c>
      <c r="E729" s="94"/>
      <c r="F729" s="97"/>
      <c r="G729" s="97"/>
      <c r="H729" s="97"/>
      <c r="I729" s="97"/>
      <c r="J729" s="97"/>
      <c r="K729" s="97"/>
      <c r="L729" s="97"/>
      <c r="M729" s="98"/>
      <c r="N729" s="98"/>
      <c r="O729" s="98"/>
      <c r="P729" s="99"/>
      <c r="Q729" s="95">
        <f t="shared" si="1291"/>
        <v>0</v>
      </c>
      <c r="R729" s="96">
        <f t="shared" si="1283"/>
        <v>0</v>
      </c>
      <c r="T729" s="91"/>
      <c r="U729" s="100"/>
      <c r="V729" s="92">
        <f t="shared" si="1293"/>
        <v>0</v>
      </c>
      <c r="W729" s="93" t="s">
        <v>92</v>
      </c>
      <c r="X729" s="94"/>
      <c r="Y729" s="97"/>
      <c r="Z729" s="97"/>
      <c r="AA729" s="97"/>
      <c r="AB729" s="97"/>
      <c r="AC729" s="97"/>
      <c r="AD729" s="97"/>
      <c r="AE729" s="97"/>
      <c r="AF729" s="98"/>
      <c r="AG729" s="98"/>
      <c r="AH729" s="98"/>
      <c r="AI729" s="99"/>
      <c r="AJ729" s="95">
        <f t="shared" si="1294"/>
        <v>0</v>
      </c>
      <c r="AK729" s="96">
        <f t="shared" si="1295"/>
        <v>0</v>
      </c>
    </row>
    <row r="730" spans="1:38" hidden="1">
      <c r="A730" s="91"/>
      <c r="B730" s="100"/>
      <c r="C730" s="92"/>
      <c r="D730" s="101">
        <v>2020</v>
      </c>
      <c r="E730" s="102"/>
      <c r="F730" s="124"/>
      <c r="G730" s="124"/>
      <c r="H730" s="124"/>
      <c r="I730" s="124"/>
      <c r="J730" s="124"/>
      <c r="K730" s="124"/>
      <c r="L730" s="124"/>
      <c r="M730" s="125"/>
      <c r="N730" s="125"/>
      <c r="O730" s="125"/>
      <c r="P730" s="126"/>
      <c r="Q730" s="103">
        <f t="shared" si="1291"/>
        <v>0</v>
      </c>
      <c r="R730" s="104">
        <f t="shared" si="1283"/>
        <v>0</v>
      </c>
      <c r="S730" s="105"/>
      <c r="T730" s="91"/>
      <c r="U730" s="100"/>
      <c r="V730" s="92"/>
      <c r="W730" s="101">
        <v>2020</v>
      </c>
      <c r="X730" s="102"/>
      <c r="Y730" s="124"/>
      <c r="Z730" s="124"/>
      <c r="AA730" s="124"/>
      <c r="AB730" s="124"/>
      <c r="AC730" s="124"/>
      <c r="AD730" s="124"/>
      <c r="AE730" s="124"/>
      <c r="AF730" s="125"/>
      <c r="AG730" s="125"/>
      <c r="AH730" s="125"/>
      <c r="AI730" s="126"/>
      <c r="AJ730" s="103">
        <f t="shared" si="1294"/>
        <v>0</v>
      </c>
      <c r="AK730" s="104">
        <f t="shared" si="1295"/>
        <v>0</v>
      </c>
      <c r="AL730" s="105"/>
    </row>
    <row r="731" spans="1:38" hidden="1">
      <c r="A731" s="91"/>
      <c r="B731" s="100"/>
      <c r="C731" s="92"/>
      <c r="D731" s="101" t="s">
        <v>102</v>
      </c>
      <c r="E731" s="106" t="e">
        <f t="shared" ref="E731:R731" si="1296">E730/E729</f>
        <v>#DIV/0!</v>
      </c>
      <c r="F731" s="106" t="e">
        <f t="shared" si="1296"/>
        <v>#DIV/0!</v>
      </c>
      <c r="G731" s="106" t="e">
        <f t="shared" si="1296"/>
        <v>#DIV/0!</v>
      </c>
      <c r="H731" s="106" t="e">
        <f t="shared" si="1296"/>
        <v>#DIV/0!</v>
      </c>
      <c r="I731" s="106" t="e">
        <f t="shared" si="1296"/>
        <v>#DIV/0!</v>
      </c>
      <c r="J731" s="106" t="e">
        <f t="shared" si="1296"/>
        <v>#DIV/0!</v>
      </c>
      <c r="K731" s="106" t="e">
        <f t="shared" si="1296"/>
        <v>#DIV/0!</v>
      </c>
      <c r="L731" s="106" t="e">
        <f t="shared" si="1296"/>
        <v>#DIV/0!</v>
      </c>
      <c r="M731" s="107" t="e">
        <f t="shared" si="1296"/>
        <v>#DIV/0!</v>
      </c>
      <c r="N731" s="107" t="e">
        <f t="shared" si="1296"/>
        <v>#DIV/0!</v>
      </c>
      <c r="O731" s="107" t="e">
        <f t="shared" si="1296"/>
        <v>#DIV/0!</v>
      </c>
      <c r="P731" s="108" t="e">
        <f t="shared" si="1296"/>
        <v>#DIV/0!</v>
      </c>
      <c r="Q731" s="109" t="e">
        <f t="shared" si="1296"/>
        <v>#DIV/0!</v>
      </c>
      <c r="R731" s="110" t="e">
        <f t="shared" si="1296"/>
        <v>#DIV/0!</v>
      </c>
      <c r="S731" s="105"/>
      <c r="T731" s="91"/>
      <c r="U731" s="100"/>
      <c r="V731" s="92"/>
      <c r="W731" s="101" t="s">
        <v>102</v>
      </c>
      <c r="X731" s="106" t="e">
        <f t="shared" ref="X731:AK731" si="1297">X730/X729</f>
        <v>#DIV/0!</v>
      </c>
      <c r="Y731" s="106" t="e">
        <f t="shared" si="1297"/>
        <v>#DIV/0!</v>
      </c>
      <c r="Z731" s="106" t="e">
        <f t="shared" si="1297"/>
        <v>#DIV/0!</v>
      </c>
      <c r="AA731" s="106" t="e">
        <f t="shared" si="1297"/>
        <v>#DIV/0!</v>
      </c>
      <c r="AB731" s="106" t="e">
        <f t="shared" si="1297"/>
        <v>#DIV/0!</v>
      </c>
      <c r="AC731" s="106" t="e">
        <f t="shared" si="1297"/>
        <v>#DIV/0!</v>
      </c>
      <c r="AD731" s="106" t="e">
        <f t="shared" si="1297"/>
        <v>#DIV/0!</v>
      </c>
      <c r="AE731" s="106" t="e">
        <f t="shared" si="1297"/>
        <v>#DIV/0!</v>
      </c>
      <c r="AF731" s="107" t="e">
        <f t="shared" si="1297"/>
        <v>#DIV/0!</v>
      </c>
      <c r="AG731" s="107" t="e">
        <f t="shared" si="1297"/>
        <v>#DIV/0!</v>
      </c>
      <c r="AH731" s="107" t="e">
        <f t="shared" si="1297"/>
        <v>#DIV/0!</v>
      </c>
      <c r="AI731" s="108" t="e">
        <f t="shared" si="1297"/>
        <v>#DIV/0!</v>
      </c>
      <c r="AJ731" s="109" t="e">
        <f t="shared" si="1297"/>
        <v>#DIV/0!</v>
      </c>
      <c r="AK731" s="110" t="e">
        <f t="shared" si="1297"/>
        <v>#DIV/0!</v>
      </c>
      <c r="AL731" s="105"/>
    </row>
    <row r="732" spans="1:38" hidden="1">
      <c r="A732" s="91"/>
      <c r="B732" s="100"/>
      <c r="C732" s="111"/>
      <c r="D732" s="112" t="s">
        <v>103</v>
      </c>
      <c r="E732" s="113" t="e">
        <f t="shared" ref="E732:R732" si="1298">E730/E728</f>
        <v>#DIV/0!</v>
      </c>
      <c r="F732" s="113" t="e">
        <f t="shared" si="1298"/>
        <v>#DIV/0!</v>
      </c>
      <c r="G732" s="113" t="e">
        <f t="shared" si="1298"/>
        <v>#DIV/0!</v>
      </c>
      <c r="H732" s="113" t="e">
        <f t="shared" si="1298"/>
        <v>#DIV/0!</v>
      </c>
      <c r="I732" s="113" t="e">
        <f t="shared" si="1298"/>
        <v>#DIV/0!</v>
      </c>
      <c r="J732" s="113" t="e">
        <f t="shared" si="1298"/>
        <v>#DIV/0!</v>
      </c>
      <c r="K732" s="113" t="e">
        <f t="shared" si="1298"/>
        <v>#DIV/0!</v>
      </c>
      <c r="L732" s="113" t="e">
        <f t="shared" si="1298"/>
        <v>#DIV/0!</v>
      </c>
      <c r="M732" s="113" t="e">
        <f t="shared" si="1298"/>
        <v>#DIV/0!</v>
      </c>
      <c r="N732" s="113" t="e">
        <f t="shared" si="1298"/>
        <v>#DIV/0!</v>
      </c>
      <c r="O732" s="113" t="e">
        <f t="shared" si="1298"/>
        <v>#DIV/0!</v>
      </c>
      <c r="P732" s="114" t="e">
        <f t="shared" si="1298"/>
        <v>#DIV/0!</v>
      </c>
      <c r="Q732" s="115" t="e">
        <f t="shared" si="1298"/>
        <v>#DIV/0!</v>
      </c>
      <c r="R732" s="116" t="e">
        <f t="shared" si="1298"/>
        <v>#DIV/0!</v>
      </c>
      <c r="T732" s="91"/>
      <c r="U732" s="100"/>
      <c r="V732" s="111"/>
      <c r="W732" s="112" t="s">
        <v>103</v>
      </c>
      <c r="X732" s="113" t="e">
        <f t="shared" ref="X732:AK732" si="1299">X730/X728</f>
        <v>#DIV/0!</v>
      </c>
      <c r="Y732" s="113" t="e">
        <f t="shared" si="1299"/>
        <v>#DIV/0!</v>
      </c>
      <c r="Z732" s="113" t="e">
        <f t="shared" si="1299"/>
        <v>#DIV/0!</v>
      </c>
      <c r="AA732" s="113" t="e">
        <f t="shared" si="1299"/>
        <v>#DIV/0!</v>
      </c>
      <c r="AB732" s="113" t="e">
        <f t="shared" si="1299"/>
        <v>#DIV/0!</v>
      </c>
      <c r="AC732" s="113" t="e">
        <f t="shared" si="1299"/>
        <v>#DIV/0!</v>
      </c>
      <c r="AD732" s="113" t="e">
        <f t="shared" si="1299"/>
        <v>#DIV/0!</v>
      </c>
      <c r="AE732" s="113" t="e">
        <f t="shared" si="1299"/>
        <v>#DIV/0!</v>
      </c>
      <c r="AF732" s="113" t="e">
        <f t="shared" si="1299"/>
        <v>#DIV/0!</v>
      </c>
      <c r="AG732" s="113" t="e">
        <f t="shared" si="1299"/>
        <v>#DIV/0!</v>
      </c>
      <c r="AH732" s="113" t="e">
        <f t="shared" si="1299"/>
        <v>#DIV/0!</v>
      </c>
      <c r="AI732" s="114" t="e">
        <f t="shared" si="1299"/>
        <v>#DIV/0!</v>
      </c>
      <c r="AJ732" s="115" t="e">
        <f t="shared" si="1299"/>
        <v>#DIV/0!</v>
      </c>
      <c r="AK732" s="116" t="e">
        <f t="shared" si="1299"/>
        <v>#DIV/0!</v>
      </c>
    </row>
    <row r="733" spans="1:38" hidden="1">
      <c r="A733" s="91"/>
      <c r="B733" s="100"/>
      <c r="C733" s="86"/>
      <c r="D733" s="87">
        <v>2019</v>
      </c>
      <c r="E733" s="88"/>
      <c r="F733" s="121"/>
      <c r="G733" s="121"/>
      <c r="H733" s="121"/>
      <c r="I733" s="121"/>
      <c r="J733" s="121"/>
      <c r="K733" s="121"/>
      <c r="L733" s="121"/>
      <c r="M733" s="122"/>
      <c r="N733" s="122"/>
      <c r="O733" s="122"/>
      <c r="P733" s="123"/>
      <c r="Q733" s="89">
        <f t="shared" ref="Q733:Q735" si="1300">SUM(E733:P733)</f>
        <v>0</v>
      </c>
      <c r="R733" s="90">
        <f t="shared" ref="R733" si="1301">SUM(E733:M733)</f>
        <v>0</v>
      </c>
      <c r="T733" s="91"/>
      <c r="U733" s="100"/>
      <c r="V733" s="86">
        <f t="shared" ref="V733:V734" si="1302">C733</f>
        <v>0</v>
      </c>
      <c r="W733" s="87">
        <v>2019</v>
      </c>
      <c r="X733" s="88"/>
      <c r="Y733" s="121"/>
      <c r="Z733" s="121"/>
      <c r="AA733" s="121"/>
      <c r="AB733" s="121"/>
      <c r="AC733" s="121"/>
      <c r="AD733" s="121"/>
      <c r="AE733" s="121"/>
      <c r="AF733" s="122"/>
      <c r="AG733" s="122"/>
      <c r="AH733" s="122"/>
      <c r="AI733" s="123"/>
      <c r="AJ733" s="89">
        <f t="shared" ref="AJ733:AJ735" si="1303">SUM(X733:AI733)</f>
        <v>0</v>
      </c>
      <c r="AK733" s="90">
        <f t="shared" ref="AK733:AK735" si="1304">SUM(X733:AF733)</f>
        <v>0</v>
      </c>
    </row>
    <row r="734" spans="1:38" hidden="1">
      <c r="A734" s="91"/>
      <c r="B734" s="100"/>
      <c r="C734" s="92"/>
      <c r="D734" s="93" t="s">
        <v>92</v>
      </c>
      <c r="E734" s="94"/>
      <c r="F734" s="97"/>
      <c r="G734" s="97"/>
      <c r="H734" s="97"/>
      <c r="I734" s="97"/>
      <c r="J734" s="97"/>
      <c r="K734" s="97"/>
      <c r="L734" s="97"/>
      <c r="M734" s="98"/>
      <c r="N734" s="98"/>
      <c r="O734" s="98"/>
      <c r="P734" s="99"/>
      <c r="Q734" s="95">
        <f t="shared" si="1300"/>
        <v>0</v>
      </c>
      <c r="R734" s="96">
        <f t="shared" si="1283"/>
        <v>0</v>
      </c>
      <c r="T734" s="91"/>
      <c r="U734" s="100"/>
      <c r="V734" s="92">
        <f t="shared" si="1302"/>
        <v>0</v>
      </c>
      <c r="W734" s="93" t="s">
        <v>92</v>
      </c>
      <c r="X734" s="94"/>
      <c r="Y734" s="97"/>
      <c r="Z734" s="97"/>
      <c r="AA734" s="97"/>
      <c r="AB734" s="97"/>
      <c r="AC734" s="97"/>
      <c r="AD734" s="97"/>
      <c r="AE734" s="97"/>
      <c r="AF734" s="98"/>
      <c r="AG734" s="98"/>
      <c r="AH734" s="98"/>
      <c r="AI734" s="99"/>
      <c r="AJ734" s="95">
        <f t="shared" si="1303"/>
        <v>0</v>
      </c>
      <c r="AK734" s="96">
        <f t="shared" si="1304"/>
        <v>0</v>
      </c>
    </row>
    <row r="735" spans="1:38" hidden="1">
      <c r="A735" s="91"/>
      <c r="B735" s="100"/>
      <c r="C735" s="92"/>
      <c r="D735" s="101">
        <v>2020</v>
      </c>
      <c r="E735" s="102"/>
      <c r="F735" s="124"/>
      <c r="G735" s="124"/>
      <c r="H735" s="124"/>
      <c r="I735" s="124"/>
      <c r="J735" s="124"/>
      <c r="K735" s="124"/>
      <c r="L735" s="124"/>
      <c r="M735" s="125"/>
      <c r="N735" s="125"/>
      <c r="O735" s="125"/>
      <c r="P735" s="126"/>
      <c r="Q735" s="103">
        <f t="shared" si="1300"/>
        <v>0</v>
      </c>
      <c r="R735" s="104">
        <f t="shared" si="1283"/>
        <v>0</v>
      </c>
      <c r="S735" s="105"/>
      <c r="T735" s="91"/>
      <c r="U735" s="100"/>
      <c r="V735" s="92"/>
      <c r="W735" s="101">
        <v>2020</v>
      </c>
      <c r="X735" s="102"/>
      <c r="Y735" s="124"/>
      <c r="Z735" s="124"/>
      <c r="AA735" s="124"/>
      <c r="AB735" s="124"/>
      <c r="AC735" s="124"/>
      <c r="AD735" s="124"/>
      <c r="AE735" s="124"/>
      <c r="AF735" s="125"/>
      <c r="AG735" s="125"/>
      <c r="AH735" s="125"/>
      <c r="AI735" s="126"/>
      <c r="AJ735" s="103">
        <f t="shared" si="1303"/>
        <v>0</v>
      </c>
      <c r="AK735" s="104">
        <f t="shared" si="1304"/>
        <v>0</v>
      </c>
      <c r="AL735" s="105"/>
    </row>
    <row r="736" spans="1:38" hidden="1">
      <c r="A736" s="91"/>
      <c r="B736" s="100"/>
      <c r="C736" s="92"/>
      <c r="D736" s="101" t="s">
        <v>102</v>
      </c>
      <c r="E736" s="106" t="e">
        <f t="shared" ref="E736:R736" si="1305">E735/E734</f>
        <v>#DIV/0!</v>
      </c>
      <c r="F736" s="106" t="e">
        <f t="shared" si="1305"/>
        <v>#DIV/0!</v>
      </c>
      <c r="G736" s="106" t="e">
        <f t="shared" si="1305"/>
        <v>#DIV/0!</v>
      </c>
      <c r="H736" s="106" t="e">
        <f t="shared" si="1305"/>
        <v>#DIV/0!</v>
      </c>
      <c r="I736" s="106" t="e">
        <f t="shared" si="1305"/>
        <v>#DIV/0!</v>
      </c>
      <c r="J736" s="106" t="e">
        <f t="shared" si="1305"/>
        <v>#DIV/0!</v>
      </c>
      <c r="K736" s="106" t="e">
        <f t="shared" si="1305"/>
        <v>#DIV/0!</v>
      </c>
      <c r="L736" s="106" t="e">
        <f t="shared" si="1305"/>
        <v>#DIV/0!</v>
      </c>
      <c r="M736" s="107" t="e">
        <f t="shared" si="1305"/>
        <v>#DIV/0!</v>
      </c>
      <c r="N736" s="107" t="e">
        <f t="shared" si="1305"/>
        <v>#DIV/0!</v>
      </c>
      <c r="O736" s="107" t="e">
        <f t="shared" si="1305"/>
        <v>#DIV/0!</v>
      </c>
      <c r="P736" s="108" t="e">
        <f t="shared" si="1305"/>
        <v>#DIV/0!</v>
      </c>
      <c r="Q736" s="109" t="e">
        <f t="shared" si="1305"/>
        <v>#DIV/0!</v>
      </c>
      <c r="R736" s="110" t="e">
        <f t="shared" si="1305"/>
        <v>#DIV/0!</v>
      </c>
      <c r="S736" s="105"/>
      <c r="T736" s="91"/>
      <c r="U736" s="100"/>
      <c r="V736" s="92"/>
      <c r="W736" s="101" t="s">
        <v>102</v>
      </c>
      <c r="X736" s="106" t="e">
        <f t="shared" ref="X736:AK736" si="1306">X735/X734</f>
        <v>#DIV/0!</v>
      </c>
      <c r="Y736" s="106" t="e">
        <f t="shared" si="1306"/>
        <v>#DIV/0!</v>
      </c>
      <c r="Z736" s="106" t="e">
        <f t="shared" si="1306"/>
        <v>#DIV/0!</v>
      </c>
      <c r="AA736" s="106" t="e">
        <f t="shared" si="1306"/>
        <v>#DIV/0!</v>
      </c>
      <c r="AB736" s="106" t="e">
        <f t="shared" si="1306"/>
        <v>#DIV/0!</v>
      </c>
      <c r="AC736" s="106" t="e">
        <f t="shared" si="1306"/>
        <v>#DIV/0!</v>
      </c>
      <c r="AD736" s="106" t="e">
        <f t="shared" si="1306"/>
        <v>#DIV/0!</v>
      </c>
      <c r="AE736" s="106" t="e">
        <f t="shared" si="1306"/>
        <v>#DIV/0!</v>
      </c>
      <c r="AF736" s="107" t="e">
        <f t="shared" si="1306"/>
        <v>#DIV/0!</v>
      </c>
      <c r="AG736" s="107" t="e">
        <f t="shared" si="1306"/>
        <v>#DIV/0!</v>
      </c>
      <c r="AH736" s="107" t="e">
        <f t="shared" si="1306"/>
        <v>#DIV/0!</v>
      </c>
      <c r="AI736" s="108" t="e">
        <f t="shared" si="1306"/>
        <v>#DIV/0!</v>
      </c>
      <c r="AJ736" s="109" t="e">
        <f t="shared" si="1306"/>
        <v>#DIV/0!</v>
      </c>
      <c r="AK736" s="110" t="e">
        <f t="shared" si="1306"/>
        <v>#DIV/0!</v>
      </c>
      <c r="AL736" s="105"/>
    </row>
    <row r="737" spans="1:38" hidden="1">
      <c r="A737" s="91"/>
      <c r="B737" s="100"/>
      <c r="C737" s="111"/>
      <c r="D737" s="112" t="s">
        <v>103</v>
      </c>
      <c r="E737" s="113" t="e">
        <f t="shared" ref="E737:R737" si="1307">E735/E733</f>
        <v>#DIV/0!</v>
      </c>
      <c r="F737" s="113" t="e">
        <f t="shared" si="1307"/>
        <v>#DIV/0!</v>
      </c>
      <c r="G737" s="113" t="e">
        <f t="shared" si="1307"/>
        <v>#DIV/0!</v>
      </c>
      <c r="H737" s="113" t="e">
        <f t="shared" si="1307"/>
        <v>#DIV/0!</v>
      </c>
      <c r="I737" s="113" t="e">
        <f t="shared" si="1307"/>
        <v>#DIV/0!</v>
      </c>
      <c r="J737" s="113" t="e">
        <f t="shared" si="1307"/>
        <v>#DIV/0!</v>
      </c>
      <c r="K737" s="113" t="e">
        <f t="shared" si="1307"/>
        <v>#DIV/0!</v>
      </c>
      <c r="L737" s="113" t="e">
        <f t="shared" si="1307"/>
        <v>#DIV/0!</v>
      </c>
      <c r="M737" s="113" t="e">
        <f t="shared" si="1307"/>
        <v>#DIV/0!</v>
      </c>
      <c r="N737" s="113" t="e">
        <f t="shared" si="1307"/>
        <v>#DIV/0!</v>
      </c>
      <c r="O737" s="113" t="e">
        <f t="shared" si="1307"/>
        <v>#DIV/0!</v>
      </c>
      <c r="P737" s="114" t="e">
        <f t="shared" si="1307"/>
        <v>#DIV/0!</v>
      </c>
      <c r="Q737" s="115" t="e">
        <f t="shared" si="1307"/>
        <v>#DIV/0!</v>
      </c>
      <c r="R737" s="116" t="e">
        <f t="shared" si="1307"/>
        <v>#DIV/0!</v>
      </c>
      <c r="T737" s="91"/>
      <c r="U737" s="100"/>
      <c r="V737" s="111"/>
      <c r="W737" s="112" t="s">
        <v>103</v>
      </c>
      <c r="X737" s="113" t="e">
        <f t="shared" ref="X737:AK737" si="1308">X735/X733</f>
        <v>#DIV/0!</v>
      </c>
      <c r="Y737" s="113" t="e">
        <f t="shared" si="1308"/>
        <v>#DIV/0!</v>
      </c>
      <c r="Z737" s="113" t="e">
        <f t="shared" si="1308"/>
        <v>#DIV/0!</v>
      </c>
      <c r="AA737" s="113" t="e">
        <f t="shared" si="1308"/>
        <v>#DIV/0!</v>
      </c>
      <c r="AB737" s="113" t="e">
        <f t="shared" si="1308"/>
        <v>#DIV/0!</v>
      </c>
      <c r="AC737" s="113" t="e">
        <f t="shared" si="1308"/>
        <v>#DIV/0!</v>
      </c>
      <c r="AD737" s="113" t="e">
        <f t="shared" si="1308"/>
        <v>#DIV/0!</v>
      </c>
      <c r="AE737" s="113" t="e">
        <f t="shared" si="1308"/>
        <v>#DIV/0!</v>
      </c>
      <c r="AF737" s="113" t="e">
        <f t="shared" si="1308"/>
        <v>#DIV/0!</v>
      </c>
      <c r="AG737" s="113" t="e">
        <f t="shared" si="1308"/>
        <v>#DIV/0!</v>
      </c>
      <c r="AH737" s="113" t="e">
        <f t="shared" si="1308"/>
        <v>#DIV/0!</v>
      </c>
      <c r="AI737" s="114" t="e">
        <f t="shared" si="1308"/>
        <v>#DIV/0!</v>
      </c>
      <c r="AJ737" s="115" t="e">
        <f t="shared" si="1308"/>
        <v>#DIV/0!</v>
      </c>
      <c r="AK737" s="116" t="e">
        <f t="shared" si="1308"/>
        <v>#DIV/0!</v>
      </c>
    </row>
    <row r="738" spans="1:38" hidden="1">
      <c r="A738" s="91"/>
      <c r="B738" s="100"/>
      <c r="C738" s="86"/>
      <c r="D738" s="87">
        <v>2019</v>
      </c>
      <c r="E738" s="88"/>
      <c r="F738" s="121"/>
      <c r="G738" s="121"/>
      <c r="H738" s="121"/>
      <c r="I738" s="121"/>
      <c r="J738" s="121"/>
      <c r="K738" s="121"/>
      <c r="L738" s="121"/>
      <c r="M738" s="122"/>
      <c r="N738" s="122"/>
      <c r="O738" s="122"/>
      <c r="P738" s="123"/>
      <c r="Q738" s="89">
        <f t="shared" ref="Q738:Q740" si="1309">SUM(E738:P738)</f>
        <v>0</v>
      </c>
      <c r="R738" s="90">
        <f t="shared" ref="R738" si="1310">SUM(E738:M738)</f>
        <v>0</v>
      </c>
      <c r="T738" s="91"/>
      <c r="U738" s="100"/>
      <c r="V738" s="86">
        <f t="shared" ref="V738:V739" si="1311">C738</f>
        <v>0</v>
      </c>
      <c r="W738" s="87">
        <v>2019</v>
      </c>
      <c r="X738" s="88"/>
      <c r="Y738" s="121"/>
      <c r="Z738" s="121"/>
      <c r="AA738" s="121"/>
      <c r="AB738" s="121"/>
      <c r="AC738" s="121"/>
      <c r="AD738" s="121"/>
      <c r="AE738" s="121"/>
      <c r="AF738" s="122"/>
      <c r="AG738" s="122"/>
      <c r="AH738" s="122"/>
      <c r="AI738" s="123"/>
      <c r="AJ738" s="89">
        <f t="shared" ref="AJ738:AJ740" si="1312">SUM(X738:AI738)</f>
        <v>0</v>
      </c>
      <c r="AK738" s="90">
        <f t="shared" ref="AK738:AK740" si="1313">SUM(X738:AF738)</f>
        <v>0</v>
      </c>
    </row>
    <row r="739" spans="1:38" hidden="1">
      <c r="A739" s="91"/>
      <c r="B739" s="100"/>
      <c r="C739" s="92"/>
      <c r="D739" s="93" t="s">
        <v>92</v>
      </c>
      <c r="E739" s="94"/>
      <c r="F739" s="97"/>
      <c r="G739" s="97"/>
      <c r="H739" s="97"/>
      <c r="I739" s="97"/>
      <c r="J739" s="97"/>
      <c r="K739" s="97"/>
      <c r="L739" s="97"/>
      <c r="M739" s="98"/>
      <c r="N739" s="98"/>
      <c r="O739" s="98"/>
      <c r="P739" s="99"/>
      <c r="Q739" s="95">
        <f t="shared" si="1309"/>
        <v>0</v>
      </c>
      <c r="R739" s="96">
        <f t="shared" si="1283"/>
        <v>0</v>
      </c>
      <c r="T739" s="91"/>
      <c r="U739" s="100"/>
      <c r="V739" s="92">
        <f t="shared" si="1311"/>
        <v>0</v>
      </c>
      <c r="W739" s="93" t="s">
        <v>92</v>
      </c>
      <c r="X739" s="94"/>
      <c r="Y739" s="97"/>
      <c r="Z739" s="97"/>
      <c r="AA739" s="97"/>
      <c r="AB739" s="97"/>
      <c r="AC739" s="97"/>
      <c r="AD739" s="97"/>
      <c r="AE739" s="97"/>
      <c r="AF739" s="98"/>
      <c r="AG739" s="98"/>
      <c r="AH739" s="98"/>
      <c r="AI739" s="99"/>
      <c r="AJ739" s="95">
        <f t="shared" si="1312"/>
        <v>0</v>
      </c>
      <c r="AK739" s="96">
        <f t="shared" si="1313"/>
        <v>0</v>
      </c>
    </row>
    <row r="740" spans="1:38" hidden="1">
      <c r="A740" s="91"/>
      <c r="B740" s="100"/>
      <c r="C740" s="92"/>
      <c r="D740" s="101">
        <v>2020</v>
      </c>
      <c r="E740" s="102"/>
      <c r="F740" s="124"/>
      <c r="G740" s="124"/>
      <c r="H740" s="124"/>
      <c r="I740" s="124"/>
      <c r="J740" s="124"/>
      <c r="K740" s="124"/>
      <c r="L740" s="124"/>
      <c r="M740" s="125"/>
      <c r="N740" s="125"/>
      <c r="O740" s="125"/>
      <c r="P740" s="126"/>
      <c r="Q740" s="103">
        <f t="shared" si="1309"/>
        <v>0</v>
      </c>
      <c r="R740" s="104">
        <f t="shared" si="1283"/>
        <v>0</v>
      </c>
      <c r="S740" s="105"/>
      <c r="T740" s="91"/>
      <c r="U740" s="100"/>
      <c r="V740" s="92"/>
      <c r="W740" s="101">
        <v>2020</v>
      </c>
      <c r="X740" s="102"/>
      <c r="Y740" s="124"/>
      <c r="Z740" s="124"/>
      <c r="AA740" s="124"/>
      <c r="AB740" s="124"/>
      <c r="AC740" s="124"/>
      <c r="AD740" s="124"/>
      <c r="AE740" s="124"/>
      <c r="AF740" s="125"/>
      <c r="AG740" s="125"/>
      <c r="AH740" s="125"/>
      <c r="AI740" s="126"/>
      <c r="AJ740" s="103">
        <f t="shared" si="1312"/>
        <v>0</v>
      </c>
      <c r="AK740" s="104">
        <f t="shared" si="1313"/>
        <v>0</v>
      </c>
      <c r="AL740" s="105"/>
    </row>
    <row r="741" spans="1:38" hidden="1">
      <c r="A741" s="91"/>
      <c r="B741" s="100"/>
      <c r="C741" s="92"/>
      <c r="D741" s="101" t="s">
        <v>102</v>
      </c>
      <c r="E741" s="106" t="e">
        <f t="shared" ref="E741:R741" si="1314">E740/E739</f>
        <v>#DIV/0!</v>
      </c>
      <c r="F741" s="106" t="e">
        <f t="shared" si="1314"/>
        <v>#DIV/0!</v>
      </c>
      <c r="G741" s="106" t="e">
        <f t="shared" si="1314"/>
        <v>#DIV/0!</v>
      </c>
      <c r="H741" s="106" t="e">
        <f t="shared" si="1314"/>
        <v>#DIV/0!</v>
      </c>
      <c r="I741" s="106" t="e">
        <f t="shared" si="1314"/>
        <v>#DIV/0!</v>
      </c>
      <c r="J741" s="106" t="e">
        <f t="shared" si="1314"/>
        <v>#DIV/0!</v>
      </c>
      <c r="K741" s="106" t="e">
        <f t="shared" si="1314"/>
        <v>#DIV/0!</v>
      </c>
      <c r="L741" s="106" t="e">
        <f t="shared" si="1314"/>
        <v>#DIV/0!</v>
      </c>
      <c r="M741" s="107" t="e">
        <f t="shared" si="1314"/>
        <v>#DIV/0!</v>
      </c>
      <c r="N741" s="107" t="e">
        <f t="shared" si="1314"/>
        <v>#DIV/0!</v>
      </c>
      <c r="O741" s="107" t="e">
        <f t="shared" si="1314"/>
        <v>#DIV/0!</v>
      </c>
      <c r="P741" s="108" t="e">
        <f t="shared" si="1314"/>
        <v>#DIV/0!</v>
      </c>
      <c r="Q741" s="109" t="e">
        <f t="shared" si="1314"/>
        <v>#DIV/0!</v>
      </c>
      <c r="R741" s="110" t="e">
        <f t="shared" si="1314"/>
        <v>#DIV/0!</v>
      </c>
      <c r="S741" s="105"/>
      <c r="T741" s="91"/>
      <c r="U741" s="100"/>
      <c r="V741" s="92"/>
      <c r="W741" s="101" t="s">
        <v>102</v>
      </c>
      <c r="X741" s="106" t="e">
        <f t="shared" ref="X741:AK741" si="1315">X740/X739</f>
        <v>#DIV/0!</v>
      </c>
      <c r="Y741" s="106" t="e">
        <f t="shared" si="1315"/>
        <v>#DIV/0!</v>
      </c>
      <c r="Z741" s="106" t="e">
        <f t="shared" si="1315"/>
        <v>#DIV/0!</v>
      </c>
      <c r="AA741" s="106" t="e">
        <f t="shared" si="1315"/>
        <v>#DIV/0!</v>
      </c>
      <c r="AB741" s="106" t="e">
        <f t="shared" si="1315"/>
        <v>#DIV/0!</v>
      </c>
      <c r="AC741" s="106" t="e">
        <f t="shared" si="1315"/>
        <v>#DIV/0!</v>
      </c>
      <c r="AD741" s="106" t="e">
        <f t="shared" si="1315"/>
        <v>#DIV/0!</v>
      </c>
      <c r="AE741" s="106" t="e">
        <f t="shared" si="1315"/>
        <v>#DIV/0!</v>
      </c>
      <c r="AF741" s="107" t="e">
        <f t="shared" si="1315"/>
        <v>#DIV/0!</v>
      </c>
      <c r="AG741" s="107" t="e">
        <f t="shared" si="1315"/>
        <v>#DIV/0!</v>
      </c>
      <c r="AH741" s="107" t="e">
        <f t="shared" si="1315"/>
        <v>#DIV/0!</v>
      </c>
      <c r="AI741" s="108" t="e">
        <f t="shared" si="1315"/>
        <v>#DIV/0!</v>
      </c>
      <c r="AJ741" s="109" t="e">
        <f t="shared" si="1315"/>
        <v>#DIV/0!</v>
      </c>
      <c r="AK741" s="110" t="e">
        <f t="shared" si="1315"/>
        <v>#DIV/0!</v>
      </c>
      <c r="AL741" s="105"/>
    </row>
    <row r="742" spans="1:38" hidden="1">
      <c r="A742" s="91"/>
      <c r="B742" s="100"/>
      <c r="C742" s="111"/>
      <c r="D742" s="112" t="s">
        <v>103</v>
      </c>
      <c r="E742" s="113" t="e">
        <f t="shared" ref="E742:R742" si="1316">E740/E738</f>
        <v>#DIV/0!</v>
      </c>
      <c r="F742" s="113" t="e">
        <f t="shared" si="1316"/>
        <v>#DIV/0!</v>
      </c>
      <c r="G742" s="113" t="e">
        <f t="shared" si="1316"/>
        <v>#DIV/0!</v>
      </c>
      <c r="H742" s="113" t="e">
        <f t="shared" si="1316"/>
        <v>#DIV/0!</v>
      </c>
      <c r="I742" s="113" t="e">
        <f t="shared" si="1316"/>
        <v>#DIV/0!</v>
      </c>
      <c r="J742" s="113" t="e">
        <f t="shared" si="1316"/>
        <v>#DIV/0!</v>
      </c>
      <c r="K742" s="113" t="e">
        <f t="shared" si="1316"/>
        <v>#DIV/0!</v>
      </c>
      <c r="L742" s="113" t="e">
        <f t="shared" si="1316"/>
        <v>#DIV/0!</v>
      </c>
      <c r="M742" s="113" t="e">
        <f t="shared" si="1316"/>
        <v>#DIV/0!</v>
      </c>
      <c r="N742" s="113" t="e">
        <f t="shared" si="1316"/>
        <v>#DIV/0!</v>
      </c>
      <c r="O742" s="113" t="e">
        <f t="shared" si="1316"/>
        <v>#DIV/0!</v>
      </c>
      <c r="P742" s="114" t="e">
        <f t="shared" si="1316"/>
        <v>#DIV/0!</v>
      </c>
      <c r="Q742" s="115" t="e">
        <f t="shared" si="1316"/>
        <v>#DIV/0!</v>
      </c>
      <c r="R742" s="116" t="e">
        <f t="shared" si="1316"/>
        <v>#DIV/0!</v>
      </c>
      <c r="T742" s="91"/>
      <c r="U742" s="100"/>
      <c r="V742" s="111"/>
      <c r="W742" s="112" t="s">
        <v>103</v>
      </c>
      <c r="X742" s="113" t="e">
        <f t="shared" ref="X742:AK742" si="1317">X740/X738</f>
        <v>#DIV/0!</v>
      </c>
      <c r="Y742" s="113" t="e">
        <f t="shared" si="1317"/>
        <v>#DIV/0!</v>
      </c>
      <c r="Z742" s="113" t="e">
        <f t="shared" si="1317"/>
        <v>#DIV/0!</v>
      </c>
      <c r="AA742" s="113" t="e">
        <f t="shared" si="1317"/>
        <v>#DIV/0!</v>
      </c>
      <c r="AB742" s="113" t="e">
        <f t="shared" si="1317"/>
        <v>#DIV/0!</v>
      </c>
      <c r="AC742" s="113" t="e">
        <f t="shared" si="1317"/>
        <v>#DIV/0!</v>
      </c>
      <c r="AD742" s="113" t="e">
        <f t="shared" si="1317"/>
        <v>#DIV/0!</v>
      </c>
      <c r="AE742" s="113" t="e">
        <f t="shared" si="1317"/>
        <v>#DIV/0!</v>
      </c>
      <c r="AF742" s="113" t="e">
        <f t="shared" si="1317"/>
        <v>#DIV/0!</v>
      </c>
      <c r="AG742" s="113" t="e">
        <f t="shared" si="1317"/>
        <v>#DIV/0!</v>
      </c>
      <c r="AH742" s="113" t="e">
        <f t="shared" si="1317"/>
        <v>#DIV/0!</v>
      </c>
      <c r="AI742" s="114" t="e">
        <f t="shared" si="1317"/>
        <v>#DIV/0!</v>
      </c>
      <c r="AJ742" s="115" t="e">
        <f t="shared" si="1317"/>
        <v>#DIV/0!</v>
      </c>
      <c r="AK742" s="116" t="e">
        <f t="shared" si="1317"/>
        <v>#DIV/0!</v>
      </c>
    </row>
    <row r="743" spans="1:38" hidden="1">
      <c r="A743" s="91"/>
      <c r="B743" s="100"/>
      <c r="C743" s="86"/>
      <c r="D743" s="87">
        <v>2019</v>
      </c>
      <c r="E743" s="88"/>
      <c r="F743" s="121"/>
      <c r="G743" s="121"/>
      <c r="H743" s="121"/>
      <c r="I743" s="121"/>
      <c r="J743" s="121"/>
      <c r="K743" s="121"/>
      <c r="L743" s="121"/>
      <c r="M743" s="122"/>
      <c r="N743" s="122"/>
      <c r="O743" s="122"/>
      <c r="P743" s="123"/>
      <c r="Q743" s="89">
        <f t="shared" ref="Q743:Q745" si="1318">SUM(E743:P743)</f>
        <v>0</v>
      </c>
      <c r="R743" s="90">
        <f t="shared" ref="R743" si="1319">SUM(E743:M743)</f>
        <v>0</v>
      </c>
      <c r="T743" s="91"/>
      <c r="U743" s="100"/>
      <c r="V743" s="86">
        <f t="shared" ref="V743:V744" si="1320">C743</f>
        <v>0</v>
      </c>
      <c r="W743" s="87">
        <v>2019</v>
      </c>
      <c r="X743" s="88"/>
      <c r="Y743" s="121"/>
      <c r="Z743" s="121"/>
      <c r="AA743" s="121"/>
      <c r="AB743" s="121"/>
      <c r="AC743" s="121"/>
      <c r="AD743" s="121"/>
      <c r="AE743" s="121"/>
      <c r="AF743" s="122"/>
      <c r="AG743" s="122"/>
      <c r="AH743" s="122"/>
      <c r="AI743" s="123"/>
      <c r="AJ743" s="89">
        <f t="shared" ref="AJ743:AJ745" si="1321">SUM(X743:AI743)</f>
        <v>0</v>
      </c>
      <c r="AK743" s="90">
        <f t="shared" ref="AK743:AK745" si="1322">SUM(X743:AF743)</f>
        <v>0</v>
      </c>
    </row>
    <row r="744" spans="1:38" hidden="1">
      <c r="A744" s="91"/>
      <c r="B744" s="100"/>
      <c r="C744" s="92"/>
      <c r="D744" s="93" t="s">
        <v>92</v>
      </c>
      <c r="E744" s="94"/>
      <c r="F744" s="97"/>
      <c r="G744" s="97"/>
      <c r="H744" s="97"/>
      <c r="I744" s="97"/>
      <c r="J744" s="97"/>
      <c r="K744" s="97"/>
      <c r="L744" s="97"/>
      <c r="M744" s="98"/>
      <c r="N744" s="98"/>
      <c r="O744" s="98"/>
      <c r="P744" s="99"/>
      <c r="Q744" s="95">
        <f t="shared" si="1318"/>
        <v>0</v>
      </c>
      <c r="R744" s="96">
        <f t="shared" si="1283"/>
        <v>0</v>
      </c>
      <c r="T744" s="91"/>
      <c r="U744" s="100"/>
      <c r="V744" s="92">
        <f t="shared" si="1320"/>
        <v>0</v>
      </c>
      <c r="W744" s="93" t="s">
        <v>92</v>
      </c>
      <c r="X744" s="94"/>
      <c r="Y744" s="97"/>
      <c r="Z744" s="97"/>
      <c r="AA744" s="97"/>
      <c r="AB744" s="97"/>
      <c r="AC744" s="97"/>
      <c r="AD744" s="97"/>
      <c r="AE744" s="97"/>
      <c r="AF744" s="98"/>
      <c r="AG744" s="98"/>
      <c r="AH744" s="98"/>
      <c r="AI744" s="99"/>
      <c r="AJ744" s="95">
        <f t="shared" si="1321"/>
        <v>0</v>
      </c>
      <c r="AK744" s="96">
        <f t="shared" si="1322"/>
        <v>0</v>
      </c>
    </row>
    <row r="745" spans="1:38" hidden="1">
      <c r="A745" s="91"/>
      <c r="B745" s="100"/>
      <c r="C745" s="92"/>
      <c r="D745" s="101">
        <v>2020</v>
      </c>
      <c r="E745" s="102"/>
      <c r="F745" s="124"/>
      <c r="G745" s="124"/>
      <c r="H745" s="124"/>
      <c r="I745" s="124"/>
      <c r="J745" s="124"/>
      <c r="K745" s="124"/>
      <c r="L745" s="124"/>
      <c r="M745" s="125"/>
      <c r="N745" s="125"/>
      <c r="O745" s="125"/>
      <c r="P745" s="126"/>
      <c r="Q745" s="103">
        <f t="shared" si="1318"/>
        <v>0</v>
      </c>
      <c r="R745" s="104">
        <f t="shared" si="1283"/>
        <v>0</v>
      </c>
      <c r="S745" s="105"/>
      <c r="T745" s="91"/>
      <c r="U745" s="100"/>
      <c r="V745" s="92"/>
      <c r="W745" s="101">
        <v>2020</v>
      </c>
      <c r="X745" s="102"/>
      <c r="Y745" s="124"/>
      <c r="Z745" s="124"/>
      <c r="AA745" s="124"/>
      <c r="AB745" s="124"/>
      <c r="AC745" s="124"/>
      <c r="AD745" s="124"/>
      <c r="AE745" s="124"/>
      <c r="AF745" s="125"/>
      <c r="AG745" s="125"/>
      <c r="AH745" s="125"/>
      <c r="AI745" s="126"/>
      <c r="AJ745" s="103">
        <f t="shared" si="1321"/>
        <v>0</v>
      </c>
      <c r="AK745" s="104">
        <f t="shared" si="1322"/>
        <v>0</v>
      </c>
      <c r="AL745" s="105"/>
    </row>
    <row r="746" spans="1:38" hidden="1">
      <c r="A746" s="91"/>
      <c r="B746" s="100"/>
      <c r="C746" s="92"/>
      <c r="D746" s="101" t="s">
        <v>102</v>
      </c>
      <c r="E746" s="106" t="e">
        <f t="shared" ref="E746:R746" si="1323">E745/E744</f>
        <v>#DIV/0!</v>
      </c>
      <c r="F746" s="106" t="e">
        <f t="shared" si="1323"/>
        <v>#DIV/0!</v>
      </c>
      <c r="G746" s="106" t="e">
        <f t="shared" si="1323"/>
        <v>#DIV/0!</v>
      </c>
      <c r="H746" s="106" t="e">
        <f t="shared" si="1323"/>
        <v>#DIV/0!</v>
      </c>
      <c r="I746" s="106" t="e">
        <f t="shared" si="1323"/>
        <v>#DIV/0!</v>
      </c>
      <c r="J746" s="106" t="e">
        <f t="shared" si="1323"/>
        <v>#DIV/0!</v>
      </c>
      <c r="K746" s="106" t="e">
        <f t="shared" si="1323"/>
        <v>#DIV/0!</v>
      </c>
      <c r="L746" s="106" t="e">
        <f t="shared" si="1323"/>
        <v>#DIV/0!</v>
      </c>
      <c r="M746" s="107" t="e">
        <f t="shared" si="1323"/>
        <v>#DIV/0!</v>
      </c>
      <c r="N746" s="107" t="e">
        <f t="shared" si="1323"/>
        <v>#DIV/0!</v>
      </c>
      <c r="O746" s="107" t="e">
        <f t="shared" si="1323"/>
        <v>#DIV/0!</v>
      </c>
      <c r="P746" s="108" t="e">
        <f t="shared" si="1323"/>
        <v>#DIV/0!</v>
      </c>
      <c r="Q746" s="109" t="e">
        <f t="shared" si="1323"/>
        <v>#DIV/0!</v>
      </c>
      <c r="R746" s="110" t="e">
        <f t="shared" si="1323"/>
        <v>#DIV/0!</v>
      </c>
      <c r="S746" s="105"/>
      <c r="T746" s="91"/>
      <c r="U746" s="100"/>
      <c r="V746" s="92"/>
      <c r="W746" s="101" t="s">
        <v>102</v>
      </c>
      <c r="X746" s="106" t="e">
        <f t="shared" ref="X746:AK746" si="1324">X745/X744</f>
        <v>#DIV/0!</v>
      </c>
      <c r="Y746" s="106" t="e">
        <f t="shared" si="1324"/>
        <v>#DIV/0!</v>
      </c>
      <c r="Z746" s="106" t="e">
        <f t="shared" si="1324"/>
        <v>#DIV/0!</v>
      </c>
      <c r="AA746" s="106" t="e">
        <f t="shared" si="1324"/>
        <v>#DIV/0!</v>
      </c>
      <c r="AB746" s="106" t="e">
        <f t="shared" si="1324"/>
        <v>#DIV/0!</v>
      </c>
      <c r="AC746" s="106" t="e">
        <f t="shared" si="1324"/>
        <v>#DIV/0!</v>
      </c>
      <c r="AD746" s="106" t="e">
        <f t="shared" si="1324"/>
        <v>#DIV/0!</v>
      </c>
      <c r="AE746" s="106" t="e">
        <f t="shared" si="1324"/>
        <v>#DIV/0!</v>
      </c>
      <c r="AF746" s="107" t="e">
        <f t="shared" si="1324"/>
        <v>#DIV/0!</v>
      </c>
      <c r="AG746" s="107" t="e">
        <f t="shared" si="1324"/>
        <v>#DIV/0!</v>
      </c>
      <c r="AH746" s="107" t="e">
        <f t="shared" si="1324"/>
        <v>#DIV/0!</v>
      </c>
      <c r="AI746" s="108" t="e">
        <f t="shared" si="1324"/>
        <v>#DIV/0!</v>
      </c>
      <c r="AJ746" s="109" t="e">
        <f t="shared" si="1324"/>
        <v>#DIV/0!</v>
      </c>
      <c r="AK746" s="110" t="e">
        <f t="shared" si="1324"/>
        <v>#DIV/0!</v>
      </c>
      <c r="AL746" s="105"/>
    </row>
    <row r="747" spans="1:38" hidden="1">
      <c r="A747" s="91"/>
      <c r="B747" s="100"/>
      <c r="C747" s="111"/>
      <c r="D747" s="112" t="s">
        <v>103</v>
      </c>
      <c r="E747" s="113" t="e">
        <f t="shared" ref="E747:R747" si="1325">E745/E743</f>
        <v>#DIV/0!</v>
      </c>
      <c r="F747" s="113" t="e">
        <f t="shared" si="1325"/>
        <v>#DIV/0!</v>
      </c>
      <c r="G747" s="113" t="e">
        <f t="shared" si="1325"/>
        <v>#DIV/0!</v>
      </c>
      <c r="H747" s="113" t="e">
        <f t="shared" si="1325"/>
        <v>#DIV/0!</v>
      </c>
      <c r="I747" s="113" t="e">
        <f t="shared" si="1325"/>
        <v>#DIV/0!</v>
      </c>
      <c r="J747" s="113" t="e">
        <f t="shared" si="1325"/>
        <v>#DIV/0!</v>
      </c>
      <c r="K747" s="113" t="e">
        <f t="shared" si="1325"/>
        <v>#DIV/0!</v>
      </c>
      <c r="L747" s="113" t="e">
        <f t="shared" si="1325"/>
        <v>#DIV/0!</v>
      </c>
      <c r="M747" s="113" t="e">
        <f t="shared" si="1325"/>
        <v>#DIV/0!</v>
      </c>
      <c r="N747" s="113" t="e">
        <f t="shared" si="1325"/>
        <v>#DIV/0!</v>
      </c>
      <c r="O747" s="113" t="e">
        <f t="shared" si="1325"/>
        <v>#DIV/0!</v>
      </c>
      <c r="P747" s="114" t="e">
        <f t="shared" si="1325"/>
        <v>#DIV/0!</v>
      </c>
      <c r="Q747" s="115" t="e">
        <f t="shared" si="1325"/>
        <v>#DIV/0!</v>
      </c>
      <c r="R747" s="116" t="e">
        <f t="shared" si="1325"/>
        <v>#DIV/0!</v>
      </c>
      <c r="T747" s="91"/>
      <c r="U747" s="100"/>
      <c r="V747" s="111"/>
      <c r="W747" s="112" t="s">
        <v>103</v>
      </c>
      <c r="X747" s="113" t="e">
        <f t="shared" ref="X747:AK747" si="1326">X745/X743</f>
        <v>#DIV/0!</v>
      </c>
      <c r="Y747" s="113" t="e">
        <f t="shared" si="1326"/>
        <v>#DIV/0!</v>
      </c>
      <c r="Z747" s="113" t="e">
        <f t="shared" si="1326"/>
        <v>#DIV/0!</v>
      </c>
      <c r="AA747" s="113" t="e">
        <f t="shared" si="1326"/>
        <v>#DIV/0!</v>
      </c>
      <c r="AB747" s="113" t="e">
        <f t="shared" si="1326"/>
        <v>#DIV/0!</v>
      </c>
      <c r="AC747" s="113" t="e">
        <f t="shared" si="1326"/>
        <v>#DIV/0!</v>
      </c>
      <c r="AD747" s="113" t="e">
        <f t="shared" si="1326"/>
        <v>#DIV/0!</v>
      </c>
      <c r="AE747" s="113" t="e">
        <f t="shared" si="1326"/>
        <v>#DIV/0!</v>
      </c>
      <c r="AF747" s="113" t="e">
        <f t="shared" si="1326"/>
        <v>#DIV/0!</v>
      </c>
      <c r="AG747" s="113" t="e">
        <f t="shared" si="1326"/>
        <v>#DIV/0!</v>
      </c>
      <c r="AH747" s="113" t="e">
        <f t="shared" si="1326"/>
        <v>#DIV/0!</v>
      </c>
      <c r="AI747" s="114" t="e">
        <f t="shared" si="1326"/>
        <v>#DIV/0!</v>
      </c>
      <c r="AJ747" s="115" t="e">
        <f t="shared" si="1326"/>
        <v>#DIV/0!</v>
      </c>
      <c r="AK747" s="116" t="e">
        <f t="shared" si="1326"/>
        <v>#DIV/0!</v>
      </c>
    </row>
    <row r="748" spans="1:38">
      <c r="A748" s="91"/>
      <c r="B748" s="100"/>
      <c r="C748" s="86" t="s">
        <v>116</v>
      </c>
      <c r="D748" s="87">
        <v>2019</v>
      </c>
      <c r="E748" s="88">
        <v>278.31000000000029</v>
      </c>
      <c r="F748" s="88">
        <v>468.02800000000008</v>
      </c>
      <c r="G748" s="88">
        <v>522.72599999999989</v>
      </c>
      <c r="H748" s="88">
        <v>83.270999999999987</v>
      </c>
      <c r="I748" s="88">
        <v>378.60800000000029</v>
      </c>
      <c r="J748" s="88">
        <v>290.54500000000002</v>
      </c>
      <c r="K748" s="88">
        <v>511.14399999999995</v>
      </c>
      <c r="L748" s="88">
        <v>333.41599999999988</v>
      </c>
      <c r="M748" s="88">
        <v>383.94699999999989</v>
      </c>
      <c r="N748" s="88">
        <v>296.09199999999998</v>
      </c>
      <c r="O748" s="88">
        <v>1401.1000000000001</v>
      </c>
      <c r="P748" s="88">
        <v>634.44600000000014</v>
      </c>
      <c r="Q748" s="89">
        <f t="shared" ref="Q748:Q750" si="1327">SUM(E748:P748)</f>
        <v>5581.6329999999998</v>
      </c>
      <c r="R748" s="90">
        <f t="shared" ref="R748" si="1328">SUM(E748:M748)</f>
        <v>3249.9949999999999</v>
      </c>
      <c r="T748" s="91"/>
      <c r="U748" s="100"/>
      <c r="V748" s="86" t="str">
        <f t="shared" ref="V748:V749" si="1329">C748</f>
        <v>その他</v>
      </c>
      <c r="W748" s="87">
        <v>2019</v>
      </c>
      <c r="X748" s="88">
        <f>E748</f>
        <v>278.31000000000029</v>
      </c>
      <c r="Y748" s="88">
        <f t="shared" ref="Y748:AI748" si="1330">F748</f>
        <v>468.02800000000008</v>
      </c>
      <c r="Z748" s="88">
        <f t="shared" si="1330"/>
        <v>522.72599999999989</v>
      </c>
      <c r="AA748" s="88">
        <f t="shared" si="1330"/>
        <v>83.270999999999987</v>
      </c>
      <c r="AB748" s="88">
        <f t="shared" si="1330"/>
        <v>378.60800000000029</v>
      </c>
      <c r="AC748" s="88">
        <f t="shared" si="1330"/>
        <v>290.54500000000002</v>
      </c>
      <c r="AD748" s="88">
        <f t="shared" si="1330"/>
        <v>511.14399999999995</v>
      </c>
      <c r="AE748" s="88">
        <f t="shared" si="1330"/>
        <v>333.41599999999988</v>
      </c>
      <c r="AF748" s="88">
        <f t="shared" si="1330"/>
        <v>383.94699999999989</v>
      </c>
      <c r="AG748" s="88">
        <f t="shared" si="1330"/>
        <v>296.09199999999998</v>
      </c>
      <c r="AH748" s="88">
        <f t="shared" si="1330"/>
        <v>1401.1000000000001</v>
      </c>
      <c r="AI748" s="88">
        <f t="shared" si="1330"/>
        <v>634.44600000000014</v>
      </c>
      <c r="AJ748" s="89">
        <f t="shared" ref="AJ748:AJ750" si="1331">SUM(X748:AI748)</f>
        <v>5581.6329999999998</v>
      </c>
      <c r="AK748" s="90">
        <f t="shared" ref="AK748:AK750" si="1332">SUM(X748:AF748)</f>
        <v>3249.9949999999999</v>
      </c>
    </row>
    <row r="749" spans="1:38">
      <c r="A749" s="91"/>
      <c r="B749" s="100"/>
      <c r="C749" s="92" t="s">
        <v>129</v>
      </c>
      <c r="D749" s="93" t="s">
        <v>92</v>
      </c>
      <c r="E749" s="94">
        <v>300</v>
      </c>
      <c r="F749" s="94">
        <v>500</v>
      </c>
      <c r="G749" s="94">
        <v>500</v>
      </c>
      <c r="H749" s="94">
        <v>400</v>
      </c>
      <c r="I749" s="94">
        <v>500</v>
      </c>
      <c r="J749" s="94">
        <v>400</v>
      </c>
      <c r="K749" s="94">
        <v>500</v>
      </c>
      <c r="L749" s="94">
        <v>500</v>
      </c>
      <c r="M749" s="94">
        <v>500</v>
      </c>
      <c r="N749" s="94">
        <v>400</v>
      </c>
      <c r="O749" s="94">
        <v>800</v>
      </c>
      <c r="P749" s="94">
        <v>400</v>
      </c>
      <c r="Q749" s="95">
        <f t="shared" si="1327"/>
        <v>5700</v>
      </c>
      <c r="R749" s="96">
        <f t="shared" si="1283"/>
        <v>4100</v>
      </c>
      <c r="T749" s="91"/>
      <c r="U749" s="100"/>
      <c r="V749" s="92" t="str">
        <f t="shared" si="1329"/>
        <v>Others</v>
      </c>
      <c r="W749" s="93" t="s">
        <v>92</v>
      </c>
      <c r="X749" s="94">
        <v>700</v>
      </c>
      <c r="Y749" s="94">
        <v>1000</v>
      </c>
      <c r="Z749" s="94">
        <v>1000</v>
      </c>
      <c r="AA749" s="94">
        <v>1000</v>
      </c>
      <c r="AB749" s="94">
        <v>1000</v>
      </c>
      <c r="AC749" s="94">
        <v>1000</v>
      </c>
      <c r="AD749" s="94">
        <v>1000</v>
      </c>
      <c r="AE749" s="94">
        <v>1000</v>
      </c>
      <c r="AF749" s="94">
        <v>1000</v>
      </c>
      <c r="AG749" s="94">
        <v>1000</v>
      </c>
      <c r="AH749" s="94">
        <v>1700</v>
      </c>
      <c r="AI749" s="94">
        <v>1000</v>
      </c>
      <c r="AJ749" s="95">
        <f t="shared" si="1331"/>
        <v>12400</v>
      </c>
      <c r="AK749" s="96">
        <f t="shared" si="1332"/>
        <v>8700</v>
      </c>
    </row>
    <row r="750" spans="1:38">
      <c r="A750" s="91"/>
      <c r="B750" s="100"/>
      <c r="C750" s="92" t="s">
        <v>161</v>
      </c>
      <c r="D750" s="101">
        <v>2020</v>
      </c>
      <c r="E750" s="102">
        <f>[2]Sheet4!BA16</f>
        <v>1035.1120000000003</v>
      </c>
      <c r="F750" s="102">
        <f>[2]Sheet4!BB16</f>
        <v>869.93000000000018</v>
      </c>
      <c r="G750" s="102">
        <f>[2]Sheet4!BC16</f>
        <v>1675.04</v>
      </c>
      <c r="H750" s="102">
        <f>[2]Sheet4!BD16</f>
        <v>0</v>
      </c>
      <c r="I750" s="102">
        <f>[2]Sheet4!BE16</f>
        <v>0</v>
      </c>
      <c r="J750" s="102">
        <f>[2]Sheet4!BF16</f>
        <v>0</v>
      </c>
      <c r="K750" s="102">
        <f>[2]Sheet4!BG16</f>
        <v>0</v>
      </c>
      <c r="L750" s="102">
        <f>[2]Sheet4!BH16</f>
        <v>0</v>
      </c>
      <c r="M750" s="102">
        <f>[2]Sheet4!BI16</f>
        <v>0</v>
      </c>
      <c r="N750" s="102">
        <f>[2]Sheet4!BJ16</f>
        <v>0</v>
      </c>
      <c r="O750" s="102">
        <f>[2]Sheet4!BK16</f>
        <v>0</v>
      </c>
      <c r="P750" s="102">
        <f>[2]Sheet4!BL16</f>
        <v>0</v>
      </c>
      <c r="Q750" s="103">
        <f t="shared" si="1327"/>
        <v>3580.0820000000003</v>
      </c>
      <c r="R750" s="104">
        <f t="shared" si="1283"/>
        <v>3580.0820000000003</v>
      </c>
      <c r="S750" s="105"/>
      <c r="T750" s="91"/>
      <c r="U750" s="100"/>
      <c r="V750" s="92"/>
      <c r="W750" s="101">
        <v>2020</v>
      </c>
      <c r="X750" s="102">
        <f>E750-[2]Sheet4!BM16</f>
        <v>1035.1120000000003</v>
      </c>
      <c r="Y750" s="102">
        <f>F750-[2]Sheet4!BN16</f>
        <v>869.93000000000018</v>
      </c>
      <c r="Z750" s="102">
        <f>G750-[2]Sheet4!BO16</f>
        <v>1606.0160000000001</v>
      </c>
      <c r="AA750" s="102">
        <f>H750-[2]Sheet4!BP16</f>
        <v>0</v>
      </c>
      <c r="AB750" s="102">
        <f>I750-[2]Sheet4!BQ16</f>
        <v>0</v>
      </c>
      <c r="AC750" s="102">
        <f>J750-[2]Sheet4!BR16</f>
        <v>0</v>
      </c>
      <c r="AD750" s="102">
        <f>K750-[2]Sheet4!BS16</f>
        <v>0</v>
      </c>
      <c r="AE750" s="102">
        <f>L750-[2]Sheet4!BT16</f>
        <v>0</v>
      </c>
      <c r="AF750" s="102">
        <f>M750-[2]Sheet4!BU16</f>
        <v>0</v>
      </c>
      <c r="AG750" s="102">
        <f>N750-[2]Sheet4!BV16</f>
        <v>0</v>
      </c>
      <c r="AH750" s="102">
        <f>O750-[2]Sheet4!BW16</f>
        <v>0</v>
      </c>
      <c r="AI750" s="102">
        <f>P750-[2]Sheet4!BX16</f>
        <v>0</v>
      </c>
      <c r="AJ750" s="103">
        <f t="shared" si="1331"/>
        <v>3511.0580000000004</v>
      </c>
      <c r="AK750" s="104">
        <f t="shared" si="1332"/>
        <v>3511.0580000000004</v>
      </c>
      <c r="AL750" s="105"/>
    </row>
    <row r="751" spans="1:38">
      <c r="A751" s="91"/>
      <c r="B751" s="100"/>
      <c r="C751" s="92"/>
      <c r="D751" s="101" t="s">
        <v>102</v>
      </c>
      <c r="E751" s="106">
        <f t="shared" ref="E751:R751" si="1333">E750/E749</f>
        <v>3.4503733333333342</v>
      </c>
      <c r="F751" s="106">
        <f t="shared" si="1333"/>
        <v>1.7398600000000004</v>
      </c>
      <c r="G751" s="106">
        <f t="shared" si="1333"/>
        <v>3.3500799999999997</v>
      </c>
      <c r="H751" s="106">
        <f t="shared" si="1333"/>
        <v>0</v>
      </c>
      <c r="I751" s="106">
        <f t="shared" si="1333"/>
        <v>0</v>
      </c>
      <c r="J751" s="106">
        <f t="shared" si="1333"/>
        <v>0</v>
      </c>
      <c r="K751" s="106">
        <f t="shared" si="1333"/>
        <v>0</v>
      </c>
      <c r="L751" s="106">
        <f t="shared" si="1333"/>
        <v>0</v>
      </c>
      <c r="M751" s="107">
        <f t="shared" si="1333"/>
        <v>0</v>
      </c>
      <c r="N751" s="107">
        <f t="shared" si="1333"/>
        <v>0</v>
      </c>
      <c r="O751" s="107">
        <f t="shared" si="1333"/>
        <v>0</v>
      </c>
      <c r="P751" s="108">
        <f t="shared" si="1333"/>
        <v>0</v>
      </c>
      <c r="Q751" s="109">
        <f t="shared" si="1333"/>
        <v>0.62808456140350888</v>
      </c>
      <c r="R751" s="110">
        <f t="shared" si="1333"/>
        <v>0.8731907317073172</v>
      </c>
      <c r="S751" s="105"/>
      <c r="T751" s="91"/>
      <c r="U751" s="100"/>
      <c r="V751" s="92"/>
      <c r="W751" s="101" t="s">
        <v>102</v>
      </c>
      <c r="X751" s="106">
        <f t="shared" ref="X751:AK751" si="1334">X750/X749</f>
        <v>1.478731428571429</v>
      </c>
      <c r="Y751" s="106">
        <f t="shared" si="1334"/>
        <v>0.8699300000000002</v>
      </c>
      <c r="Z751" s="106">
        <f t="shared" si="1334"/>
        <v>1.6060160000000001</v>
      </c>
      <c r="AA751" s="106">
        <f t="shared" si="1334"/>
        <v>0</v>
      </c>
      <c r="AB751" s="106">
        <f t="shared" si="1334"/>
        <v>0</v>
      </c>
      <c r="AC751" s="106">
        <f t="shared" si="1334"/>
        <v>0</v>
      </c>
      <c r="AD751" s="106">
        <f t="shared" si="1334"/>
        <v>0</v>
      </c>
      <c r="AE751" s="106">
        <f t="shared" si="1334"/>
        <v>0</v>
      </c>
      <c r="AF751" s="107">
        <f t="shared" si="1334"/>
        <v>0</v>
      </c>
      <c r="AG751" s="107">
        <f t="shared" si="1334"/>
        <v>0</v>
      </c>
      <c r="AH751" s="107">
        <f t="shared" si="1334"/>
        <v>0</v>
      </c>
      <c r="AI751" s="108">
        <f t="shared" si="1334"/>
        <v>0</v>
      </c>
      <c r="AJ751" s="109">
        <f t="shared" si="1334"/>
        <v>0.28314983870967747</v>
      </c>
      <c r="AK751" s="110">
        <f t="shared" si="1334"/>
        <v>0.40356988505747132</v>
      </c>
      <c r="AL751" s="105"/>
    </row>
    <row r="752" spans="1:38">
      <c r="A752" s="91"/>
      <c r="B752" s="100"/>
      <c r="C752" s="111"/>
      <c r="D752" s="112" t="s">
        <v>103</v>
      </c>
      <c r="E752" s="113">
        <f t="shared" ref="E752:R752" si="1335">E750/E748</f>
        <v>3.7192770651431828</v>
      </c>
      <c r="F752" s="113">
        <f t="shared" si="1335"/>
        <v>1.8587135812387294</v>
      </c>
      <c r="G752" s="113">
        <f t="shared" si="1335"/>
        <v>3.204432149921757</v>
      </c>
      <c r="H752" s="113">
        <f t="shared" si="1335"/>
        <v>0</v>
      </c>
      <c r="I752" s="113">
        <f t="shared" si="1335"/>
        <v>0</v>
      </c>
      <c r="J752" s="113">
        <f t="shared" si="1335"/>
        <v>0</v>
      </c>
      <c r="K752" s="113">
        <f t="shared" si="1335"/>
        <v>0</v>
      </c>
      <c r="L752" s="113">
        <f t="shared" si="1335"/>
        <v>0</v>
      </c>
      <c r="M752" s="113">
        <f t="shared" si="1335"/>
        <v>0</v>
      </c>
      <c r="N752" s="113">
        <f t="shared" si="1335"/>
        <v>0</v>
      </c>
      <c r="O752" s="113">
        <f t="shared" si="1335"/>
        <v>0</v>
      </c>
      <c r="P752" s="114">
        <f t="shared" si="1335"/>
        <v>0</v>
      </c>
      <c r="Q752" s="115">
        <f t="shared" si="1335"/>
        <v>0.64140404788347793</v>
      </c>
      <c r="R752" s="116">
        <f t="shared" si="1335"/>
        <v>1.1015653870236726</v>
      </c>
      <c r="T752" s="91"/>
      <c r="U752" s="100"/>
      <c r="V752" s="111"/>
      <c r="W752" s="112" t="s">
        <v>103</v>
      </c>
      <c r="X752" s="113">
        <f t="shared" ref="X752:AK752" si="1336">X750/X748</f>
        <v>3.7192770651431828</v>
      </c>
      <c r="Y752" s="113">
        <f t="shared" si="1336"/>
        <v>1.8587135812387294</v>
      </c>
      <c r="Z752" s="113">
        <f t="shared" si="1336"/>
        <v>3.0723859153744035</v>
      </c>
      <c r="AA752" s="113">
        <f t="shared" si="1336"/>
        <v>0</v>
      </c>
      <c r="AB752" s="113">
        <f t="shared" si="1336"/>
        <v>0</v>
      </c>
      <c r="AC752" s="113">
        <f t="shared" si="1336"/>
        <v>0</v>
      </c>
      <c r="AD752" s="113">
        <f t="shared" si="1336"/>
        <v>0</v>
      </c>
      <c r="AE752" s="113">
        <f t="shared" si="1336"/>
        <v>0</v>
      </c>
      <c r="AF752" s="113">
        <f t="shared" si="1336"/>
        <v>0</v>
      </c>
      <c r="AG752" s="113">
        <f t="shared" si="1336"/>
        <v>0</v>
      </c>
      <c r="AH752" s="113">
        <f t="shared" si="1336"/>
        <v>0</v>
      </c>
      <c r="AI752" s="114">
        <f t="shared" si="1336"/>
        <v>0</v>
      </c>
      <c r="AJ752" s="115">
        <f t="shared" si="1336"/>
        <v>0.62903777442909636</v>
      </c>
      <c r="AK752" s="116">
        <f t="shared" si="1336"/>
        <v>1.0803272005033855</v>
      </c>
    </row>
    <row r="753" spans="1:38" ht="15" customHeight="1">
      <c r="A753" s="91"/>
      <c r="B753" s="303" t="s">
        <v>162</v>
      </c>
      <c r="C753" s="304"/>
      <c r="D753" s="127">
        <v>2019</v>
      </c>
      <c r="E753" s="128">
        <f>SUM(E748,E743,E738,E733,E728,E723,E718,E713,E708,E703,E698,E693,E688,E683)</f>
        <v>5297.0439999999981</v>
      </c>
      <c r="F753" s="129">
        <f t="shared" ref="F753:P753" si="1337">SUM(F748,F743,F738,F733,F728,F723,F718,F713,F708,F703,F698,F693,F688,F683)</f>
        <v>5387.2800000000043</v>
      </c>
      <c r="G753" s="129">
        <f t="shared" si="1337"/>
        <v>6279.0960000000096</v>
      </c>
      <c r="H753" s="129">
        <f t="shared" si="1337"/>
        <v>5085.5340000000033</v>
      </c>
      <c r="I753" s="129">
        <f t="shared" si="1337"/>
        <v>6437.7820000000047</v>
      </c>
      <c r="J753" s="129">
        <f t="shared" si="1337"/>
        <v>5340.1069999999972</v>
      </c>
      <c r="K753" s="129">
        <f t="shared" si="1337"/>
        <v>6832.7080000000042</v>
      </c>
      <c r="L753" s="129">
        <f t="shared" si="1337"/>
        <v>4795.0140000000029</v>
      </c>
      <c r="M753" s="129">
        <f t="shared" si="1337"/>
        <v>6511.114999999998</v>
      </c>
      <c r="N753" s="129">
        <f t="shared" si="1337"/>
        <v>4662.2520000000004</v>
      </c>
      <c r="O753" s="129">
        <f t="shared" si="1337"/>
        <v>6121.3889999999992</v>
      </c>
      <c r="P753" s="130">
        <f t="shared" si="1337"/>
        <v>5437.411000000001</v>
      </c>
      <c r="Q753" s="131">
        <f>SUM(E753:P753)</f>
        <v>68186.732000000033</v>
      </c>
      <c r="R753" s="90">
        <f t="shared" ref="R753" si="1338">SUM(E753:M753)</f>
        <v>51965.680000000022</v>
      </c>
      <c r="T753" s="91"/>
      <c r="U753" s="309" t="s">
        <v>162</v>
      </c>
      <c r="V753" s="310"/>
      <c r="W753" s="132">
        <v>2019</v>
      </c>
      <c r="X753" s="133">
        <f>SUM(X748,X743,X738,X733,X728,X723,X718,X713,X708,X703,X698,X693,X688,X683)</f>
        <v>5297.0439999999981</v>
      </c>
      <c r="Y753" s="134">
        <f t="shared" ref="Y753:AI753" si="1339">SUM(Y748,Y743,Y738,Y733,Y728,Y723,Y718,Y713,Y708,Y703,Y698,Y693,Y688,Y683)</f>
        <v>5387.2800000000043</v>
      </c>
      <c r="Z753" s="134">
        <f t="shared" si="1339"/>
        <v>6279.0960000000096</v>
      </c>
      <c r="AA753" s="134">
        <f t="shared" si="1339"/>
        <v>5085.5340000000033</v>
      </c>
      <c r="AB753" s="134">
        <f t="shared" si="1339"/>
        <v>6437.7820000000047</v>
      </c>
      <c r="AC753" s="134">
        <f t="shared" si="1339"/>
        <v>5340.1069999999972</v>
      </c>
      <c r="AD753" s="134">
        <f t="shared" si="1339"/>
        <v>6832.7080000000042</v>
      </c>
      <c r="AE753" s="134">
        <f t="shared" si="1339"/>
        <v>4795.0140000000029</v>
      </c>
      <c r="AF753" s="134">
        <f t="shared" si="1339"/>
        <v>6511.114999999998</v>
      </c>
      <c r="AG753" s="134">
        <f t="shared" si="1339"/>
        <v>4662.2520000000004</v>
      </c>
      <c r="AH753" s="134">
        <f t="shared" si="1339"/>
        <v>6121.3889999999992</v>
      </c>
      <c r="AI753" s="135">
        <f t="shared" si="1339"/>
        <v>5437.411000000001</v>
      </c>
      <c r="AJ753" s="136">
        <f>SUM(X753:AI753)</f>
        <v>68186.732000000033</v>
      </c>
      <c r="AK753" s="90">
        <f t="shared" ref="AK753:AK755" si="1340">SUM(X753:AF753)</f>
        <v>51965.680000000022</v>
      </c>
    </row>
    <row r="754" spans="1:38" ht="15" customHeight="1">
      <c r="A754" s="91"/>
      <c r="B754" s="305"/>
      <c r="C754" s="306"/>
      <c r="D754" s="137" t="s">
        <v>92</v>
      </c>
      <c r="E754" s="138">
        <f t="shared" ref="E754:P755" si="1341">SUM(E749,E744,E739,E734,E729,E724,E719,E714,E709,E704,E699,E694,E689,E684)</f>
        <v>5000</v>
      </c>
      <c r="F754" s="138">
        <f t="shared" si="1341"/>
        <v>5500</v>
      </c>
      <c r="G754" s="138">
        <f t="shared" si="1341"/>
        <v>6300</v>
      </c>
      <c r="H754" s="138">
        <f t="shared" si="1341"/>
        <v>5700</v>
      </c>
      <c r="I754" s="138">
        <f t="shared" si="1341"/>
        <v>6700</v>
      </c>
      <c r="J754" s="138">
        <f t="shared" si="1341"/>
        <v>5700</v>
      </c>
      <c r="K754" s="138">
        <f t="shared" si="1341"/>
        <v>7000</v>
      </c>
      <c r="L754" s="138">
        <f t="shared" si="1341"/>
        <v>5500</v>
      </c>
      <c r="M754" s="138">
        <f t="shared" si="1341"/>
        <v>7500</v>
      </c>
      <c r="N754" s="138">
        <f t="shared" si="1341"/>
        <v>5300</v>
      </c>
      <c r="O754" s="138">
        <f t="shared" si="1341"/>
        <v>5700</v>
      </c>
      <c r="P754" s="138">
        <f t="shared" si="1341"/>
        <v>6200</v>
      </c>
      <c r="Q754" s="139">
        <f t="shared" ref="Q754:Q755" si="1342">SUM(E754:P754)</f>
        <v>72100</v>
      </c>
      <c r="R754" s="96">
        <f t="shared" si="1283"/>
        <v>54900</v>
      </c>
      <c r="T754" s="91"/>
      <c r="U754" s="311"/>
      <c r="V754" s="312"/>
      <c r="W754" s="140" t="s">
        <v>92</v>
      </c>
      <c r="X754" s="141">
        <f t="shared" ref="X754:AI755" si="1343">SUM(X749,X744,X739,X734,X729,X724,X719,X714,X709,X704,X699,X694,X689,X684)</f>
        <v>5400</v>
      </c>
      <c r="Y754" s="141">
        <f t="shared" si="1343"/>
        <v>6000</v>
      </c>
      <c r="Z754" s="141">
        <f t="shared" si="1343"/>
        <v>6800</v>
      </c>
      <c r="AA754" s="141">
        <f t="shared" si="1343"/>
        <v>6300</v>
      </c>
      <c r="AB754" s="141">
        <f t="shared" si="1343"/>
        <v>7200</v>
      </c>
      <c r="AC754" s="141">
        <f t="shared" si="1343"/>
        <v>6300</v>
      </c>
      <c r="AD754" s="141">
        <f t="shared" si="1343"/>
        <v>7500</v>
      </c>
      <c r="AE754" s="141">
        <f t="shared" si="1343"/>
        <v>6000</v>
      </c>
      <c r="AF754" s="141">
        <f t="shared" si="1343"/>
        <v>8000</v>
      </c>
      <c r="AG754" s="141">
        <f t="shared" si="1343"/>
        <v>5900</v>
      </c>
      <c r="AH754" s="141">
        <f t="shared" si="1343"/>
        <v>6600</v>
      </c>
      <c r="AI754" s="141">
        <f t="shared" si="1343"/>
        <v>6800</v>
      </c>
      <c r="AJ754" s="142">
        <f t="shared" ref="AJ754:AJ755" si="1344">SUM(X754:AI754)</f>
        <v>78800</v>
      </c>
      <c r="AK754" s="96">
        <f t="shared" si="1340"/>
        <v>59500</v>
      </c>
    </row>
    <row r="755" spans="1:38" ht="15" customHeight="1">
      <c r="A755" s="91"/>
      <c r="B755" s="305"/>
      <c r="C755" s="306"/>
      <c r="D755" s="143">
        <v>2020</v>
      </c>
      <c r="E755" s="144">
        <f>SUM(E750,E745,E740,E735,E730,E725,E720,E715,E710,E705,E700,E695,E690,E685)</f>
        <v>6562.3670000000093</v>
      </c>
      <c r="F755" s="144">
        <f t="shared" si="1341"/>
        <v>6438.8140000000039</v>
      </c>
      <c r="G755" s="144">
        <f t="shared" si="1341"/>
        <v>7856.458999999988</v>
      </c>
      <c r="H755" s="144">
        <f t="shared" si="1341"/>
        <v>0</v>
      </c>
      <c r="I755" s="144">
        <f t="shared" si="1341"/>
        <v>0</v>
      </c>
      <c r="J755" s="144">
        <f t="shared" si="1341"/>
        <v>0</v>
      </c>
      <c r="K755" s="144">
        <f t="shared" si="1341"/>
        <v>0</v>
      </c>
      <c r="L755" s="144">
        <f t="shared" si="1341"/>
        <v>0</v>
      </c>
      <c r="M755" s="144">
        <f t="shared" si="1341"/>
        <v>0</v>
      </c>
      <c r="N755" s="144">
        <f t="shared" si="1341"/>
        <v>0</v>
      </c>
      <c r="O755" s="144">
        <f t="shared" si="1341"/>
        <v>0</v>
      </c>
      <c r="P755" s="144">
        <f t="shared" si="1341"/>
        <v>0</v>
      </c>
      <c r="Q755" s="145">
        <f t="shared" si="1342"/>
        <v>20857.64</v>
      </c>
      <c r="R755" s="104">
        <f t="shared" si="1283"/>
        <v>20857.64</v>
      </c>
      <c r="S755" s="105"/>
      <c r="T755" s="91"/>
      <c r="U755" s="311"/>
      <c r="V755" s="312"/>
      <c r="W755" s="146">
        <v>2020</v>
      </c>
      <c r="X755" s="147">
        <f>SUM(X750,X745,X740,X735,X730,X725,X720,X715,X710,X705,X700,X695,X690,X685)</f>
        <v>6562.3670000000093</v>
      </c>
      <c r="Y755" s="147">
        <f t="shared" si="1343"/>
        <v>6438.8140000000039</v>
      </c>
      <c r="Z755" s="147">
        <f t="shared" si="1343"/>
        <v>7787.4349999999877</v>
      </c>
      <c r="AA755" s="147">
        <f t="shared" si="1343"/>
        <v>0</v>
      </c>
      <c r="AB755" s="147">
        <f t="shared" si="1343"/>
        <v>0</v>
      </c>
      <c r="AC755" s="147">
        <f t="shared" si="1343"/>
        <v>0</v>
      </c>
      <c r="AD755" s="147">
        <f t="shared" si="1343"/>
        <v>0</v>
      </c>
      <c r="AE755" s="147">
        <f t="shared" si="1343"/>
        <v>0</v>
      </c>
      <c r="AF755" s="147">
        <f t="shared" si="1343"/>
        <v>0</v>
      </c>
      <c r="AG755" s="147">
        <f t="shared" si="1343"/>
        <v>0</v>
      </c>
      <c r="AH755" s="147">
        <f t="shared" si="1343"/>
        <v>0</v>
      </c>
      <c r="AI755" s="147">
        <f t="shared" si="1343"/>
        <v>0</v>
      </c>
      <c r="AJ755" s="148">
        <f t="shared" si="1344"/>
        <v>20788.616000000002</v>
      </c>
      <c r="AK755" s="104">
        <f t="shared" si="1340"/>
        <v>20788.616000000002</v>
      </c>
      <c r="AL755" s="105"/>
    </row>
    <row r="756" spans="1:38" ht="15" customHeight="1">
      <c r="A756" s="91"/>
      <c r="B756" s="305"/>
      <c r="C756" s="306"/>
      <c r="D756" s="143" t="s">
        <v>102</v>
      </c>
      <c r="E756" s="149">
        <f t="shared" ref="E756:R756" si="1345">E755/E754</f>
        <v>1.3124734000000018</v>
      </c>
      <c r="F756" s="149">
        <f t="shared" si="1345"/>
        <v>1.1706934545454553</v>
      </c>
      <c r="G756" s="149">
        <f t="shared" si="1345"/>
        <v>1.2470569841269823</v>
      </c>
      <c r="H756" s="149">
        <f t="shared" si="1345"/>
        <v>0</v>
      </c>
      <c r="I756" s="149">
        <f t="shared" si="1345"/>
        <v>0</v>
      </c>
      <c r="J756" s="149">
        <f t="shared" si="1345"/>
        <v>0</v>
      </c>
      <c r="K756" s="149">
        <f t="shared" si="1345"/>
        <v>0</v>
      </c>
      <c r="L756" s="149">
        <f t="shared" si="1345"/>
        <v>0</v>
      </c>
      <c r="M756" s="149">
        <f t="shared" si="1345"/>
        <v>0</v>
      </c>
      <c r="N756" s="149">
        <f t="shared" si="1345"/>
        <v>0</v>
      </c>
      <c r="O756" s="149">
        <f t="shared" si="1345"/>
        <v>0</v>
      </c>
      <c r="P756" s="150">
        <f t="shared" si="1345"/>
        <v>0</v>
      </c>
      <c r="Q756" s="151">
        <f t="shared" si="1345"/>
        <v>0.2892876560332871</v>
      </c>
      <c r="R756" s="110">
        <f t="shared" si="1345"/>
        <v>0.37992058287795993</v>
      </c>
      <c r="S756" s="105"/>
      <c r="T756" s="91"/>
      <c r="U756" s="311"/>
      <c r="V756" s="312"/>
      <c r="W756" s="146" t="s">
        <v>102</v>
      </c>
      <c r="X756" s="152">
        <f t="shared" ref="X756:AK756" si="1346">X755/X754</f>
        <v>1.2152531481481499</v>
      </c>
      <c r="Y756" s="152">
        <f t="shared" si="1346"/>
        <v>1.0731356666666674</v>
      </c>
      <c r="Z756" s="152">
        <f t="shared" si="1346"/>
        <v>1.1452110294117628</v>
      </c>
      <c r="AA756" s="152">
        <f t="shared" si="1346"/>
        <v>0</v>
      </c>
      <c r="AB756" s="152">
        <f t="shared" si="1346"/>
        <v>0</v>
      </c>
      <c r="AC756" s="152">
        <f t="shared" si="1346"/>
        <v>0</v>
      </c>
      <c r="AD756" s="152">
        <f t="shared" si="1346"/>
        <v>0</v>
      </c>
      <c r="AE756" s="152">
        <f t="shared" si="1346"/>
        <v>0</v>
      </c>
      <c r="AF756" s="152">
        <f t="shared" si="1346"/>
        <v>0</v>
      </c>
      <c r="AG756" s="152">
        <f t="shared" si="1346"/>
        <v>0</v>
      </c>
      <c r="AH756" s="152">
        <f t="shared" si="1346"/>
        <v>0</v>
      </c>
      <c r="AI756" s="153">
        <f t="shared" si="1346"/>
        <v>0</v>
      </c>
      <c r="AJ756" s="154">
        <f t="shared" si="1346"/>
        <v>0.26381492385786803</v>
      </c>
      <c r="AK756" s="110">
        <f t="shared" si="1346"/>
        <v>0.34938850420168072</v>
      </c>
      <c r="AL756" s="105"/>
    </row>
    <row r="757" spans="1:38" ht="15" customHeight="1" thickBot="1">
      <c r="A757" s="155"/>
      <c r="B757" s="307"/>
      <c r="C757" s="308"/>
      <c r="D757" s="156" t="s">
        <v>103</v>
      </c>
      <c r="E757" s="157">
        <f t="shared" ref="E757:R757" si="1347">E755/E753</f>
        <v>1.2388734169472657</v>
      </c>
      <c r="F757" s="157">
        <f t="shared" si="1347"/>
        <v>1.1951882953921087</v>
      </c>
      <c r="G757" s="157">
        <f t="shared" si="1347"/>
        <v>1.2512086134691962</v>
      </c>
      <c r="H757" s="157">
        <f t="shared" si="1347"/>
        <v>0</v>
      </c>
      <c r="I757" s="157">
        <f t="shared" si="1347"/>
        <v>0</v>
      </c>
      <c r="J757" s="157">
        <f t="shared" si="1347"/>
        <v>0</v>
      </c>
      <c r="K757" s="157">
        <f t="shared" si="1347"/>
        <v>0</v>
      </c>
      <c r="L757" s="157">
        <f t="shared" si="1347"/>
        <v>0</v>
      </c>
      <c r="M757" s="157">
        <f t="shared" si="1347"/>
        <v>0</v>
      </c>
      <c r="N757" s="157">
        <f t="shared" si="1347"/>
        <v>0</v>
      </c>
      <c r="O757" s="157">
        <f t="shared" si="1347"/>
        <v>0</v>
      </c>
      <c r="P757" s="158">
        <f t="shared" si="1347"/>
        <v>0</v>
      </c>
      <c r="Q757" s="159">
        <f t="shared" si="1347"/>
        <v>0.3058900080443801</v>
      </c>
      <c r="R757" s="168">
        <f t="shared" si="1347"/>
        <v>0.40137336796131584</v>
      </c>
      <c r="T757" s="155"/>
      <c r="U757" s="313"/>
      <c r="V757" s="314"/>
      <c r="W757" s="160" t="s">
        <v>103</v>
      </c>
      <c r="X757" s="161">
        <f t="shared" ref="X757:AK757" si="1348">X755/X753</f>
        <v>1.2388734169472657</v>
      </c>
      <c r="Y757" s="161">
        <f t="shared" si="1348"/>
        <v>1.1951882953921087</v>
      </c>
      <c r="Z757" s="161">
        <f t="shared" si="1348"/>
        <v>1.2402159482829973</v>
      </c>
      <c r="AA757" s="161">
        <f t="shared" si="1348"/>
        <v>0</v>
      </c>
      <c r="AB757" s="161">
        <f t="shared" si="1348"/>
        <v>0</v>
      </c>
      <c r="AC757" s="161">
        <f t="shared" si="1348"/>
        <v>0</v>
      </c>
      <c r="AD757" s="161">
        <f t="shared" si="1348"/>
        <v>0</v>
      </c>
      <c r="AE757" s="161">
        <f t="shared" si="1348"/>
        <v>0</v>
      </c>
      <c r="AF757" s="161">
        <f t="shared" si="1348"/>
        <v>0</v>
      </c>
      <c r="AG757" s="161">
        <f t="shared" si="1348"/>
        <v>0</v>
      </c>
      <c r="AH757" s="161">
        <f t="shared" si="1348"/>
        <v>0</v>
      </c>
      <c r="AI757" s="162">
        <f t="shared" si="1348"/>
        <v>0</v>
      </c>
      <c r="AJ757" s="163">
        <f t="shared" si="1348"/>
        <v>0.30487772899865612</v>
      </c>
      <c r="AK757" s="168">
        <f t="shared" si="1348"/>
        <v>0.40004510669349447</v>
      </c>
    </row>
    <row r="758" spans="1:38" ht="15.6" hidden="1" thickBot="1">
      <c r="A758" s="84" t="s">
        <v>160</v>
      </c>
      <c r="B758" s="85" t="s">
        <v>121</v>
      </c>
      <c r="C758" s="86" t="s">
        <v>122</v>
      </c>
      <c r="D758" s="87">
        <v>2019</v>
      </c>
      <c r="E758" s="88"/>
      <c r="F758" s="121"/>
      <c r="G758" s="121"/>
      <c r="H758" s="121"/>
      <c r="I758" s="121"/>
      <c r="J758" s="121"/>
      <c r="K758" s="121"/>
      <c r="L758" s="121"/>
      <c r="M758" s="122"/>
      <c r="N758" s="122"/>
      <c r="O758" s="122"/>
      <c r="P758" s="123"/>
      <c r="Q758" s="89">
        <f>SUM(E758:P758)</f>
        <v>0</v>
      </c>
      <c r="R758" s="90">
        <f t="shared" ref="R758" si="1349">SUM(E758:M758)</f>
        <v>0</v>
      </c>
      <c r="T758" s="84" t="s">
        <v>160</v>
      </c>
      <c r="U758" s="85" t="s">
        <v>121</v>
      </c>
      <c r="V758" s="86" t="str">
        <f>C758</f>
        <v>得意先名</v>
      </c>
      <c r="W758" s="87">
        <v>2019</v>
      </c>
      <c r="X758" s="88"/>
      <c r="Y758" s="121"/>
      <c r="Z758" s="121"/>
      <c r="AA758" s="121"/>
      <c r="AB758" s="121"/>
      <c r="AC758" s="121"/>
      <c r="AD758" s="121"/>
      <c r="AE758" s="121"/>
      <c r="AF758" s="122"/>
      <c r="AG758" s="122"/>
      <c r="AH758" s="122"/>
      <c r="AI758" s="123"/>
      <c r="AJ758" s="89">
        <f>SUM(X758:AI758)</f>
        <v>0</v>
      </c>
      <c r="AK758" s="90">
        <f t="shared" ref="AK758:AK760" si="1350">SUM(X758:AF758)</f>
        <v>0</v>
      </c>
    </row>
    <row r="759" spans="1:38" ht="15.6" hidden="1" thickBot="1">
      <c r="A759" s="91"/>
      <c r="B759" s="85" t="s">
        <v>123</v>
      </c>
      <c r="C759" s="92" t="s">
        <v>124</v>
      </c>
      <c r="D759" s="93" t="s">
        <v>92</v>
      </c>
      <c r="E759" s="94"/>
      <c r="F759" s="97"/>
      <c r="G759" s="97"/>
      <c r="H759" s="97"/>
      <c r="I759" s="97"/>
      <c r="J759" s="97"/>
      <c r="K759" s="97"/>
      <c r="L759" s="97"/>
      <c r="M759" s="98"/>
      <c r="N759" s="98"/>
      <c r="O759" s="98"/>
      <c r="P759" s="99"/>
      <c r="Q759" s="95">
        <f>SUM(E759:P759)</f>
        <v>0</v>
      </c>
      <c r="R759" s="96">
        <f t="shared" si="1283"/>
        <v>0</v>
      </c>
      <c r="T759" s="91"/>
      <c r="U759" s="85" t="s">
        <v>123</v>
      </c>
      <c r="V759" s="92" t="str">
        <f>C759</f>
        <v>得意先名（英語）</v>
      </c>
      <c r="W759" s="93" t="s">
        <v>92</v>
      </c>
      <c r="X759" s="94"/>
      <c r="Y759" s="97"/>
      <c r="Z759" s="97"/>
      <c r="AA759" s="97"/>
      <c r="AB759" s="97"/>
      <c r="AC759" s="97"/>
      <c r="AD759" s="97"/>
      <c r="AE759" s="97"/>
      <c r="AF759" s="98"/>
      <c r="AG759" s="98"/>
      <c r="AH759" s="98"/>
      <c r="AI759" s="99"/>
      <c r="AJ759" s="95">
        <f>SUM(X759:AI759)</f>
        <v>0</v>
      </c>
      <c r="AK759" s="96">
        <f t="shared" si="1350"/>
        <v>0</v>
      </c>
    </row>
    <row r="760" spans="1:38" ht="15.6" hidden="1" thickBot="1">
      <c r="A760" s="91"/>
      <c r="B760" s="100"/>
      <c r="C760" s="92"/>
      <c r="D760" s="101">
        <v>2020</v>
      </c>
      <c r="E760" s="102"/>
      <c r="F760" s="124"/>
      <c r="G760" s="124"/>
      <c r="H760" s="124"/>
      <c r="I760" s="124"/>
      <c r="J760" s="124"/>
      <c r="K760" s="124"/>
      <c r="L760" s="124"/>
      <c r="M760" s="125"/>
      <c r="N760" s="125"/>
      <c r="O760" s="125"/>
      <c r="P760" s="126"/>
      <c r="Q760" s="103">
        <f>SUM(E760:P760)</f>
        <v>0</v>
      </c>
      <c r="R760" s="104">
        <f t="shared" si="1283"/>
        <v>0</v>
      </c>
      <c r="S760" s="105"/>
      <c r="T760" s="91"/>
      <c r="U760" s="100"/>
      <c r="V760" s="92"/>
      <c r="W760" s="101">
        <v>2020</v>
      </c>
      <c r="X760" s="102"/>
      <c r="Y760" s="124"/>
      <c r="Z760" s="124"/>
      <c r="AA760" s="124"/>
      <c r="AB760" s="124"/>
      <c r="AC760" s="124"/>
      <c r="AD760" s="124"/>
      <c r="AE760" s="124"/>
      <c r="AF760" s="125"/>
      <c r="AG760" s="125"/>
      <c r="AH760" s="125"/>
      <c r="AI760" s="126"/>
      <c r="AJ760" s="103">
        <f>SUM(X760:AI760)</f>
        <v>0</v>
      </c>
      <c r="AK760" s="104">
        <f t="shared" si="1350"/>
        <v>0</v>
      </c>
      <c r="AL760" s="105"/>
    </row>
    <row r="761" spans="1:38" ht="15.6" hidden="1" thickBot="1">
      <c r="A761" s="91"/>
      <c r="B761" s="100"/>
      <c r="C761" s="92"/>
      <c r="D761" s="101" t="s">
        <v>102</v>
      </c>
      <c r="E761" s="106" t="e">
        <f>E760/E759</f>
        <v>#DIV/0!</v>
      </c>
      <c r="F761" s="106" t="e">
        <f t="shared" ref="F761:R761" si="1351">F760/F759</f>
        <v>#DIV/0!</v>
      </c>
      <c r="G761" s="106" t="e">
        <f t="shared" si="1351"/>
        <v>#DIV/0!</v>
      </c>
      <c r="H761" s="106" t="e">
        <f t="shared" si="1351"/>
        <v>#DIV/0!</v>
      </c>
      <c r="I761" s="106" t="e">
        <f t="shared" si="1351"/>
        <v>#DIV/0!</v>
      </c>
      <c r="J761" s="106" t="e">
        <f t="shared" si="1351"/>
        <v>#DIV/0!</v>
      </c>
      <c r="K761" s="106" t="e">
        <f t="shared" si="1351"/>
        <v>#DIV/0!</v>
      </c>
      <c r="L761" s="106" t="e">
        <f t="shared" si="1351"/>
        <v>#DIV/0!</v>
      </c>
      <c r="M761" s="107" t="e">
        <f t="shared" si="1351"/>
        <v>#DIV/0!</v>
      </c>
      <c r="N761" s="107" t="e">
        <f t="shared" si="1351"/>
        <v>#DIV/0!</v>
      </c>
      <c r="O761" s="107" t="e">
        <f t="shared" si="1351"/>
        <v>#DIV/0!</v>
      </c>
      <c r="P761" s="108" t="e">
        <f t="shared" si="1351"/>
        <v>#DIV/0!</v>
      </c>
      <c r="Q761" s="109" t="e">
        <f t="shared" si="1351"/>
        <v>#DIV/0!</v>
      </c>
      <c r="R761" s="110" t="e">
        <f t="shared" si="1351"/>
        <v>#DIV/0!</v>
      </c>
      <c r="S761" s="105"/>
      <c r="T761" s="91"/>
      <c r="U761" s="100"/>
      <c r="V761" s="92"/>
      <c r="W761" s="101" t="s">
        <v>102</v>
      </c>
      <c r="X761" s="106" t="e">
        <f>X760/X759</f>
        <v>#DIV/0!</v>
      </c>
      <c r="Y761" s="106" t="e">
        <f t="shared" ref="Y761:AK761" si="1352">Y760/Y759</f>
        <v>#DIV/0!</v>
      </c>
      <c r="Z761" s="106" t="e">
        <f t="shared" si="1352"/>
        <v>#DIV/0!</v>
      </c>
      <c r="AA761" s="106" t="e">
        <f t="shared" si="1352"/>
        <v>#DIV/0!</v>
      </c>
      <c r="AB761" s="106" t="e">
        <f t="shared" si="1352"/>
        <v>#DIV/0!</v>
      </c>
      <c r="AC761" s="106" t="e">
        <f t="shared" si="1352"/>
        <v>#DIV/0!</v>
      </c>
      <c r="AD761" s="106" t="e">
        <f t="shared" si="1352"/>
        <v>#DIV/0!</v>
      </c>
      <c r="AE761" s="106" t="e">
        <f t="shared" si="1352"/>
        <v>#DIV/0!</v>
      </c>
      <c r="AF761" s="107" t="e">
        <f t="shared" si="1352"/>
        <v>#DIV/0!</v>
      </c>
      <c r="AG761" s="107" t="e">
        <f t="shared" si="1352"/>
        <v>#DIV/0!</v>
      </c>
      <c r="AH761" s="107" t="e">
        <f t="shared" si="1352"/>
        <v>#DIV/0!</v>
      </c>
      <c r="AI761" s="108" t="e">
        <f t="shared" si="1352"/>
        <v>#DIV/0!</v>
      </c>
      <c r="AJ761" s="109" t="e">
        <f t="shared" si="1352"/>
        <v>#DIV/0!</v>
      </c>
      <c r="AK761" s="110" t="e">
        <f t="shared" si="1352"/>
        <v>#DIV/0!</v>
      </c>
      <c r="AL761" s="105"/>
    </row>
    <row r="762" spans="1:38" ht="15.6" hidden="1" thickBot="1">
      <c r="A762" s="91"/>
      <c r="B762" s="100"/>
      <c r="C762" s="111"/>
      <c r="D762" s="112" t="s">
        <v>103</v>
      </c>
      <c r="E762" s="113" t="e">
        <f>E760/E758</f>
        <v>#DIV/0!</v>
      </c>
      <c r="F762" s="113" t="e">
        <f t="shared" ref="F762:R762" si="1353">F760/F758</f>
        <v>#DIV/0!</v>
      </c>
      <c r="G762" s="113" t="e">
        <f t="shared" si="1353"/>
        <v>#DIV/0!</v>
      </c>
      <c r="H762" s="113" t="e">
        <f t="shared" si="1353"/>
        <v>#DIV/0!</v>
      </c>
      <c r="I762" s="113" t="e">
        <f t="shared" si="1353"/>
        <v>#DIV/0!</v>
      </c>
      <c r="J762" s="113" t="e">
        <f t="shared" si="1353"/>
        <v>#DIV/0!</v>
      </c>
      <c r="K762" s="113" t="e">
        <f t="shared" si="1353"/>
        <v>#DIV/0!</v>
      </c>
      <c r="L762" s="113" t="e">
        <f t="shared" si="1353"/>
        <v>#DIV/0!</v>
      </c>
      <c r="M762" s="113" t="e">
        <f t="shared" si="1353"/>
        <v>#DIV/0!</v>
      </c>
      <c r="N762" s="113" t="e">
        <f t="shared" si="1353"/>
        <v>#DIV/0!</v>
      </c>
      <c r="O762" s="113" t="e">
        <f t="shared" si="1353"/>
        <v>#DIV/0!</v>
      </c>
      <c r="P762" s="114" t="e">
        <f t="shared" si="1353"/>
        <v>#DIV/0!</v>
      </c>
      <c r="Q762" s="115" t="e">
        <f t="shared" si="1353"/>
        <v>#DIV/0!</v>
      </c>
      <c r="R762" s="116" t="e">
        <f t="shared" si="1353"/>
        <v>#DIV/0!</v>
      </c>
      <c r="T762" s="91"/>
      <c r="U762" s="100"/>
      <c r="V762" s="111"/>
      <c r="W762" s="112" t="s">
        <v>103</v>
      </c>
      <c r="X762" s="113" t="e">
        <f>X760/X758</f>
        <v>#DIV/0!</v>
      </c>
      <c r="Y762" s="113" t="e">
        <f t="shared" ref="Y762:AK762" si="1354">Y760/Y758</f>
        <v>#DIV/0!</v>
      </c>
      <c r="Z762" s="113" t="e">
        <f t="shared" si="1354"/>
        <v>#DIV/0!</v>
      </c>
      <c r="AA762" s="113" t="e">
        <f t="shared" si="1354"/>
        <v>#DIV/0!</v>
      </c>
      <c r="AB762" s="113" t="e">
        <f t="shared" si="1354"/>
        <v>#DIV/0!</v>
      </c>
      <c r="AC762" s="113" t="e">
        <f t="shared" si="1354"/>
        <v>#DIV/0!</v>
      </c>
      <c r="AD762" s="113" t="e">
        <f t="shared" si="1354"/>
        <v>#DIV/0!</v>
      </c>
      <c r="AE762" s="113" t="e">
        <f t="shared" si="1354"/>
        <v>#DIV/0!</v>
      </c>
      <c r="AF762" s="113" t="e">
        <f t="shared" si="1354"/>
        <v>#DIV/0!</v>
      </c>
      <c r="AG762" s="113" t="e">
        <f t="shared" si="1354"/>
        <v>#DIV/0!</v>
      </c>
      <c r="AH762" s="113" t="e">
        <f t="shared" si="1354"/>
        <v>#DIV/0!</v>
      </c>
      <c r="AI762" s="114" t="e">
        <f t="shared" si="1354"/>
        <v>#DIV/0!</v>
      </c>
      <c r="AJ762" s="115" t="e">
        <f t="shared" si="1354"/>
        <v>#DIV/0!</v>
      </c>
      <c r="AK762" s="116" t="e">
        <f t="shared" si="1354"/>
        <v>#DIV/0!</v>
      </c>
    </row>
    <row r="763" spans="1:38" ht="15.6" hidden="1" thickBot="1">
      <c r="A763" s="91"/>
      <c r="B763" s="164" t="s">
        <v>125</v>
      </c>
      <c r="C763" s="86"/>
      <c r="D763" s="87">
        <v>2019</v>
      </c>
      <c r="E763" s="88"/>
      <c r="F763" s="121"/>
      <c r="G763" s="121"/>
      <c r="H763" s="121"/>
      <c r="I763" s="121"/>
      <c r="J763" s="121"/>
      <c r="K763" s="121"/>
      <c r="L763" s="121"/>
      <c r="M763" s="122"/>
      <c r="N763" s="122"/>
      <c r="O763" s="122"/>
      <c r="P763" s="123"/>
      <c r="Q763" s="89">
        <f t="shared" ref="Q763:Q765" si="1355">SUM(E763:P763)</f>
        <v>0</v>
      </c>
      <c r="R763" s="90">
        <f t="shared" ref="R763" si="1356">SUM(E763:M763)</f>
        <v>0</v>
      </c>
      <c r="T763" s="91"/>
      <c r="U763" s="164" t="s">
        <v>125</v>
      </c>
      <c r="V763" s="86">
        <f t="shared" ref="V763:V764" si="1357">C763</f>
        <v>0</v>
      </c>
      <c r="W763" s="87">
        <v>2019</v>
      </c>
      <c r="X763" s="88"/>
      <c r="Y763" s="121"/>
      <c r="Z763" s="121"/>
      <c r="AA763" s="121"/>
      <c r="AB763" s="121"/>
      <c r="AC763" s="121"/>
      <c r="AD763" s="121"/>
      <c r="AE763" s="121"/>
      <c r="AF763" s="122"/>
      <c r="AG763" s="122"/>
      <c r="AH763" s="122"/>
      <c r="AI763" s="123"/>
      <c r="AJ763" s="89">
        <f t="shared" ref="AJ763:AJ765" si="1358">SUM(X763:AI763)</f>
        <v>0</v>
      </c>
      <c r="AK763" s="90">
        <f t="shared" ref="AK763:AK765" si="1359">SUM(X763:AF763)</f>
        <v>0</v>
      </c>
    </row>
    <row r="764" spans="1:38" ht="15.6" hidden="1" thickBot="1">
      <c r="A764" s="91"/>
      <c r="B764" s="164" t="s">
        <v>126</v>
      </c>
      <c r="C764" s="92"/>
      <c r="D764" s="93" t="s">
        <v>92</v>
      </c>
      <c r="E764" s="94"/>
      <c r="F764" s="97"/>
      <c r="G764" s="97"/>
      <c r="H764" s="97"/>
      <c r="I764" s="97"/>
      <c r="J764" s="97"/>
      <c r="K764" s="97"/>
      <c r="L764" s="97"/>
      <c r="M764" s="98"/>
      <c r="N764" s="98"/>
      <c r="O764" s="98"/>
      <c r="P764" s="99"/>
      <c r="Q764" s="95">
        <f t="shared" si="1355"/>
        <v>0</v>
      </c>
      <c r="R764" s="96">
        <f t="shared" si="1283"/>
        <v>0</v>
      </c>
      <c r="T764" s="91"/>
      <c r="U764" s="164" t="s">
        <v>126</v>
      </c>
      <c r="V764" s="92">
        <f t="shared" si="1357"/>
        <v>0</v>
      </c>
      <c r="W764" s="93" t="s">
        <v>92</v>
      </c>
      <c r="X764" s="94"/>
      <c r="Y764" s="97"/>
      <c r="Z764" s="97"/>
      <c r="AA764" s="97"/>
      <c r="AB764" s="97"/>
      <c r="AC764" s="97"/>
      <c r="AD764" s="97"/>
      <c r="AE764" s="97"/>
      <c r="AF764" s="98"/>
      <c r="AG764" s="98"/>
      <c r="AH764" s="98"/>
      <c r="AI764" s="99"/>
      <c r="AJ764" s="95">
        <f t="shared" si="1358"/>
        <v>0</v>
      </c>
      <c r="AK764" s="96">
        <f t="shared" si="1359"/>
        <v>0</v>
      </c>
    </row>
    <row r="765" spans="1:38" ht="15.6" hidden="1" thickBot="1">
      <c r="A765" s="91"/>
      <c r="B765" s="164" t="s">
        <v>127</v>
      </c>
      <c r="C765" s="92"/>
      <c r="D765" s="101">
        <v>2020</v>
      </c>
      <c r="E765" s="102"/>
      <c r="F765" s="124"/>
      <c r="G765" s="124"/>
      <c r="H765" s="124"/>
      <c r="I765" s="124"/>
      <c r="J765" s="124"/>
      <c r="K765" s="124"/>
      <c r="L765" s="124"/>
      <c r="M765" s="125"/>
      <c r="N765" s="125"/>
      <c r="O765" s="125"/>
      <c r="P765" s="126"/>
      <c r="Q765" s="103">
        <f t="shared" si="1355"/>
        <v>0</v>
      </c>
      <c r="R765" s="104">
        <f t="shared" si="1283"/>
        <v>0</v>
      </c>
      <c r="S765" s="105"/>
      <c r="T765" s="91"/>
      <c r="U765" s="164" t="s">
        <v>127</v>
      </c>
      <c r="V765" s="92"/>
      <c r="W765" s="101">
        <v>2020</v>
      </c>
      <c r="X765" s="102"/>
      <c r="Y765" s="124"/>
      <c r="Z765" s="124"/>
      <c r="AA765" s="124"/>
      <c r="AB765" s="124"/>
      <c r="AC765" s="124"/>
      <c r="AD765" s="124"/>
      <c r="AE765" s="124"/>
      <c r="AF765" s="125"/>
      <c r="AG765" s="125"/>
      <c r="AH765" s="125"/>
      <c r="AI765" s="126"/>
      <c r="AJ765" s="103">
        <f t="shared" si="1358"/>
        <v>0</v>
      </c>
      <c r="AK765" s="104">
        <f t="shared" si="1359"/>
        <v>0</v>
      </c>
      <c r="AL765" s="105"/>
    </row>
    <row r="766" spans="1:38" ht="15.6" hidden="1" thickBot="1">
      <c r="A766" s="91"/>
      <c r="B766" s="164" t="s">
        <v>128</v>
      </c>
      <c r="C766" s="92"/>
      <c r="D766" s="101" t="s">
        <v>102</v>
      </c>
      <c r="E766" s="106" t="e">
        <f t="shared" ref="E766:R766" si="1360">E765/E764</f>
        <v>#DIV/0!</v>
      </c>
      <c r="F766" s="106" t="e">
        <f t="shared" si="1360"/>
        <v>#DIV/0!</v>
      </c>
      <c r="G766" s="106" t="e">
        <f t="shared" si="1360"/>
        <v>#DIV/0!</v>
      </c>
      <c r="H766" s="106" t="e">
        <f t="shared" si="1360"/>
        <v>#DIV/0!</v>
      </c>
      <c r="I766" s="106" t="e">
        <f t="shared" si="1360"/>
        <v>#DIV/0!</v>
      </c>
      <c r="J766" s="106" t="e">
        <f t="shared" si="1360"/>
        <v>#DIV/0!</v>
      </c>
      <c r="K766" s="106" t="e">
        <f t="shared" si="1360"/>
        <v>#DIV/0!</v>
      </c>
      <c r="L766" s="106" t="e">
        <f t="shared" si="1360"/>
        <v>#DIV/0!</v>
      </c>
      <c r="M766" s="107" t="e">
        <f t="shared" si="1360"/>
        <v>#DIV/0!</v>
      </c>
      <c r="N766" s="107" t="e">
        <f t="shared" si="1360"/>
        <v>#DIV/0!</v>
      </c>
      <c r="O766" s="107" t="e">
        <f t="shared" si="1360"/>
        <v>#DIV/0!</v>
      </c>
      <c r="P766" s="108" t="e">
        <f t="shared" si="1360"/>
        <v>#DIV/0!</v>
      </c>
      <c r="Q766" s="109" t="e">
        <f t="shared" si="1360"/>
        <v>#DIV/0!</v>
      </c>
      <c r="R766" s="110" t="e">
        <f t="shared" si="1360"/>
        <v>#DIV/0!</v>
      </c>
      <c r="S766" s="105"/>
      <c r="T766" s="91"/>
      <c r="U766" s="164" t="s">
        <v>128</v>
      </c>
      <c r="V766" s="92"/>
      <c r="W766" s="101" t="s">
        <v>102</v>
      </c>
      <c r="X766" s="106" t="e">
        <f t="shared" ref="X766:AK766" si="1361">X765/X764</f>
        <v>#DIV/0!</v>
      </c>
      <c r="Y766" s="106" t="e">
        <f t="shared" si="1361"/>
        <v>#DIV/0!</v>
      </c>
      <c r="Z766" s="106" t="e">
        <f t="shared" si="1361"/>
        <v>#DIV/0!</v>
      </c>
      <c r="AA766" s="106" t="e">
        <f t="shared" si="1361"/>
        <v>#DIV/0!</v>
      </c>
      <c r="AB766" s="106" t="e">
        <f t="shared" si="1361"/>
        <v>#DIV/0!</v>
      </c>
      <c r="AC766" s="106" t="e">
        <f t="shared" si="1361"/>
        <v>#DIV/0!</v>
      </c>
      <c r="AD766" s="106" t="e">
        <f t="shared" si="1361"/>
        <v>#DIV/0!</v>
      </c>
      <c r="AE766" s="106" t="e">
        <f t="shared" si="1361"/>
        <v>#DIV/0!</v>
      </c>
      <c r="AF766" s="107" t="e">
        <f t="shared" si="1361"/>
        <v>#DIV/0!</v>
      </c>
      <c r="AG766" s="107" t="e">
        <f t="shared" si="1361"/>
        <v>#DIV/0!</v>
      </c>
      <c r="AH766" s="107" t="e">
        <f t="shared" si="1361"/>
        <v>#DIV/0!</v>
      </c>
      <c r="AI766" s="108" t="e">
        <f t="shared" si="1361"/>
        <v>#DIV/0!</v>
      </c>
      <c r="AJ766" s="109" t="e">
        <f t="shared" si="1361"/>
        <v>#DIV/0!</v>
      </c>
      <c r="AK766" s="110" t="e">
        <f t="shared" si="1361"/>
        <v>#DIV/0!</v>
      </c>
      <c r="AL766" s="105"/>
    </row>
    <row r="767" spans="1:38" ht="15.6" hidden="1" thickBot="1">
      <c r="A767" s="91"/>
      <c r="B767" s="100"/>
      <c r="C767" s="111"/>
      <c r="D767" s="112" t="s">
        <v>103</v>
      </c>
      <c r="E767" s="113" t="e">
        <f t="shared" ref="E767:R767" si="1362">E765/E763</f>
        <v>#DIV/0!</v>
      </c>
      <c r="F767" s="113" t="e">
        <f t="shared" si="1362"/>
        <v>#DIV/0!</v>
      </c>
      <c r="G767" s="113" t="e">
        <f t="shared" si="1362"/>
        <v>#DIV/0!</v>
      </c>
      <c r="H767" s="113" t="e">
        <f t="shared" si="1362"/>
        <v>#DIV/0!</v>
      </c>
      <c r="I767" s="113" t="e">
        <f t="shared" si="1362"/>
        <v>#DIV/0!</v>
      </c>
      <c r="J767" s="113" t="e">
        <f t="shared" si="1362"/>
        <v>#DIV/0!</v>
      </c>
      <c r="K767" s="113" t="e">
        <f t="shared" si="1362"/>
        <v>#DIV/0!</v>
      </c>
      <c r="L767" s="113" t="e">
        <f t="shared" si="1362"/>
        <v>#DIV/0!</v>
      </c>
      <c r="M767" s="113" t="e">
        <f t="shared" si="1362"/>
        <v>#DIV/0!</v>
      </c>
      <c r="N767" s="113" t="e">
        <f t="shared" si="1362"/>
        <v>#DIV/0!</v>
      </c>
      <c r="O767" s="113" t="e">
        <f t="shared" si="1362"/>
        <v>#DIV/0!</v>
      </c>
      <c r="P767" s="114" t="e">
        <f t="shared" si="1362"/>
        <v>#DIV/0!</v>
      </c>
      <c r="Q767" s="115" t="e">
        <f t="shared" si="1362"/>
        <v>#DIV/0!</v>
      </c>
      <c r="R767" s="116" t="e">
        <f t="shared" si="1362"/>
        <v>#DIV/0!</v>
      </c>
      <c r="T767" s="91"/>
      <c r="U767" s="100"/>
      <c r="V767" s="111"/>
      <c r="W767" s="112" t="s">
        <v>103</v>
      </c>
      <c r="X767" s="113" t="e">
        <f t="shared" ref="X767:AK767" si="1363">X765/X763</f>
        <v>#DIV/0!</v>
      </c>
      <c r="Y767" s="113" t="e">
        <f t="shared" si="1363"/>
        <v>#DIV/0!</v>
      </c>
      <c r="Z767" s="113" t="e">
        <f t="shared" si="1363"/>
        <v>#DIV/0!</v>
      </c>
      <c r="AA767" s="113" t="e">
        <f t="shared" si="1363"/>
        <v>#DIV/0!</v>
      </c>
      <c r="AB767" s="113" t="e">
        <f t="shared" si="1363"/>
        <v>#DIV/0!</v>
      </c>
      <c r="AC767" s="113" t="e">
        <f t="shared" si="1363"/>
        <v>#DIV/0!</v>
      </c>
      <c r="AD767" s="113" t="e">
        <f t="shared" si="1363"/>
        <v>#DIV/0!</v>
      </c>
      <c r="AE767" s="113" t="e">
        <f t="shared" si="1363"/>
        <v>#DIV/0!</v>
      </c>
      <c r="AF767" s="113" t="e">
        <f t="shared" si="1363"/>
        <v>#DIV/0!</v>
      </c>
      <c r="AG767" s="113" t="e">
        <f t="shared" si="1363"/>
        <v>#DIV/0!</v>
      </c>
      <c r="AH767" s="113" t="e">
        <f t="shared" si="1363"/>
        <v>#DIV/0!</v>
      </c>
      <c r="AI767" s="114" t="e">
        <f t="shared" si="1363"/>
        <v>#DIV/0!</v>
      </c>
      <c r="AJ767" s="115" t="e">
        <f t="shared" si="1363"/>
        <v>#DIV/0!</v>
      </c>
      <c r="AK767" s="116" t="e">
        <f t="shared" si="1363"/>
        <v>#DIV/0!</v>
      </c>
    </row>
    <row r="768" spans="1:38" ht="15.6" hidden="1" thickBot="1">
      <c r="A768" s="91"/>
      <c r="B768" s="100"/>
      <c r="C768" s="86"/>
      <c r="D768" s="87">
        <v>2019</v>
      </c>
      <c r="E768" s="88"/>
      <c r="F768" s="121"/>
      <c r="G768" s="121"/>
      <c r="H768" s="121"/>
      <c r="I768" s="121"/>
      <c r="J768" s="121"/>
      <c r="K768" s="121"/>
      <c r="L768" s="121"/>
      <c r="M768" s="122"/>
      <c r="N768" s="122"/>
      <c r="O768" s="122"/>
      <c r="P768" s="123"/>
      <c r="Q768" s="89">
        <f t="shared" ref="Q768:Q770" si="1364">SUM(E768:P768)</f>
        <v>0</v>
      </c>
      <c r="R768" s="90">
        <f t="shared" ref="R768" si="1365">SUM(E768:M768)</f>
        <v>0</v>
      </c>
      <c r="T768" s="91"/>
      <c r="U768" s="100"/>
      <c r="V768" s="86">
        <f t="shared" ref="V768:V769" si="1366">C768</f>
        <v>0</v>
      </c>
      <c r="W768" s="87">
        <v>2019</v>
      </c>
      <c r="X768" s="88"/>
      <c r="Y768" s="121"/>
      <c r="Z768" s="121"/>
      <c r="AA768" s="121"/>
      <c r="AB768" s="121"/>
      <c r="AC768" s="121"/>
      <c r="AD768" s="121"/>
      <c r="AE768" s="121"/>
      <c r="AF768" s="122"/>
      <c r="AG768" s="122"/>
      <c r="AH768" s="122"/>
      <c r="AI768" s="123"/>
      <c r="AJ768" s="89">
        <f t="shared" ref="AJ768:AJ770" si="1367">SUM(X768:AI768)</f>
        <v>0</v>
      </c>
      <c r="AK768" s="90">
        <f t="shared" ref="AK768:AK770" si="1368">SUM(X768:AF768)</f>
        <v>0</v>
      </c>
    </row>
    <row r="769" spans="1:38" ht="15.6" hidden="1" thickBot="1">
      <c r="A769" s="91"/>
      <c r="B769" s="100"/>
      <c r="C769" s="92"/>
      <c r="D769" s="93" t="s">
        <v>92</v>
      </c>
      <c r="E769" s="94"/>
      <c r="F769" s="97"/>
      <c r="G769" s="97"/>
      <c r="H769" s="97"/>
      <c r="I769" s="97"/>
      <c r="J769" s="97"/>
      <c r="K769" s="97"/>
      <c r="L769" s="97"/>
      <c r="M769" s="98"/>
      <c r="N769" s="98"/>
      <c r="O769" s="98"/>
      <c r="P769" s="99"/>
      <c r="Q769" s="95">
        <f t="shared" si="1364"/>
        <v>0</v>
      </c>
      <c r="R769" s="96">
        <f t="shared" si="1283"/>
        <v>0</v>
      </c>
      <c r="T769" s="91"/>
      <c r="U769" s="100"/>
      <c r="V769" s="92">
        <f t="shared" si="1366"/>
        <v>0</v>
      </c>
      <c r="W769" s="93" t="s">
        <v>92</v>
      </c>
      <c r="X769" s="94"/>
      <c r="Y769" s="97"/>
      <c r="Z769" s="97"/>
      <c r="AA769" s="97"/>
      <c r="AB769" s="97"/>
      <c r="AC769" s="97"/>
      <c r="AD769" s="97"/>
      <c r="AE769" s="97"/>
      <c r="AF769" s="98"/>
      <c r="AG769" s="98"/>
      <c r="AH769" s="98"/>
      <c r="AI769" s="99"/>
      <c r="AJ769" s="95">
        <f t="shared" si="1367"/>
        <v>0</v>
      </c>
      <c r="AK769" s="96">
        <f t="shared" si="1368"/>
        <v>0</v>
      </c>
    </row>
    <row r="770" spans="1:38" ht="15.6" hidden="1" thickBot="1">
      <c r="A770" s="91"/>
      <c r="B770" s="100"/>
      <c r="C770" s="92"/>
      <c r="D770" s="101">
        <v>2020</v>
      </c>
      <c r="E770" s="102"/>
      <c r="F770" s="124"/>
      <c r="G770" s="124"/>
      <c r="H770" s="124"/>
      <c r="I770" s="124"/>
      <c r="J770" s="124"/>
      <c r="K770" s="124"/>
      <c r="L770" s="124"/>
      <c r="M770" s="125"/>
      <c r="N770" s="125"/>
      <c r="O770" s="125"/>
      <c r="P770" s="126"/>
      <c r="Q770" s="103">
        <f t="shared" si="1364"/>
        <v>0</v>
      </c>
      <c r="R770" s="104">
        <f t="shared" si="1283"/>
        <v>0</v>
      </c>
      <c r="S770" s="105"/>
      <c r="T770" s="91"/>
      <c r="U770" s="100"/>
      <c r="V770" s="92"/>
      <c r="W770" s="101">
        <v>2020</v>
      </c>
      <c r="X770" s="102"/>
      <c r="Y770" s="124"/>
      <c r="Z770" s="124"/>
      <c r="AA770" s="124"/>
      <c r="AB770" s="124"/>
      <c r="AC770" s="124"/>
      <c r="AD770" s="124"/>
      <c r="AE770" s="124"/>
      <c r="AF770" s="125"/>
      <c r="AG770" s="125"/>
      <c r="AH770" s="125"/>
      <c r="AI770" s="126"/>
      <c r="AJ770" s="103">
        <f t="shared" si="1367"/>
        <v>0</v>
      </c>
      <c r="AK770" s="104">
        <f t="shared" si="1368"/>
        <v>0</v>
      </c>
      <c r="AL770" s="105"/>
    </row>
    <row r="771" spans="1:38" ht="15.6" hidden="1" thickBot="1">
      <c r="A771" s="91"/>
      <c r="B771" s="100"/>
      <c r="C771" s="92"/>
      <c r="D771" s="101" t="s">
        <v>102</v>
      </c>
      <c r="E771" s="106" t="e">
        <f t="shared" ref="E771:R771" si="1369">E770/E769</f>
        <v>#DIV/0!</v>
      </c>
      <c r="F771" s="106" t="e">
        <f t="shared" si="1369"/>
        <v>#DIV/0!</v>
      </c>
      <c r="G771" s="106" t="e">
        <f t="shared" si="1369"/>
        <v>#DIV/0!</v>
      </c>
      <c r="H771" s="106" t="e">
        <f t="shared" si="1369"/>
        <v>#DIV/0!</v>
      </c>
      <c r="I771" s="106" t="e">
        <f t="shared" si="1369"/>
        <v>#DIV/0!</v>
      </c>
      <c r="J771" s="106" t="e">
        <f t="shared" si="1369"/>
        <v>#DIV/0!</v>
      </c>
      <c r="K771" s="106" t="e">
        <f t="shared" si="1369"/>
        <v>#DIV/0!</v>
      </c>
      <c r="L771" s="106" t="e">
        <f t="shared" si="1369"/>
        <v>#DIV/0!</v>
      </c>
      <c r="M771" s="107" t="e">
        <f t="shared" si="1369"/>
        <v>#DIV/0!</v>
      </c>
      <c r="N771" s="107" t="e">
        <f t="shared" si="1369"/>
        <v>#DIV/0!</v>
      </c>
      <c r="O771" s="107" t="e">
        <f t="shared" si="1369"/>
        <v>#DIV/0!</v>
      </c>
      <c r="P771" s="108" t="e">
        <f t="shared" si="1369"/>
        <v>#DIV/0!</v>
      </c>
      <c r="Q771" s="109" t="e">
        <f t="shared" si="1369"/>
        <v>#DIV/0!</v>
      </c>
      <c r="R771" s="110" t="e">
        <f t="shared" si="1369"/>
        <v>#DIV/0!</v>
      </c>
      <c r="S771" s="105"/>
      <c r="T771" s="91"/>
      <c r="U771" s="100"/>
      <c r="V771" s="92"/>
      <c r="W771" s="101" t="s">
        <v>102</v>
      </c>
      <c r="X771" s="106" t="e">
        <f t="shared" ref="X771:AK771" si="1370">X770/X769</f>
        <v>#DIV/0!</v>
      </c>
      <c r="Y771" s="106" t="e">
        <f t="shared" si="1370"/>
        <v>#DIV/0!</v>
      </c>
      <c r="Z771" s="106" t="e">
        <f t="shared" si="1370"/>
        <v>#DIV/0!</v>
      </c>
      <c r="AA771" s="106" t="e">
        <f t="shared" si="1370"/>
        <v>#DIV/0!</v>
      </c>
      <c r="AB771" s="106" t="e">
        <f t="shared" si="1370"/>
        <v>#DIV/0!</v>
      </c>
      <c r="AC771" s="106" t="e">
        <f t="shared" si="1370"/>
        <v>#DIV/0!</v>
      </c>
      <c r="AD771" s="106" t="e">
        <f t="shared" si="1370"/>
        <v>#DIV/0!</v>
      </c>
      <c r="AE771" s="106" t="e">
        <f t="shared" si="1370"/>
        <v>#DIV/0!</v>
      </c>
      <c r="AF771" s="107" t="e">
        <f t="shared" si="1370"/>
        <v>#DIV/0!</v>
      </c>
      <c r="AG771" s="107" t="e">
        <f t="shared" si="1370"/>
        <v>#DIV/0!</v>
      </c>
      <c r="AH771" s="107" t="e">
        <f t="shared" si="1370"/>
        <v>#DIV/0!</v>
      </c>
      <c r="AI771" s="108" t="e">
        <f t="shared" si="1370"/>
        <v>#DIV/0!</v>
      </c>
      <c r="AJ771" s="109" t="e">
        <f t="shared" si="1370"/>
        <v>#DIV/0!</v>
      </c>
      <c r="AK771" s="110" t="e">
        <f t="shared" si="1370"/>
        <v>#DIV/0!</v>
      </c>
      <c r="AL771" s="105"/>
    </row>
    <row r="772" spans="1:38" ht="15.6" hidden="1" thickBot="1">
      <c r="A772" s="91"/>
      <c r="B772" s="100"/>
      <c r="C772" s="111"/>
      <c r="D772" s="112" t="s">
        <v>103</v>
      </c>
      <c r="E772" s="113" t="e">
        <f t="shared" ref="E772:R772" si="1371">E770/E768</f>
        <v>#DIV/0!</v>
      </c>
      <c r="F772" s="113" t="e">
        <f t="shared" si="1371"/>
        <v>#DIV/0!</v>
      </c>
      <c r="G772" s="113" t="e">
        <f t="shared" si="1371"/>
        <v>#DIV/0!</v>
      </c>
      <c r="H772" s="113" t="e">
        <f t="shared" si="1371"/>
        <v>#DIV/0!</v>
      </c>
      <c r="I772" s="113" t="e">
        <f t="shared" si="1371"/>
        <v>#DIV/0!</v>
      </c>
      <c r="J772" s="113" t="e">
        <f t="shared" si="1371"/>
        <v>#DIV/0!</v>
      </c>
      <c r="K772" s="113" t="e">
        <f t="shared" si="1371"/>
        <v>#DIV/0!</v>
      </c>
      <c r="L772" s="113" t="e">
        <f t="shared" si="1371"/>
        <v>#DIV/0!</v>
      </c>
      <c r="M772" s="113" t="e">
        <f t="shared" si="1371"/>
        <v>#DIV/0!</v>
      </c>
      <c r="N772" s="113" t="e">
        <f t="shared" si="1371"/>
        <v>#DIV/0!</v>
      </c>
      <c r="O772" s="113" t="e">
        <f t="shared" si="1371"/>
        <v>#DIV/0!</v>
      </c>
      <c r="P772" s="114" t="e">
        <f t="shared" si="1371"/>
        <v>#DIV/0!</v>
      </c>
      <c r="Q772" s="115" t="e">
        <f t="shared" si="1371"/>
        <v>#DIV/0!</v>
      </c>
      <c r="R772" s="116" t="e">
        <f t="shared" si="1371"/>
        <v>#DIV/0!</v>
      </c>
      <c r="T772" s="91"/>
      <c r="U772" s="100"/>
      <c r="V772" s="111"/>
      <c r="W772" s="112" t="s">
        <v>103</v>
      </c>
      <c r="X772" s="113" t="e">
        <f t="shared" ref="X772:AK772" si="1372">X770/X768</f>
        <v>#DIV/0!</v>
      </c>
      <c r="Y772" s="113" t="e">
        <f t="shared" si="1372"/>
        <v>#DIV/0!</v>
      </c>
      <c r="Z772" s="113" t="e">
        <f t="shared" si="1372"/>
        <v>#DIV/0!</v>
      </c>
      <c r="AA772" s="113" t="e">
        <f t="shared" si="1372"/>
        <v>#DIV/0!</v>
      </c>
      <c r="AB772" s="113" t="e">
        <f t="shared" si="1372"/>
        <v>#DIV/0!</v>
      </c>
      <c r="AC772" s="113" t="e">
        <f t="shared" si="1372"/>
        <v>#DIV/0!</v>
      </c>
      <c r="AD772" s="113" t="e">
        <f t="shared" si="1372"/>
        <v>#DIV/0!</v>
      </c>
      <c r="AE772" s="113" t="e">
        <f t="shared" si="1372"/>
        <v>#DIV/0!</v>
      </c>
      <c r="AF772" s="113" t="e">
        <f t="shared" si="1372"/>
        <v>#DIV/0!</v>
      </c>
      <c r="AG772" s="113" t="e">
        <f t="shared" si="1372"/>
        <v>#DIV/0!</v>
      </c>
      <c r="AH772" s="113" t="e">
        <f t="shared" si="1372"/>
        <v>#DIV/0!</v>
      </c>
      <c r="AI772" s="114" t="e">
        <f t="shared" si="1372"/>
        <v>#DIV/0!</v>
      </c>
      <c r="AJ772" s="115" t="e">
        <f t="shared" si="1372"/>
        <v>#DIV/0!</v>
      </c>
      <c r="AK772" s="116" t="e">
        <f t="shared" si="1372"/>
        <v>#DIV/0!</v>
      </c>
    </row>
    <row r="773" spans="1:38" ht="15.6" hidden="1" thickBot="1">
      <c r="A773" s="91"/>
      <c r="B773" s="100"/>
      <c r="C773" s="86"/>
      <c r="D773" s="87">
        <v>2019</v>
      </c>
      <c r="E773" s="88"/>
      <c r="F773" s="121"/>
      <c r="G773" s="121"/>
      <c r="H773" s="121"/>
      <c r="I773" s="121"/>
      <c r="J773" s="121"/>
      <c r="K773" s="121"/>
      <c r="L773" s="121"/>
      <c r="M773" s="122"/>
      <c r="N773" s="122"/>
      <c r="O773" s="122"/>
      <c r="P773" s="123"/>
      <c r="Q773" s="89">
        <f t="shared" ref="Q773:Q775" si="1373">SUM(E773:P773)</f>
        <v>0</v>
      </c>
      <c r="R773" s="90">
        <f t="shared" ref="R773" si="1374">SUM(E773:M773)</f>
        <v>0</v>
      </c>
      <c r="T773" s="91"/>
      <c r="U773" s="100"/>
      <c r="V773" s="86">
        <f t="shared" ref="V773:V774" si="1375">C773</f>
        <v>0</v>
      </c>
      <c r="W773" s="87">
        <v>2019</v>
      </c>
      <c r="X773" s="88"/>
      <c r="Y773" s="121"/>
      <c r="Z773" s="121"/>
      <c r="AA773" s="121"/>
      <c r="AB773" s="121"/>
      <c r="AC773" s="121"/>
      <c r="AD773" s="121"/>
      <c r="AE773" s="121"/>
      <c r="AF773" s="122"/>
      <c r="AG773" s="122"/>
      <c r="AH773" s="122"/>
      <c r="AI773" s="123"/>
      <c r="AJ773" s="89">
        <f t="shared" ref="AJ773:AJ775" si="1376">SUM(X773:AI773)</f>
        <v>0</v>
      </c>
      <c r="AK773" s="90">
        <f t="shared" ref="AK773:AK775" si="1377">SUM(X773:AF773)</f>
        <v>0</v>
      </c>
    </row>
    <row r="774" spans="1:38" ht="15.6" hidden="1" thickBot="1">
      <c r="A774" s="91"/>
      <c r="B774" s="100"/>
      <c r="C774" s="92"/>
      <c r="D774" s="93" t="s">
        <v>92</v>
      </c>
      <c r="E774" s="94"/>
      <c r="F774" s="97"/>
      <c r="G774" s="97"/>
      <c r="H774" s="97"/>
      <c r="I774" s="97"/>
      <c r="J774" s="97"/>
      <c r="K774" s="97"/>
      <c r="L774" s="97"/>
      <c r="M774" s="98"/>
      <c r="N774" s="98"/>
      <c r="O774" s="98"/>
      <c r="P774" s="99"/>
      <c r="Q774" s="95">
        <f t="shared" si="1373"/>
        <v>0</v>
      </c>
      <c r="R774" s="96">
        <f t="shared" si="1283"/>
        <v>0</v>
      </c>
      <c r="T774" s="91"/>
      <c r="U774" s="100"/>
      <c r="V774" s="92">
        <f t="shared" si="1375"/>
        <v>0</v>
      </c>
      <c r="W774" s="93" t="s">
        <v>92</v>
      </c>
      <c r="X774" s="94"/>
      <c r="Y774" s="97"/>
      <c r="Z774" s="97"/>
      <c r="AA774" s="97"/>
      <c r="AB774" s="97"/>
      <c r="AC774" s="97"/>
      <c r="AD774" s="97"/>
      <c r="AE774" s="97"/>
      <c r="AF774" s="98"/>
      <c r="AG774" s="98"/>
      <c r="AH774" s="98"/>
      <c r="AI774" s="99"/>
      <c r="AJ774" s="95">
        <f t="shared" si="1376"/>
        <v>0</v>
      </c>
      <c r="AK774" s="96">
        <f t="shared" si="1377"/>
        <v>0</v>
      </c>
    </row>
    <row r="775" spans="1:38" ht="15.6" hidden="1" thickBot="1">
      <c r="A775" s="91"/>
      <c r="B775" s="100"/>
      <c r="C775" s="92"/>
      <c r="D775" s="101">
        <v>2020</v>
      </c>
      <c r="E775" s="102"/>
      <c r="F775" s="124"/>
      <c r="G775" s="124"/>
      <c r="H775" s="124"/>
      <c r="I775" s="124"/>
      <c r="J775" s="124"/>
      <c r="K775" s="124"/>
      <c r="L775" s="124"/>
      <c r="M775" s="125"/>
      <c r="N775" s="125"/>
      <c r="O775" s="125"/>
      <c r="P775" s="126"/>
      <c r="Q775" s="103">
        <f t="shared" si="1373"/>
        <v>0</v>
      </c>
      <c r="R775" s="104">
        <f t="shared" si="1283"/>
        <v>0</v>
      </c>
      <c r="S775" s="105"/>
      <c r="T775" s="91"/>
      <c r="U775" s="100"/>
      <c r="V775" s="92"/>
      <c r="W775" s="101">
        <v>2020</v>
      </c>
      <c r="X775" s="102"/>
      <c r="Y775" s="124"/>
      <c r="Z775" s="124"/>
      <c r="AA775" s="124"/>
      <c r="AB775" s="124"/>
      <c r="AC775" s="124"/>
      <c r="AD775" s="124"/>
      <c r="AE775" s="124"/>
      <c r="AF775" s="125"/>
      <c r="AG775" s="125"/>
      <c r="AH775" s="125"/>
      <c r="AI775" s="126"/>
      <c r="AJ775" s="103">
        <f t="shared" si="1376"/>
        <v>0</v>
      </c>
      <c r="AK775" s="104">
        <f t="shared" si="1377"/>
        <v>0</v>
      </c>
      <c r="AL775" s="105"/>
    </row>
    <row r="776" spans="1:38" ht="15.6" hidden="1" thickBot="1">
      <c r="A776" s="91"/>
      <c r="B776" s="100"/>
      <c r="C776" s="92"/>
      <c r="D776" s="101" t="s">
        <v>102</v>
      </c>
      <c r="E776" s="106" t="e">
        <f t="shared" ref="E776:R776" si="1378">E775/E774</f>
        <v>#DIV/0!</v>
      </c>
      <c r="F776" s="106" t="e">
        <f t="shared" si="1378"/>
        <v>#DIV/0!</v>
      </c>
      <c r="G776" s="106" t="e">
        <f t="shared" si="1378"/>
        <v>#DIV/0!</v>
      </c>
      <c r="H776" s="106" t="e">
        <f t="shared" si="1378"/>
        <v>#DIV/0!</v>
      </c>
      <c r="I776" s="106" t="e">
        <f t="shared" si="1378"/>
        <v>#DIV/0!</v>
      </c>
      <c r="J776" s="106" t="e">
        <f t="shared" si="1378"/>
        <v>#DIV/0!</v>
      </c>
      <c r="K776" s="106" t="e">
        <f t="shared" si="1378"/>
        <v>#DIV/0!</v>
      </c>
      <c r="L776" s="106" t="e">
        <f t="shared" si="1378"/>
        <v>#DIV/0!</v>
      </c>
      <c r="M776" s="107" t="e">
        <f t="shared" si="1378"/>
        <v>#DIV/0!</v>
      </c>
      <c r="N776" s="107" t="e">
        <f t="shared" si="1378"/>
        <v>#DIV/0!</v>
      </c>
      <c r="O776" s="107" t="e">
        <f t="shared" si="1378"/>
        <v>#DIV/0!</v>
      </c>
      <c r="P776" s="108" t="e">
        <f t="shared" si="1378"/>
        <v>#DIV/0!</v>
      </c>
      <c r="Q776" s="109" t="e">
        <f t="shared" si="1378"/>
        <v>#DIV/0!</v>
      </c>
      <c r="R776" s="110" t="e">
        <f t="shared" si="1378"/>
        <v>#DIV/0!</v>
      </c>
      <c r="S776" s="105"/>
      <c r="T776" s="91"/>
      <c r="U776" s="100"/>
      <c r="V776" s="92"/>
      <c r="W776" s="101" t="s">
        <v>102</v>
      </c>
      <c r="X776" s="106" t="e">
        <f t="shared" ref="X776:AK776" si="1379">X775/X774</f>
        <v>#DIV/0!</v>
      </c>
      <c r="Y776" s="106" t="e">
        <f t="shared" si="1379"/>
        <v>#DIV/0!</v>
      </c>
      <c r="Z776" s="106" t="e">
        <f t="shared" si="1379"/>
        <v>#DIV/0!</v>
      </c>
      <c r="AA776" s="106" t="e">
        <f t="shared" si="1379"/>
        <v>#DIV/0!</v>
      </c>
      <c r="AB776" s="106" t="e">
        <f t="shared" si="1379"/>
        <v>#DIV/0!</v>
      </c>
      <c r="AC776" s="106" t="e">
        <f t="shared" si="1379"/>
        <v>#DIV/0!</v>
      </c>
      <c r="AD776" s="106" t="e">
        <f t="shared" si="1379"/>
        <v>#DIV/0!</v>
      </c>
      <c r="AE776" s="106" t="e">
        <f t="shared" si="1379"/>
        <v>#DIV/0!</v>
      </c>
      <c r="AF776" s="107" t="e">
        <f t="shared" si="1379"/>
        <v>#DIV/0!</v>
      </c>
      <c r="AG776" s="107" t="e">
        <f t="shared" si="1379"/>
        <v>#DIV/0!</v>
      </c>
      <c r="AH776" s="107" t="e">
        <f t="shared" si="1379"/>
        <v>#DIV/0!</v>
      </c>
      <c r="AI776" s="108" t="e">
        <f t="shared" si="1379"/>
        <v>#DIV/0!</v>
      </c>
      <c r="AJ776" s="109" t="e">
        <f t="shared" si="1379"/>
        <v>#DIV/0!</v>
      </c>
      <c r="AK776" s="110" t="e">
        <f t="shared" si="1379"/>
        <v>#DIV/0!</v>
      </c>
      <c r="AL776" s="105"/>
    </row>
    <row r="777" spans="1:38" ht="15.6" hidden="1" thickBot="1">
      <c r="A777" s="91"/>
      <c r="B777" s="100"/>
      <c r="C777" s="111"/>
      <c r="D777" s="112" t="s">
        <v>103</v>
      </c>
      <c r="E777" s="113" t="e">
        <f t="shared" ref="E777:R777" si="1380">E775/E773</f>
        <v>#DIV/0!</v>
      </c>
      <c r="F777" s="113" t="e">
        <f t="shared" si="1380"/>
        <v>#DIV/0!</v>
      </c>
      <c r="G777" s="113" t="e">
        <f t="shared" si="1380"/>
        <v>#DIV/0!</v>
      </c>
      <c r="H777" s="113" t="e">
        <f t="shared" si="1380"/>
        <v>#DIV/0!</v>
      </c>
      <c r="I777" s="113" t="e">
        <f t="shared" si="1380"/>
        <v>#DIV/0!</v>
      </c>
      <c r="J777" s="113" t="e">
        <f t="shared" si="1380"/>
        <v>#DIV/0!</v>
      </c>
      <c r="K777" s="113" t="e">
        <f t="shared" si="1380"/>
        <v>#DIV/0!</v>
      </c>
      <c r="L777" s="113" t="e">
        <f t="shared" si="1380"/>
        <v>#DIV/0!</v>
      </c>
      <c r="M777" s="113" t="e">
        <f t="shared" si="1380"/>
        <v>#DIV/0!</v>
      </c>
      <c r="N777" s="113" t="e">
        <f t="shared" si="1380"/>
        <v>#DIV/0!</v>
      </c>
      <c r="O777" s="113" t="e">
        <f t="shared" si="1380"/>
        <v>#DIV/0!</v>
      </c>
      <c r="P777" s="114" t="e">
        <f t="shared" si="1380"/>
        <v>#DIV/0!</v>
      </c>
      <c r="Q777" s="115" t="e">
        <f t="shared" si="1380"/>
        <v>#DIV/0!</v>
      </c>
      <c r="R777" s="116" t="e">
        <f t="shared" si="1380"/>
        <v>#DIV/0!</v>
      </c>
      <c r="T777" s="91"/>
      <c r="U777" s="100"/>
      <c r="V777" s="111"/>
      <c r="W777" s="112" t="s">
        <v>103</v>
      </c>
      <c r="X777" s="113" t="e">
        <f t="shared" ref="X777:AK777" si="1381">X775/X773</f>
        <v>#DIV/0!</v>
      </c>
      <c r="Y777" s="113" t="e">
        <f t="shared" si="1381"/>
        <v>#DIV/0!</v>
      </c>
      <c r="Z777" s="113" t="e">
        <f t="shared" si="1381"/>
        <v>#DIV/0!</v>
      </c>
      <c r="AA777" s="113" t="e">
        <f t="shared" si="1381"/>
        <v>#DIV/0!</v>
      </c>
      <c r="AB777" s="113" t="e">
        <f t="shared" si="1381"/>
        <v>#DIV/0!</v>
      </c>
      <c r="AC777" s="113" t="e">
        <f t="shared" si="1381"/>
        <v>#DIV/0!</v>
      </c>
      <c r="AD777" s="113" t="e">
        <f t="shared" si="1381"/>
        <v>#DIV/0!</v>
      </c>
      <c r="AE777" s="113" t="e">
        <f t="shared" si="1381"/>
        <v>#DIV/0!</v>
      </c>
      <c r="AF777" s="113" t="e">
        <f t="shared" si="1381"/>
        <v>#DIV/0!</v>
      </c>
      <c r="AG777" s="113" t="e">
        <f t="shared" si="1381"/>
        <v>#DIV/0!</v>
      </c>
      <c r="AH777" s="113" t="e">
        <f t="shared" si="1381"/>
        <v>#DIV/0!</v>
      </c>
      <c r="AI777" s="114" t="e">
        <f t="shared" si="1381"/>
        <v>#DIV/0!</v>
      </c>
      <c r="AJ777" s="115" t="e">
        <f t="shared" si="1381"/>
        <v>#DIV/0!</v>
      </c>
      <c r="AK777" s="116" t="e">
        <f t="shared" si="1381"/>
        <v>#DIV/0!</v>
      </c>
    </row>
    <row r="778" spans="1:38" ht="15.6" hidden="1" thickBot="1">
      <c r="A778" s="91"/>
      <c r="B778" s="100"/>
      <c r="C778" s="86"/>
      <c r="D778" s="87">
        <v>2019</v>
      </c>
      <c r="E778" s="88"/>
      <c r="F778" s="121"/>
      <c r="G778" s="121"/>
      <c r="H778" s="121"/>
      <c r="I778" s="121"/>
      <c r="J778" s="121"/>
      <c r="K778" s="121"/>
      <c r="L778" s="121"/>
      <c r="M778" s="122"/>
      <c r="N778" s="122"/>
      <c r="O778" s="122"/>
      <c r="P778" s="123"/>
      <c r="Q778" s="89">
        <f t="shared" ref="Q778:Q780" si="1382">SUM(E778:P778)</f>
        <v>0</v>
      </c>
      <c r="R778" s="90">
        <f t="shared" ref="R778" si="1383">SUM(E778:M778)</f>
        <v>0</v>
      </c>
      <c r="T778" s="91"/>
      <c r="U778" s="100"/>
      <c r="V778" s="86">
        <f t="shared" ref="V778:V779" si="1384">C778</f>
        <v>0</v>
      </c>
      <c r="W778" s="87">
        <v>2019</v>
      </c>
      <c r="X778" s="88"/>
      <c r="Y778" s="121"/>
      <c r="Z778" s="121"/>
      <c r="AA778" s="121"/>
      <c r="AB778" s="121"/>
      <c r="AC778" s="121"/>
      <c r="AD778" s="121"/>
      <c r="AE778" s="121"/>
      <c r="AF778" s="122"/>
      <c r="AG778" s="122"/>
      <c r="AH778" s="122"/>
      <c r="AI778" s="123"/>
      <c r="AJ778" s="89">
        <f t="shared" ref="AJ778:AJ780" si="1385">SUM(X778:AI778)</f>
        <v>0</v>
      </c>
      <c r="AK778" s="90">
        <f t="shared" ref="AK778:AK780" si="1386">SUM(X778:AF778)</f>
        <v>0</v>
      </c>
    </row>
    <row r="779" spans="1:38" ht="15.6" hidden="1" thickBot="1">
      <c r="A779" s="91"/>
      <c r="B779" s="100"/>
      <c r="C779" s="92"/>
      <c r="D779" s="93" t="s">
        <v>92</v>
      </c>
      <c r="E779" s="94"/>
      <c r="F779" s="97"/>
      <c r="G779" s="97"/>
      <c r="H779" s="97"/>
      <c r="I779" s="97"/>
      <c r="J779" s="97"/>
      <c r="K779" s="97"/>
      <c r="L779" s="97"/>
      <c r="M779" s="98"/>
      <c r="N779" s="98"/>
      <c r="O779" s="98"/>
      <c r="P779" s="99"/>
      <c r="Q779" s="95">
        <f t="shared" si="1382"/>
        <v>0</v>
      </c>
      <c r="R779" s="96">
        <f t="shared" si="1283"/>
        <v>0</v>
      </c>
      <c r="T779" s="91"/>
      <c r="U779" s="100"/>
      <c r="V779" s="92">
        <f t="shared" si="1384"/>
        <v>0</v>
      </c>
      <c r="W779" s="93" t="s">
        <v>92</v>
      </c>
      <c r="X779" s="94"/>
      <c r="Y779" s="97"/>
      <c r="Z779" s="97"/>
      <c r="AA779" s="97"/>
      <c r="AB779" s="97"/>
      <c r="AC779" s="97"/>
      <c r="AD779" s="97"/>
      <c r="AE779" s="97"/>
      <c r="AF779" s="98"/>
      <c r="AG779" s="98"/>
      <c r="AH779" s="98"/>
      <c r="AI779" s="99"/>
      <c r="AJ779" s="95">
        <f t="shared" si="1385"/>
        <v>0</v>
      </c>
      <c r="AK779" s="96">
        <f t="shared" si="1386"/>
        <v>0</v>
      </c>
    </row>
    <row r="780" spans="1:38" ht="15.6" hidden="1" thickBot="1">
      <c r="A780" s="91"/>
      <c r="B780" s="100"/>
      <c r="C780" s="92"/>
      <c r="D780" s="101">
        <v>2020</v>
      </c>
      <c r="E780" s="102"/>
      <c r="F780" s="124"/>
      <c r="G780" s="124"/>
      <c r="H780" s="124"/>
      <c r="I780" s="124"/>
      <c r="J780" s="124"/>
      <c r="K780" s="124"/>
      <c r="L780" s="124"/>
      <c r="M780" s="125"/>
      <c r="N780" s="125"/>
      <c r="O780" s="125"/>
      <c r="P780" s="126"/>
      <c r="Q780" s="103">
        <f t="shared" si="1382"/>
        <v>0</v>
      </c>
      <c r="R780" s="104">
        <f t="shared" si="1283"/>
        <v>0</v>
      </c>
      <c r="S780" s="105"/>
      <c r="T780" s="91"/>
      <c r="U780" s="100"/>
      <c r="V780" s="92"/>
      <c r="W780" s="101">
        <v>2020</v>
      </c>
      <c r="X780" s="102"/>
      <c r="Y780" s="124"/>
      <c r="Z780" s="124"/>
      <c r="AA780" s="124"/>
      <c r="AB780" s="124"/>
      <c r="AC780" s="124"/>
      <c r="AD780" s="124"/>
      <c r="AE780" s="124"/>
      <c r="AF780" s="125"/>
      <c r="AG780" s="125"/>
      <c r="AH780" s="125"/>
      <c r="AI780" s="126"/>
      <c r="AJ780" s="103">
        <f t="shared" si="1385"/>
        <v>0</v>
      </c>
      <c r="AK780" s="104">
        <f t="shared" si="1386"/>
        <v>0</v>
      </c>
      <c r="AL780" s="105"/>
    </row>
    <row r="781" spans="1:38" ht="15.6" hidden="1" thickBot="1">
      <c r="A781" s="91"/>
      <c r="B781" s="100"/>
      <c r="C781" s="92"/>
      <c r="D781" s="101" t="s">
        <v>102</v>
      </c>
      <c r="E781" s="106" t="e">
        <f t="shared" ref="E781:R781" si="1387">E780/E779</f>
        <v>#DIV/0!</v>
      </c>
      <c r="F781" s="106" t="e">
        <f t="shared" si="1387"/>
        <v>#DIV/0!</v>
      </c>
      <c r="G781" s="106" t="e">
        <f t="shared" si="1387"/>
        <v>#DIV/0!</v>
      </c>
      <c r="H781" s="106" t="e">
        <f t="shared" si="1387"/>
        <v>#DIV/0!</v>
      </c>
      <c r="I781" s="106" t="e">
        <f t="shared" si="1387"/>
        <v>#DIV/0!</v>
      </c>
      <c r="J781" s="106" t="e">
        <f t="shared" si="1387"/>
        <v>#DIV/0!</v>
      </c>
      <c r="K781" s="106" t="e">
        <f t="shared" si="1387"/>
        <v>#DIV/0!</v>
      </c>
      <c r="L781" s="106" t="e">
        <f t="shared" si="1387"/>
        <v>#DIV/0!</v>
      </c>
      <c r="M781" s="107" t="e">
        <f t="shared" si="1387"/>
        <v>#DIV/0!</v>
      </c>
      <c r="N781" s="107" t="e">
        <f t="shared" si="1387"/>
        <v>#DIV/0!</v>
      </c>
      <c r="O781" s="107" t="e">
        <f t="shared" si="1387"/>
        <v>#DIV/0!</v>
      </c>
      <c r="P781" s="108" t="e">
        <f t="shared" si="1387"/>
        <v>#DIV/0!</v>
      </c>
      <c r="Q781" s="109" t="e">
        <f t="shared" si="1387"/>
        <v>#DIV/0!</v>
      </c>
      <c r="R781" s="110" t="e">
        <f t="shared" si="1387"/>
        <v>#DIV/0!</v>
      </c>
      <c r="S781" s="105"/>
      <c r="T781" s="91"/>
      <c r="U781" s="100"/>
      <c r="V781" s="92"/>
      <c r="W781" s="101" t="s">
        <v>102</v>
      </c>
      <c r="X781" s="106" t="e">
        <f t="shared" ref="X781:AK781" si="1388">X780/X779</f>
        <v>#DIV/0!</v>
      </c>
      <c r="Y781" s="106" t="e">
        <f t="shared" si="1388"/>
        <v>#DIV/0!</v>
      </c>
      <c r="Z781" s="106" t="e">
        <f t="shared" si="1388"/>
        <v>#DIV/0!</v>
      </c>
      <c r="AA781" s="106" t="e">
        <f t="shared" si="1388"/>
        <v>#DIV/0!</v>
      </c>
      <c r="AB781" s="106" t="e">
        <f t="shared" si="1388"/>
        <v>#DIV/0!</v>
      </c>
      <c r="AC781" s="106" t="e">
        <f t="shared" si="1388"/>
        <v>#DIV/0!</v>
      </c>
      <c r="AD781" s="106" t="e">
        <f t="shared" si="1388"/>
        <v>#DIV/0!</v>
      </c>
      <c r="AE781" s="106" t="e">
        <f t="shared" si="1388"/>
        <v>#DIV/0!</v>
      </c>
      <c r="AF781" s="107" t="e">
        <f t="shared" si="1388"/>
        <v>#DIV/0!</v>
      </c>
      <c r="AG781" s="107" t="e">
        <f t="shared" si="1388"/>
        <v>#DIV/0!</v>
      </c>
      <c r="AH781" s="107" t="e">
        <f t="shared" si="1388"/>
        <v>#DIV/0!</v>
      </c>
      <c r="AI781" s="108" t="e">
        <f t="shared" si="1388"/>
        <v>#DIV/0!</v>
      </c>
      <c r="AJ781" s="109" t="e">
        <f t="shared" si="1388"/>
        <v>#DIV/0!</v>
      </c>
      <c r="AK781" s="110" t="e">
        <f t="shared" si="1388"/>
        <v>#DIV/0!</v>
      </c>
      <c r="AL781" s="105"/>
    </row>
    <row r="782" spans="1:38" ht="15.6" hidden="1" thickBot="1">
      <c r="A782" s="91"/>
      <c r="B782" s="100"/>
      <c r="C782" s="111"/>
      <c r="D782" s="112" t="s">
        <v>103</v>
      </c>
      <c r="E782" s="113" t="e">
        <f t="shared" ref="E782:R782" si="1389">E780/E778</f>
        <v>#DIV/0!</v>
      </c>
      <c r="F782" s="113" t="e">
        <f t="shared" si="1389"/>
        <v>#DIV/0!</v>
      </c>
      <c r="G782" s="113" t="e">
        <f t="shared" si="1389"/>
        <v>#DIV/0!</v>
      </c>
      <c r="H782" s="113" t="e">
        <f t="shared" si="1389"/>
        <v>#DIV/0!</v>
      </c>
      <c r="I782" s="113" t="e">
        <f t="shared" si="1389"/>
        <v>#DIV/0!</v>
      </c>
      <c r="J782" s="113" t="e">
        <f t="shared" si="1389"/>
        <v>#DIV/0!</v>
      </c>
      <c r="K782" s="113" t="e">
        <f t="shared" si="1389"/>
        <v>#DIV/0!</v>
      </c>
      <c r="L782" s="113" t="e">
        <f t="shared" si="1389"/>
        <v>#DIV/0!</v>
      </c>
      <c r="M782" s="113" t="e">
        <f t="shared" si="1389"/>
        <v>#DIV/0!</v>
      </c>
      <c r="N782" s="113" t="e">
        <f t="shared" si="1389"/>
        <v>#DIV/0!</v>
      </c>
      <c r="O782" s="113" t="e">
        <f t="shared" si="1389"/>
        <v>#DIV/0!</v>
      </c>
      <c r="P782" s="114" t="e">
        <f t="shared" si="1389"/>
        <v>#DIV/0!</v>
      </c>
      <c r="Q782" s="115" t="e">
        <f t="shared" si="1389"/>
        <v>#DIV/0!</v>
      </c>
      <c r="R782" s="116" t="e">
        <f t="shared" si="1389"/>
        <v>#DIV/0!</v>
      </c>
      <c r="T782" s="91"/>
      <c r="U782" s="100"/>
      <c r="V782" s="111"/>
      <c r="W782" s="112" t="s">
        <v>103</v>
      </c>
      <c r="X782" s="113" t="e">
        <f t="shared" ref="X782:AK782" si="1390">X780/X778</f>
        <v>#DIV/0!</v>
      </c>
      <c r="Y782" s="113" t="e">
        <f t="shared" si="1390"/>
        <v>#DIV/0!</v>
      </c>
      <c r="Z782" s="113" t="e">
        <f t="shared" si="1390"/>
        <v>#DIV/0!</v>
      </c>
      <c r="AA782" s="113" t="e">
        <f t="shared" si="1390"/>
        <v>#DIV/0!</v>
      </c>
      <c r="AB782" s="113" t="e">
        <f t="shared" si="1390"/>
        <v>#DIV/0!</v>
      </c>
      <c r="AC782" s="113" t="e">
        <f t="shared" si="1390"/>
        <v>#DIV/0!</v>
      </c>
      <c r="AD782" s="113" t="e">
        <f t="shared" si="1390"/>
        <v>#DIV/0!</v>
      </c>
      <c r="AE782" s="113" t="e">
        <f t="shared" si="1390"/>
        <v>#DIV/0!</v>
      </c>
      <c r="AF782" s="113" t="e">
        <f t="shared" si="1390"/>
        <v>#DIV/0!</v>
      </c>
      <c r="AG782" s="113" t="e">
        <f t="shared" si="1390"/>
        <v>#DIV/0!</v>
      </c>
      <c r="AH782" s="113" t="e">
        <f t="shared" si="1390"/>
        <v>#DIV/0!</v>
      </c>
      <c r="AI782" s="114" t="e">
        <f t="shared" si="1390"/>
        <v>#DIV/0!</v>
      </c>
      <c r="AJ782" s="115" t="e">
        <f t="shared" si="1390"/>
        <v>#DIV/0!</v>
      </c>
      <c r="AK782" s="116" t="e">
        <f t="shared" si="1390"/>
        <v>#DIV/0!</v>
      </c>
    </row>
    <row r="783" spans="1:38" ht="15.6" hidden="1" thickBot="1">
      <c r="A783" s="91"/>
      <c r="B783" s="100"/>
      <c r="C783" s="86"/>
      <c r="D783" s="87">
        <v>2019</v>
      </c>
      <c r="E783" s="88"/>
      <c r="F783" s="121"/>
      <c r="G783" s="121"/>
      <c r="H783" s="121"/>
      <c r="I783" s="121"/>
      <c r="J783" s="121"/>
      <c r="K783" s="121"/>
      <c r="L783" s="121"/>
      <c r="M783" s="122"/>
      <c r="N783" s="122"/>
      <c r="O783" s="122"/>
      <c r="P783" s="123"/>
      <c r="Q783" s="89">
        <f t="shared" ref="Q783:Q785" si="1391">SUM(E783:P783)</f>
        <v>0</v>
      </c>
      <c r="R783" s="90">
        <f t="shared" ref="R783" si="1392">SUM(E783:M783)</f>
        <v>0</v>
      </c>
      <c r="T783" s="91"/>
      <c r="U783" s="100"/>
      <c r="V783" s="86">
        <f t="shared" ref="V783:V784" si="1393">C783</f>
        <v>0</v>
      </c>
      <c r="W783" s="87">
        <v>2019</v>
      </c>
      <c r="X783" s="88"/>
      <c r="Y783" s="121"/>
      <c r="Z783" s="121"/>
      <c r="AA783" s="121"/>
      <c r="AB783" s="121"/>
      <c r="AC783" s="121"/>
      <c r="AD783" s="121"/>
      <c r="AE783" s="121"/>
      <c r="AF783" s="122"/>
      <c r="AG783" s="122"/>
      <c r="AH783" s="122"/>
      <c r="AI783" s="123"/>
      <c r="AJ783" s="89">
        <f t="shared" ref="AJ783:AJ785" si="1394">SUM(X783:AI783)</f>
        <v>0</v>
      </c>
      <c r="AK783" s="90">
        <f t="shared" ref="AK783:AK785" si="1395">SUM(X783:AF783)</f>
        <v>0</v>
      </c>
    </row>
    <row r="784" spans="1:38" ht="15.6" hidden="1" thickBot="1">
      <c r="A784" s="91"/>
      <c r="B784" s="100"/>
      <c r="C784" s="92"/>
      <c r="D784" s="93" t="s">
        <v>92</v>
      </c>
      <c r="E784" s="94"/>
      <c r="F784" s="97"/>
      <c r="G784" s="97"/>
      <c r="H784" s="97"/>
      <c r="I784" s="97"/>
      <c r="J784" s="97"/>
      <c r="K784" s="97"/>
      <c r="L784" s="97"/>
      <c r="M784" s="98"/>
      <c r="N784" s="98"/>
      <c r="O784" s="98"/>
      <c r="P784" s="99"/>
      <c r="Q784" s="95">
        <f t="shared" si="1391"/>
        <v>0</v>
      </c>
      <c r="R784" s="96">
        <f t="shared" si="1283"/>
        <v>0</v>
      </c>
      <c r="T784" s="91"/>
      <c r="U784" s="100"/>
      <c r="V784" s="92">
        <f t="shared" si="1393"/>
        <v>0</v>
      </c>
      <c r="W784" s="93" t="s">
        <v>92</v>
      </c>
      <c r="X784" s="94"/>
      <c r="Y784" s="97"/>
      <c r="Z784" s="97"/>
      <c r="AA784" s="97"/>
      <c r="AB784" s="97"/>
      <c r="AC784" s="97"/>
      <c r="AD784" s="97"/>
      <c r="AE784" s="97"/>
      <c r="AF784" s="98"/>
      <c r="AG784" s="98"/>
      <c r="AH784" s="98"/>
      <c r="AI784" s="99"/>
      <c r="AJ784" s="95">
        <f t="shared" si="1394"/>
        <v>0</v>
      </c>
      <c r="AK784" s="96">
        <f t="shared" si="1395"/>
        <v>0</v>
      </c>
    </row>
    <row r="785" spans="1:38" ht="15.6" hidden="1" thickBot="1">
      <c r="A785" s="91"/>
      <c r="B785" s="100"/>
      <c r="C785" s="92"/>
      <c r="D785" s="101">
        <v>2020</v>
      </c>
      <c r="E785" s="102"/>
      <c r="F785" s="124"/>
      <c r="G785" s="124"/>
      <c r="H785" s="124"/>
      <c r="I785" s="124"/>
      <c r="J785" s="124"/>
      <c r="K785" s="124"/>
      <c r="L785" s="124"/>
      <c r="M785" s="125"/>
      <c r="N785" s="125"/>
      <c r="O785" s="125"/>
      <c r="P785" s="126"/>
      <c r="Q785" s="103">
        <f t="shared" si="1391"/>
        <v>0</v>
      </c>
      <c r="R785" s="104">
        <f t="shared" si="1283"/>
        <v>0</v>
      </c>
      <c r="S785" s="105"/>
      <c r="T785" s="91"/>
      <c r="U785" s="100"/>
      <c r="V785" s="92"/>
      <c r="W785" s="101">
        <v>2020</v>
      </c>
      <c r="X785" s="102"/>
      <c r="Y785" s="124"/>
      <c r="Z785" s="124"/>
      <c r="AA785" s="124"/>
      <c r="AB785" s="124"/>
      <c r="AC785" s="124"/>
      <c r="AD785" s="124"/>
      <c r="AE785" s="124"/>
      <c r="AF785" s="125"/>
      <c r="AG785" s="125"/>
      <c r="AH785" s="125"/>
      <c r="AI785" s="126"/>
      <c r="AJ785" s="103">
        <f t="shared" si="1394"/>
        <v>0</v>
      </c>
      <c r="AK785" s="104">
        <f t="shared" si="1395"/>
        <v>0</v>
      </c>
      <c r="AL785" s="105"/>
    </row>
    <row r="786" spans="1:38" ht="15.6" hidden="1" thickBot="1">
      <c r="A786" s="91"/>
      <c r="B786" s="100"/>
      <c r="C786" s="92"/>
      <c r="D786" s="101" t="s">
        <v>102</v>
      </c>
      <c r="E786" s="106" t="e">
        <f t="shared" ref="E786:R786" si="1396">E785/E784</f>
        <v>#DIV/0!</v>
      </c>
      <c r="F786" s="106" t="e">
        <f t="shared" si="1396"/>
        <v>#DIV/0!</v>
      </c>
      <c r="G786" s="106" t="e">
        <f t="shared" si="1396"/>
        <v>#DIV/0!</v>
      </c>
      <c r="H786" s="106" t="e">
        <f t="shared" si="1396"/>
        <v>#DIV/0!</v>
      </c>
      <c r="I786" s="106" t="e">
        <f t="shared" si="1396"/>
        <v>#DIV/0!</v>
      </c>
      <c r="J786" s="106" t="e">
        <f t="shared" si="1396"/>
        <v>#DIV/0!</v>
      </c>
      <c r="K786" s="106" t="e">
        <f t="shared" si="1396"/>
        <v>#DIV/0!</v>
      </c>
      <c r="L786" s="106" t="e">
        <f t="shared" si="1396"/>
        <v>#DIV/0!</v>
      </c>
      <c r="M786" s="107" t="e">
        <f t="shared" si="1396"/>
        <v>#DIV/0!</v>
      </c>
      <c r="N786" s="107" t="e">
        <f t="shared" si="1396"/>
        <v>#DIV/0!</v>
      </c>
      <c r="O786" s="107" t="e">
        <f t="shared" si="1396"/>
        <v>#DIV/0!</v>
      </c>
      <c r="P786" s="108" t="e">
        <f t="shared" si="1396"/>
        <v>#DIV/0!</v>
      </c>
      <c r="Q786" s="109" t="e">
        <f t="shared" si="1396"/>
        <v>#DIV/0!</v>
      </c>
      <c r="R786" s="110" t="e">
        <f t="shared" si="1396"/>
        <v>#DIV/0!</v>
      </c>
      <c r="S786" s="105"/>
      <c r="T786" s="91"/>
      <c r="U786" s="100"/>
      <c r="V786" s="92"/>
      <c r="W786" s="101" t="s">
        <v>102</v>
      </c>
      <c r="X786" s="106" t="e">
        <f t="shared" ref="X786:AK786" si="1397">X785/X784</f>
        <v>#DIV/0!</v>
      </c>
      <c r="Y786" s="106" t="e">
        <f t="shared" si="1397"/>
        <v>#DIV/0!</v>
      </c>
      <c r="Z786" s="106" t="e">
        <f t="shared" si="1397"/>
        <v>#DIV/0!</v>
      </c>
      <c r="AA786" s="106" t="e">
        <f t="shared" si="1397"/>
        <v>#DIV/0!</v>
      </c>
      <c r="AB786" s="106" t="e">
        <f t="shared" si="1397"/>
        <v>#DIV/0!</v>
      </c>
      <c r="AC786" s="106" t="e">
        <f t="shared" si="1397"/>
        <v>#DIV/0!</v>
      </c>
      <c r="AD786" s="106" t="e">
        <f t="shared" si="1397"/>
        <v>#DIV/0!</v>
      </c>
      <c r="AE786" s="106" t="e">
        <f t="shared" si="1397"/>
        <v>#DIV/0!</v>
      </c>
      <c r="AF786" s="107" t="e">
        <f t="shared" si="1397"/>
        <v>#DIV/0!</v>
      </c>
      <c r="AG786" s="107" t="e">
        <f t="shared" si="1397"/>
        <v>#DIV/0!</v>
      </c>
      <c r="AH786" s="107" t="e">
        <f t="shared" si="1397"/>
        <v>#DIV/0!</v>
      </c>
      <c r="AI786" s="108" t="e">
        <f t="shared" si="1397"/>
        <v>#DIV/0!</v>
      </c>
      <c r="AJ786" s="109" t="e">
        <f t="shared" si="1397"/>
        <v>#DIV/0!</v>
      </c>
      <c r="AK786" s="110" t="e">
        <f t="shared" si="1397"/>
        <v>#DIV/0!</v>
      </c>
      <c r="AL786" s="105"/>
    </row>
    <row r="787" spans="1:38" ht="15.6" hidden="1" thickBot="1">
      <c r="A787" s="91"/>
      <c r="B787" s="100"/>
      <c r="C787" s="111"/>
      <c r="D787" s="112" t="s">
        <v>103</v>
      </c>
      <c r="E787" s="113" t="e">
        <f t="shared" ref="E787:R787" si="1398">E785/E783</f>
        <v>#DIV/0!</v>
      </c>
      <c r="F787" s="113" t="e">
        <f t="shared" si="1398"/>
        <v>#DIV/0!</v>
      </c>
      <c r="G787" s="113" t="e">
        <f t="shared" si="1398"/>
        <v>#DIV/0!</v>
      </c>
      <c r="H787" s="113" t="e">
        <f t="shared" si="1398"/>
        <v>#DIV/0!</v>
      </c>
      <c r="I787" s="113" t="e">
        <f t="shared" si="1398"/>
        <v>#DIV/0!</v>
      </c>
      <c r="J787" s="113" t="e">
        <f t="shared" si="1398"/>
        <v>#DIV/0!</v>
      </c>
      <c r="K787" s="113" t="e">
        <f t="shared" si="1398"/>
        <v>#DIV/0!</v>
      </c>
      <c r="L787" s="113" t="e">
        <f t="shared" si="1398"/>
        <v>#DIV/0!</v>
      </c>
      <c r="M787" s="113" t="e">
        <f t="shared" si="1398"/>
        <v>#DIV/0!</v>
      </c>
      <c r="N787" s="113" t="e">
        <f t="shared" si="1398"/>
        <v>#DIV/0!</v>
      </c>
      <c r="O787" s="113" t="e">
        <f t="shared" si="1398"/>
        <v>#DIV/0!</v>
      </c>
      <c r="P787" s="114" t="e">
        <f t="shared" si="1398"/>
        <v>#DIV/0!</v>
      </c>
      <c r="Q787" s="115" t="e">
        <f t="shared" si="1398"/>
        <v>#DIV/0!</v>
      </c>
      <c r="R787" s="116" t="e">
        <f t="shared" si="1398"/>
        <v>#DIV/0!</v>
      </c>
      <c r="T787" s="91"/>
      <c r="U787" s="100"/>
      <c r="V787" s="111"/>
      <c r="W787" s="112" t="s">
        <v>103</v>
      </c>
      <c r="X787" s="113" t="e">
        <f t="shared" ref="X787:AK787" si="1399">X785/X783</f>
        <v>#DIV/0!</v>
      </c>
      <c r="Y787" s="113" t="e">
        <f t="shared" si="1399"/>
        <v>#DIV/0!</v>
      </c>
      <c r="Z787" s="113" t="e">
        <f t="shared" si="1399"/>
        <v>#DIV/0!</v>
      </c>
      <c r="AA787" s="113" t="e">
        <f t="shared" si="1399"/>
        <v>#DIV/0!</v>
      </c>
      <c r="AB787" s="113" t="e">
        <f t="shared" si="1399"/>
        <v>#DIV/0!</v>
      </c>
      <c r="AC787" s="113" t="e">
        <f t="shared" si="1399"/>
        <v>#DIV/0!</v>
      </c>
      <c r="AD787" s="113" t="e">
        <f t="shared" si="1399"/>
        <v>#DIV/0!</v>
      </c>
      <c r="AE787" s="113" t="e">
        <f t="shared" si="1399"/>
        <v>#DIV/0!</v>
      </c>
      <c r="AF787" s="113" t="e">
        <f t="shared" si="1399"/>
        <v>#DIV/0!</v>
      </c>
      <c r="AG787" s="113" t="e">
        <f t="shared" si="1399"/>
        <v>#DIV/0!</v>
      </c>
      <c r="AH787" s="113" t="e">
        <f t="shared" si="1399"/>
        <v>#DIV/0!</v>
      </c>
      <c r="AI787" s="114" t="e">
        <f t="shared" si="1399"/>
        <v>#DIV/0!</v>
      </c>
      <c r="AJ787" s="115" t="e">
        <f t="shared" si="1399"/>
        <v>#DIV/0!</v>
      </c>
      <c r="AK787" s="116" t="e">
        <f t="shared" si="1399"/>
        <v>#DIV/0!</v>
      </c>
    </row>
    <row r="788" spans="1:38" ht="15.6" hidden="1" thickBot="1">
      <c r="A788" s="91"/>
      <c r="B788" s="100"/>
      <c r="C788" s="86"/>
      <c r="D788" s="87">
        <v>2019</v>
      </c>
      <c r="E788" s="88"/>
      <c r="F788" s="121"/>
      <c r="G788" s="121"/>
      <c r="H788" s="121"/>
      <c r="I788" s="121"/>
      <c r="J788" s="121"/>
      <c r="K788" s="121"/>
      <c r="L788" s="121"/>
      <c r="M788" s="122"/>
      <c r="N788" s="122"/>
      <c r="O788" s="122"/>
      <c r="P788" s="123"/>
      <c r="Q788" s="89">
        <f t="shared" ref="Q788:Q790" si="1400">SUM(E788:P788)</f>
        <v>0</v>
      </c>
      <c r="R788" s="90">
        <f t="shared" ref="R788:R850" si="1401">SUM(E788:M788)</f>
        <v>0</v>
      </c>
      <c r="T788" s="91"/>
      <c r="U788" s="100"/>
      <c r="V788" s="86">
        <f t="shared" ref="V788:V789" si="1402">C788</f>
        <v>0</v>
      </c>
      <c r="W788" s="87">
        <v>2019</v>
      </c>
      <c r="X788" s="88"/>
      <c r="Y788" s="121"/>
      <c r="Z788" s="121"/>
      <c r="AA788" s="121"/>
      <c r="AB788" s="121"/>
      <c r="AC788" s="121"/>
      <c r="AD788" s="121"/>
      <c r="AE788" s="121"/>
      <c r="AF788" s="122"/>
      <c r="AG788" s="122"/>
      <c r="AH788" s="122"/>
      <c r="AI788" s="123"/>
      <c r="AJ788" s="89">
        <f t="shared" ref="AJ788:AJ790" si="1403">SUM(X788:AI788)</f>
        <v>0</v>
      </c>
      <c r="AK788" s="90">
        <f t="shared" ref="AK788:AK790" si="1404">SUM(X788:AF788)</f>
        <v>0</v>
      </c>
    </row>
    <row r="789" spans="1:38" ht="15.6" hidden="1" thickBot="1">
      <c r="A789" s="91"/>
      <c r="B789" s="100"/>
      <c r="C789" s="92"/>
      <c r="D789" s="93" t="s">
        <v>92</v>
      </c>
      <c r="E789" s="94"/>
      <c r="F789" s="97"/>
      <c r="G789" s="97"/>
      <c r="H789" s="97"/>
      <c r="I789" s="97"/>
      <c r="J789" s="97"/>
      <c r="K789" s="97"/>
      <c r="L789" s="97"/>
      <c r="M789" s="98"/>
      <c r="N789" s="98"/>
      <c r="O789" s="98"/>
      <c r="P789" s="99"/>
      <c r="Q789" s="95">
        <f t="shared" si="1400"/>
        <v>0</v>
      </c>
      <c r="R789" s="96">
        <f t="shared" si="1401"/>
        <v>0</v>
      </c>
      <c r="T789" s="91"/>
      <c r="U789" s="100"/>
      <c r="V789" s="92">
        <f t="shared" si="1402"/>
        <v>0</v>
      </c>
      <c r="W789" s="93" t="s">
        <v>92</v>
      </c>
      <c r="X789" s="94"/>
      <c r="Y789" s="97"/>
      <c r="Z789" s="97"/>
      <c r="AA789" s="97"/>
      <c r="AB789" s="97"/>
      <c r="AC789" s="97"/>
      <c r="AD789" s="97"/>
      <c r="AE789" s="97"/>
      <c r="AF789" s="98"/>
      <c r="AG789" s="98"/>
      <c r="AH789" s="98"/>
      <c r="AI789" s="99"/>
      <c r="AJ789" s="95">
        <f t="shared" si="1403"/>
        <v>0</v>
      </c>
      <c r="AK789" s="96">
        <f t="shared" si="1404"/>
        <v>0</v>
      </c>
    </row>
    <row r="790" spans="1:38" ht="15.6" hidden="1" thickBot="1">
      <c r="A790" s="91"/>
      <c r="B790" s="100"/>
      <c r="C790" s="92"/>
      <c r="D790" s="101">
        <v>2020</v>
      </c>
      <c r="E790" s="102"/>
      <c r="F790" s="124"/>
      <c r="G790" s="124"/>
      <c r="H790" s="124"/>
      <c r="I790" s="124"/>
      <c r="J790" s="124"/>
      <c r="K790" s="124"/>
      <c r="L790" s="124"/>
      <c r="M790" s="125"/>
      <c r="N790" s="125"/>
      <c r="O790" s="125"/>
      <c r="P790" s="126"/>
      <c r="Q790" s="103">
        <f t="shared" si="1400"/>
        <v>0</v>
      </c>
      <c r="R790" s="104">
        <f t="shared" si="1401"/>
        <v>0</v>
      </c>
      <c r="S790" s="105"/>
      <c r="T790" s="91"/>
      <c r="U790" s="100"/>
      <c r="V790" s="92"/>
      <c r="W790" s="101">
        <v>2020</v>
      </c>
      <c r="X790" s="102"/>
      <c r="Y790" s="124"/>
      <c r="Z790" s="124"/>
      <c r="AA790" s="124"/>
      <c r="AB790" s="124"/>
      <c r="AC790" s="124"/>
      <c r="AD790" s="124"/>
      <c r="AE790" s="124"/>
      <c r="AF790" s="125"/>
      <c r="AG790" s="125"/>
      <c r="AH790" s="125"/>
      <c r="AI790" s="126"/>
      <c r="AJ790" s="103">
        <f t="shared" si="1403"/>
        <v>0</v>
      </c>
      <c r="AK790" s="104">
        <f t="shared" si="1404"/>
        <v>0</v>
      </c>
      <c r="AL790" s="105"/>
    </row>
    <row r="791" spans="1:38" ht="15.6" hidden="1" thickBot="1">
      <c r="A791" s="91"/>
      <c r="B791" s="100"/>
      <c r="C791" s="92"/>
      <c r="D791" s="101" t="s">
        <v>102</v>
      </c>
      <c r="E791" s="106" t="e">
        <f t="shared" ref="E791:R791" si="1405">E790/E789</f>
        <v>#DIV/0!</v>
      </c>
      <c r="F791" s="106" t="e">
        <f t="shared" si="1405"/>
        <v>#DIV/0!</v>
      </c>
      <c r="G791" s="106" t="e">
        <f t="shared" si="1405"/>
        <v>#DIV/0!</v>
      </c>
      <c r="H791" s="106" t="e">
        <f t="shared" si="1405"/>
        <v>#DIV/0!</v>
      </c>
      <c r="I791" s="106" t="e">
        <f t="shared" si="1405"/>
        <v>#DIV/0!</v>
      </c>
      <c r="J791" s="106" t="e">
        <f t="shared" si="1405"/>
        <v>#DIV/0!</v>
      </c>
      <c r="K791" s="106" t="e">
        <f t="shared" si="1405"/>
        <v>#DIV/0!</v>
      </c>
      <c r="L791" s="106" t="e">
        <f t="shared" si="1405"/>
        <v>#DIV/0!</v>
      </c>
      <c r="M791" s="107" t="e">
        <f t="shared" si="1405"/>
        <v>#DIV/0!</v>
      </c>
      <c r="N791" s="107" t="e">
        <f t="shared" si="1405"/>
        <v>#DIV/0!</v>
      </c>
      <c r="O791" s="107" t="e">
        <f t="shared" si="1405"/>
        <v>#DIV/0!</v>
      </c>
      <c r="P791" s="108" t="e">
        <f t="shared" si="1405"/>
        <v>#DIV/0!</v>
      </c>
      <c r="Q791" s="109" t="e">
        <f t="shared" si="1405"/>
        <v>#DIV/0!</v>
      </c>
      <c r="R791" s="110" t="e">
        <f t="shared" si="1405"/>
        <v>#DIV/0!</v>
      </c>
      <c r="S791" s="105"/>
      <c r="T791" s="91"/>
      <c r="U791" s="100"/>
      <c r="V791" s="92"/>
      <c r="W791" s="101" t="s">
        <v>102</v>
      </c>
      <c r="X791" s="106" t="e">
        <f t="shared" ref="X791:AK791" si="1406">X790/X789</f>
        <v>#DIV/0!</v>
      </c>
      <c r="Y791" s="106" t="e">
        <f t="shared" si="1406"/>
        <v>#DIV/0!</v>
      </c>
      <c r="Z791" s="106" t="e">
        <f t="shared" si="1406"/>
        <v>#DIV/0!</v>
      </c>
      <c r="AA791" s="106" t="e">
        <f t="shared" si="1406"/>
        <v>#DIV/0!</v>
      </c>
      <c r="AB791" s="106" t="e">
        <f t="shared" si="1406"/>
        <v>#DIV/0!</v>
      </c>
      <c r="AC791" s="106" t="e">
        <f t="shared" si="1406"/>
        <v>#DIV/0!</v>
      </c>
      <c r="AD791" s="106" t="e">
        <f t="shared" si="1406"/>
        <v>#DIV/0!</v>
      </c>
      <c r="AE791" s="106" t="e">
        <f t="shared" si="1406"/>
        <v>#DIV/0!</v>
      </c>
      <c r="AF791" s="107" t="e">
        <f t="shared" si="1406"/>
        <v>#DIV/0!</v>
      </c>
      <c r="AG791" s="107" t="e">
        <f t="shared" si="1406"/>
        <v>#DIV/0!</v>
      </c>
      <c r="AH791" s="107" t="e">
        <f t="shared" si="1406"/>
        <v>#DIV/0!</v>
      </c>
      <c r="AI791" s="108" t="e">
        <f t="shared" si="1406"/>
        <v>#DIV/0!</v>
      </c>
      <c r="AJ791" s="109" t="e">
        <f t="shared" si="1406"/>
        <v>#DIV/0!</v>
      </c>
      <c r="AK791" s="110" t="e">
        <f t="shared" si="1406"/>
        <v>#DIV/0!</v>
      </c>
      <c r="AL791" s="105"/>
    </row>
    <row r="792" spans="1:38" ht="15.6" hidden="1" thickBot="1">
      <c r="A792" s="91"/>
      <c r="B792" s="100"/>
      <c r="C792" s="111"/>
      <c r="D792" s="112" t="s">
        <v>103</v>
      </c>
      <c r="E792" s="113" t="e">
        <f t="shared" ref="E792:R792" si="1407">E790/E788</f>
        <v>#DIV/0!</v>
      </c>
      <c r="F792" s="113" t="e">
        <f t="shared" si="1407"/>
        <v>#DIV/0!</v>
      </c>
      <c r="G792" s="113" t="e">
        <f t="shared" si="1407"/>
        <v>#DIV/0!</v>
      </c>
      <c r="H792" s="113" t="e">
        <f t="shared" si="1407"/>
        <v>#DIV/0!</v>
      </c>
      <c r="I792" s="113" t="e">
        <f t="shared" si="1407"/>
        <v>#DIV/0!</v>
      </c>
      <c r="J792" s="113" t="e">
        <f t="shared" si="1407"/>
        <v>#DIV/0!</v>
      </c>
      <c r="K792" s="113" t="e">
        <f t="shared" si="1407"/>
        <v>#DIV/0!</v>
      </c>
      <c r="L792" s="113" t="e">
        <f t="shared" si="1407"/>
        <v>#DIV/0!</v>
      </c>
      <c r="M792" s="113" t="e">
        <f t="shared" si="1407"/>
        <v>#DIV/0!</v>
      </c>
      <c r="N792" s="113" t="e">
        <f t="shared" si="1407"/>
        <v>#DIV/0!</v>
      </c>
      <c r="O792" s="113" t="e">
        <f t="shared" si="1407"/>
        <v>#DIV/0!</v>
      </c>
      <c r="P792" s="114" t="e">
        <f t="shared" si="1407"/>
        <v>#DIV/0!</v>
      </c>
      <c r="Q792" s="115" t="e">
        <f t="shared" si="1407"/>
        <v>#DIV/0!</v>
      </c>
      <c r="R792" s="116" t="e">
        <f t="shared" si="1407"/>
        <v>#DIV/0!</v>
      </c>
      <c r="T792" s="91"/>
      <c r="U792" s="100"/>
      <c r="V792" s="111"/>
      <c r="W792" s="112" t="s">
        <v>103</v>
      </c>
      <c r="X792" s="113" t="e">
        <f t="shared" ref="X792:AK792" si="1408">X790/X788</f>
        <v>#DIV/0!</v>
      </c>
      <c r="Y792" s="113" t="e">
        <f t="shared" si="1408"/>
        <v>#DIV/0!</v>
      </c>
      <c r="Z792" s="113" t="e">
        <f t="shared" si="1408"/>
        <v>#DIV/0!</v>
      </c>
      <c r="AA792" s="113" t="e">
        <f t="shared" si="1408"/>
        <v>#DIV/0!</v>
      </c>
      <c r="AB792" s="113" t="e">
        <f t="shared" si="1408"/>
        <v>#DIV/0!</v>
      </c>
      <c r="AC792" s="113" t="e">
        <f t="shared" si="1408"/>
        <v>#DIV/0!</v>
      </c>
      <c r="AD792" s="113" t="e">
        <f t="shared" si="1408"/>
        <v>#DIV/0!</v>
      </c>
      <c r="AE792" s="113" t="e">
        <f t="shared" si="1408"/>
        <v>#DIV/0!</v>
      </c>
      <c r="AF792" s="113" t="e">
        <f t="shared" si="1408"/>
        <v>#DIV/0!</v>
      </c>
      <c r="AG792" s="113" t="e">
        <f t="shared" si="1408"/>
        <v>#DIV/0!</v>
      </c>
      <c r="AH792" s="113" t="e">
        <f t="shared" si="1408"/>
        <v>#DIV/0!</v>
      </c>
      <c r="AI792" s="114" t="e">
        <f t="shared" si="1408"/>
        <v>#DIV/0!</v>
      </c>
      <c r="AJ792" s="115" t="e">
        <f t="shared" si="1408"/>
        <v>#DIV/0!</v>
      </c>
      <c r="AK792" s="116" t="e">
        <f t="shared" si="1408"/>
        <v>#DIV/0!</v>
      </c>
    </row>
    <row r="793" spans="1:38" ht="15.6" hidden="1" thickBot="1">
      <c r="A793" s="91"/>
      <c r="B793" s="100"/>
      <c r="C793" s="86"/>
      <c r="D793" s="87">
        <v>2019</v>
      </c>
      <c r="E793" s="88"/>
      <c r="F793" s="121"/>
      <c r="G793" s="121"/>
      <c r="H793" s="121"/>
      <c r="I793" s="121"/>
      <c r="J793" s="121"/>
      <c r="K793" s="121"/>
      <c r="L793" s="121"/>
      <c r="M793" s="122"/>
      <c r="N793" s="122"/>
      <c r="O793" s="122"/>
      <c r="P793" s="123"/>
      <c r="Q793" s="89">
        <f t="shared" ref="Q793:Q795" si="1409">SUM(E793:P793)</f>
        <v>0</v>
      </c>
      <c r="R793" s="90">
        <f t="shared" ref="R793" si="1410">SUM(E793:M793)</f>
        <v>0</v>
      </c>
      <c r="T793" s="91"/>
      <c r="U793" s="100"/>
      <c r="V793" s="86">
        <f t="shared" ref="V793:V794" si="1411">C793</f>
        <v>0</v>
      </c>
      <c r="W793" s="87">
        <v>2019</v>
      </c>
      <c r="X793" s="88"/>
      <c r="Y793" s="121"/>
      <c r="Z793" s="121"/>
      <c r="AA793" s="121"/>
      <c r="AB793" s="121"/>
      <c r="AC793" s="121"/>
      <c r="AD793" s="121"/>
      <c r="AE793" s="121"/>
      <c r="AF793" s="122"/>
      <c r="AG793" s="122"/>
      <c r="AH793" s="122"/>
      <c r="AI793" s="123"/>
      <c r="AJ793" s="89">
        <f t="shared" ref="AJ793:AJ795" si="1412">SUM(X793:AI793)</f>
        <v>0</v>
      </c>
      <c r="AK793" s="90">
        <f t="shared" ref="AK793:AK795" si="1413">SUM(X793:AF793)</f>
        <v>0</v>
      </c>
    </row>
    <row r="794" spans="1:38" ht="15.6" hidden="1" thickBot="1">
      <c r="A794" s="91"/>
      <c r="B794" s="100"/>
      <c r="C794" s="92"/>
      <c r="D794" s="93" t="s">
        <v>92</v>
      </c>
      <c r="E794" s="94"/>
      <c r="F794" s="97"/>
      <c r="G794" s="97"/>
      <c r="H794" s="97"/>
      <c r="I794" s="97"/>
      <c r="J794" s="97"/>
      <c r="K794" s="97"/>
      <c r="L794" s="97"/>
      <c r="M794" s="98"/>
      <c r="N794" s="98"/>
      <c r="O794" s="98"/>
      <c r="P794" s="99"/>
      <c r="Q794" s="95">
        <f t="shared" si="1409"/>
        <v>0</v>
      </c>
      <c r="R794" s="96">
        <f t="shared" si="1401"/>
        <v>0</v>
      </c>
      <c r="T794" s="91"/>
      <c r="U794" s="100"/>
      <c r="V794" s="92">
        <f t="shared" si="1411"/>
        <v>0</v>
      </c>
      <c r="W794" s="93" t="s">
        <v>92</v>
      </c>
      <c r="X794" s="94"/>
      <c r="Y794" s="97"/>
      <c r="Z794" s="97"/>
      <c r="AA794" s="97"/>
      <c r="AB794" s="97"/>
      <c r="AC794" s="97"/>
      <c r="AD794" s="97"/>
      <c r="AE794" s="97"/>
      <c r="AF794" s="98"/>
      <c r="AG794" s="98"/>
      <c r="AH794" s="98"/>
      <c r="AI794" s="99"/>
      <c r="AJ794" s="95">
        <f t="shared" si="1412"/>
        <v>0</v>
      </c>
      <c r="AK794" s="96">
        <f t="shared" si="1413"/>
        <v>0</v>
      </c>
    </row>
    <row r="795" spans="1:38" ht="15.6" hidden="1" thickBot="1">
      <c r="A795" s="91"/>
      <c r="B795" s="100"/>
      <c r="C795" s="92"/>
      <c r="D795" s="101">
        <v>2020</v>
      </c>
      <c r="E795" s="102"/>
      <c r="F795" s="124"/>
      <c r="G795" s="124"/>
      <c r="H795" s="124"/>
      <c r="I795" s="124"/>
      <c r="J795" s="124"/>
      <c r="K795" s="124"/>
      <c r="L795" s="124"/>
      <c r="M795" s="125"/>
      <c r="N795" s="125"/>
      <c r="O795" s="125"/>
      <c r="P795" s="126"/>
      <c r="Q795" s="103">
        <f t="shared" si="1409"/>
        <v>0</v>
      </c>
      <c r="R795" s="104">
        <f t="shared" si="1401"/>
        <v>0</v>
      </c>
      <c r="S795" s="105"/>
      <c r="T795" s="91"/>
      <c r="U795" s="100"/>
      <c r="V795" s="92"/>
      <c r="W795" s="101">
        <v>2020</v>
      </c>
      <c r="X795" s="102"/>
      <c r="Y795" s="124"/>
      <c r="Z795" s="124"/>
      <c r="AA795" s="124"/>
      <c r="AB795" s="124"/>
      <c r="AC795" s="124"/>
      <c r="AD795" s="124"/>
      <c r="AE795" s="124"/>
      <c r="AF795" s="125"/>
      <c r="AG795" s="125"/>
      <c r="AH795" s="125"/>
      <c r="AI795" s="126"/>
      <c r="AJ795" s="103">
        <f t="shared" si="1412"/>
        <v>0</v>
      </c>
      <c r="AK795" s="104">
        <f t="shared" si="1413"/>
        <v>0</v>
      </c>
      <c r="AL795" s="105"/>
    </row>
    <row r="796" spans="1:38" ht="15.6" hidden="1" thickBot="1">
      <c r="A796" s="91"/>
      <c r="B796" s="100"/>
      <c r="C796" s="92"/>
      <c r="D796" s="101" t="s">
        <v>102</v>
      </c>
      <c r="E796" s="106" t="e">
        <f t="shared" ref="E796:R796" si="1414">E795/E794</f>
        <v>#DIV/0!</v>
      </c>
      <c r="F796" s="106" t="e">
        <f t="shared" si="1414"/>
        <v>#DIV/0!</v>
      </c>
      <c r="G796" s="106" t="e">
        <f t="shared" si="1414"/>
        <v>#DIV/0!</v>
      </c>
      <c r="H796" s="106" t="e">
        <f t="shared" si="1414"/>
        <v>#DIV/0!</v>
      </c>
      <c r="I796" s="106" t="e">
        <f t="shared" si="1414"/>
        <v>#DIV/0!</v>
      </c>
      <c r="J796" s="106" t="e">
        <f t="shared" si="1414"/>
        <v>#DIV/0!</v>
      </c>
      <c r="K796" s="106" t="e">
        <f t="shared" si="1414"/>
        <v>#DIV/0!</v>
      </c>
      <c r="L796" s="106" t="e">
        <f t="shared" si="1414"/>
        <v>#DIV/0!</v>
      </c>
      <c r="M796" s="107" t="e">
        <f t="shared" si="1414"/>
        <v>#DIV/0!</v>
      </c>
      <c r="N796" s="107" t="e">
        <f t="shared" si="1414"/>
        <v>#DIV/0!</v>
      </c>
      <c r="O796" s="107" t="e">
        <f t="shared" si="1414"/>
        <v>#DIV/0!</v>
      </c>
      <c r="P796" s="108" t="e">
        <f t="shared" si="1414"/>
        <v>#DIV/0!</v>
      </c>
      <c r="Q796" s="109" t="e">
        <f t="shared" si="1414"/>
        <v>#DIV/0!</v>
      </c>
      <c r="R796" s="110" t="e">
        <f t="shared" si="1414"/>
        <v>#DIV/0!</v>
      </c>
      <c r="S796" s="105"/>
      <c r="T796" s="91"/>
      <c r="U796" s="100"/>
      <c r="V796" s="92"/>
      <c r="W796" s="101" t="s">
        <v>102</v>
      </c>
      <c r="X796" s="106" t="e">
        <f t="shared" ref="X796:AK796" si="1415">X795/X794</f>
        <v>#DIV/0!</v>
      </c>
      <c r="Y796" s="106" t="e">
        <f t="shared" si="1415"/>
        <v>#DIV/0!</v>
      </c>
      <c r="Z796" s="106" t="e">
        <f t="shared" si="1415"/>
        <v>#DIV/0!</v>
      </c>
      <c r="AA796" s="106" t="e">
        <f t="shared" si="1415"/>
        <v>#DIV/0!</v>
      </c>
      <c r="AB796" s="106" t="e">
        <f t="shared" si="1415"/>
        <v>#DIV/0!</v>
      </c>
      <c r="AC796" s="106" t="e">
        <f t="shared" si="1415"/>
        <v>#DIV/0!</v>
      </c>
      <c r="AD796" s="106" t="e">
        <f t="shared" si="1415"/>
        <v>#DIV/0!</v>
      </c>
      <c r="AE796" s="106" t="e">
        <f t="shared" si="1415"/>
        <v>#DIV/0!</v>
      </c>
      <c r="AF796" s="107" t="e">
        <f t="shared" si="1415"/>
        <v>#DIV/0!</v>
      </c>
      <c r="AG796" s="107" t="e">
        <f t="shared" si="1415"/>
        <v>#DIV/0!</v>
      </c>
      <c r="AH796" s="107" t="e">
        <f t="shared" si="1415"/>
        <v>#DIV/0!</v>
      </c>
      <c r="AI796" s="108" t="e">
        <f t="shared" si="1415"/>
        <v>#DIV/0!</v>
      </c>
      <c r="AJ796" s="109" t="e">
        <f t="shared" si="1415"/>
        <v>#DIV/0!</v>
      </c>
      <c r="AK796" s="110" t="e">
        <f t="shared" si="1415"/>
        <v>#DIV/0!</v>
      </c>
      <c r="AL796" s="105"/>
    </row>
    <row r="797" spans="1:38" ht="15.6" hidden="1" thickBot="1">
      <c r="A797" s="91"/>
      <c r="B797" s="100"/>
      <c r="C797" s="111"/>
      <c r="D797" s="112" t="s">
        <v>103</v>
      </c>
      <c r="E797" s="113" t="e">
        <f t="shared" ref="E797:R797" si="1416">E795/E793</f>
        <v>#DIV/0!</v>
      </c>
      <c r="F797" s="113" t="e">
        <f t="shared" si="1416"/>
        <v>#DIV/0!</v>
      </c>
      <c r="G797" s="113" t="e">
        <f t="shared" si="1416"/>
        <v>#DIV/0!</v>
      </c>
      <c r="H797" s="113" t="e">
        <f t="shared" si="1416"/>
        <v>#DIV/0!</v>
      </c>
      <c r="I797" s="113" t="e">
        <f t="shared" si="1416"/>
        <v>#DIV/0!</v>
      </c>
      <c r="J797" s="113" t="e">
        <f t="shared" si="1416"/>
        <v>#DIV/0!</v>
      </c>
      <c r="K797" s="113" t="e">
        <f t="shared" si="1416"/>
        <v>#DIV/0!</v>
      </c>
      <c r="L797" s="113" t="e">
        <f t="shared" si="1416"/>
        <v>#DIV/0!</v>
      </c>
      <c r="M797" s="113" t="e">
        <f t="shared" si="1416"/>
        <v>#DIV/0!</v>
      </c>
      <c r="N797" s="113" t="e">
        <f t="shared" si="1416"/>
        <v>#DIV/0!</v>
      </c>
      <c r="O797" s="113" t="e">
        <f t="shared" si="1416"/>
        <v>#DIV/0!</v>
      </c>
      <c r="P797" s="114" t="e">
        <f t="shared" si="1416"/>
        <v>#DIV/0!</v>
      </c>
      <c r="Q797" s="115" t="e">
        <f t="shared" si="1416"/>
        <v>#DIV/0!</v>
      </c>
      <c r="R797" s="116" t="e">
        <f t="shared" si="1416"/>
        <v>#DIV/0!</v>
      </c>
      <c r="T797" s="91"/>
      <c r="U797" s="100"/>
      <c r="V797" s="111"/>
      <c r="W797" s="112" t="s">
        <v>103</v>
      </c>
      <c r="X797" s="113" t="e">
        <f t="shared" ref="X797:AK797" si="1417">X795/X793</f>
        <v>#DIV/0!</v>
      </c>
      <c r="Y797" s="113" t="e">
        <f t="shared" si="1417"/>
        <v>#DIV/0!</v>
      </c>
      <c r="Z797" s="113" t="e">
        <f t="shared" si="1417"/>
        <v>#DIV/0!</v>
      </c>
      <c r="AA797" s="113" t="e">
        <f t="shared" si="1417"/>
        <v>#DIV/0!</v>
      </c>
      <c r="AB797" s="113" t="e">
        <f t="shared" si="1417"/>
        <v>#DIV/0!</v>
      </c>
      <c r="AC797" s="113" t="e">
        <f t="shared" si="1417"/>
        <v>#DIV/0!</v>
      </c>
      <c r="AD797" s="113" t="e">
        <f t="shared" si="1417"/>
        <v>#DIV/0!</v>
      </c>
      <c r="AE797" s="113" t="e">
        <f t="shared" si="1417"/>
        <v>#DIV/0!</v>
      </c>
      <c r="AF797" s="113" t="e">
        <f t="shared" si="1417"/>
        <v>#DIV/0!</v>
      </c>
      <c r="AG797" s="113" t="e">
        <f t="shared" si="1417"/>
        <v>#DIV/0!</v>
      </c>
      <c r="AH797" s="113" t="e">
        <f t="shared" si="1417"/>
        <v>#DIV/0!</v>
      </c>
      <c r="AI797" s="114" t="e">
        <f t="shared" si="1417"/>
        <v>#DIV/0!</v>
      </c>
      <c r="AJ797" s="115" t="e">
        <f t="shared" si="1417"/>
        <v>#DIV/0!</v>
      </c>
      <c r="AK797" s="116" t="e">
        <f t="shared" si="1417"/>
        <v>#DIV/0!</v>
      </c>
    </row>
    <row r="798" spans="1:38" ht="15.6" hidden="1" thickBot="1">
      <c r="A798" s="91"/>
      <c r="B798" s="100"/>
      <c r="C798" s="86"/>
      <c r="D798" s="87">
        <v>2019</v>
      </c>
      <c r="E798" s="88"/>
      <c r="F798" s="121"/>
      <c r="G798" s="121"/>
      <c r="H798" s="121"/>
      <c r="I798" s="121"/>
      <c r="J798" s="121"/>
      <c r="K798" s="121"/>
      <c r="L798" s="121"/>
      <c r="M798" s="122"/>
      <c r="N798" s="122"/>
      <c r="O798" s="122"/>
      <c r="P798" s="123"/>
      <c r="Q798" s="89">
        <f t="shared" ref="Q798:Q800" si="1418">SUM(E798:P798)</f>
        <v>0</v>
      </c>
      <c r="R798" s="90">
        <f t="shared" ref="R798" si="1419">SUM(E798:M798)</f>
        <v>0</v>
      </c>
      <c r="T798" s="91"/>
      <c r="U798" s="100"/>
      <c r="V798" s="86">
        <f t="shared" ref="V798:V799" si="1420">C798</f>
        <v>0</v>
      </c>
      <c r="W798" s="87">
        <v>2019</v>
      </c>
      <c r="X798" s="88"/>
      <c r="Y798" s="121"/>
      <c r="Z798" s="121"/>
      <c r="AA798" s="121"/>
      <c r="AB798" s="121"/>
      <c r="AC798" s="121"/>
      <c r="AD798" s="121"/>
      <c r="AE798" s="121"/>
      <c r="AF798" s="122"/>
      <c r="AG798" s="122"/>
      <c r="AH798" s="122"/>
      <c r="AI798" s="123"/>
      <c r="AJ798" s="89">
        <f t="shared" ref="AJ798:AJ800" si="1421">SUM(X798:AI798)</f>
        <v>0</v>
      </c>
      <c r="AK798" s="90">
        <f t="shared" ref="AK798:AK800" si="1422">SUM(X798:AF798)</f>
        <v>0</v>
      </c>
    </row>
    <row r="799" spans="1:38" ht="15.6" hidden="1" thickBot="1">
      <c r="A799" s="91"/>
      <c r="B799" s="100"/>
      <c r="C799" s="92"/>
      <c r="D799" s="93" t="s">
        <v>92</v>
      </c>
      <c r="E799" s="94"/>
      <c r="F799" s="97"/>
      <c r="G799" s="97"/>
      <c r="H799" s="97"/>
      <c r="I799" s="97"/>
      <c r="J799" s="97"/>
      <c r="K799" s="97"/>
      <c r="L799" s="97"/>
      <c r="M799" s="98"/>
      <c r="N799" s="98"/>
      <c r="O799" s="98"/>
      <c r="P799" s="99"/>
      <c r="Q799" s="95">
        <f t="shared" si="1418"/>
        <v>0</v>
      </c>
      <c r="R799" s="96">
        <f t="shared" si="1401"/>
        <v>0</v>
      </c>
      <c r="T799" s="91"/>
      <c r="U799" s="100"/>
      <c r="V799" s="92">
        <f t="shared" si="1420"/>
        <v>0</v>
      </c>
      <c r="W799" s="93" t="s">
        <v>92</v>
      </c>
      <c r="X799" s="94"/>
      <c r="Y799" s="97"/>
      <c r="Z799" s="97"/>
      <c r="AA799" s="97"/>
      <c r="AB799" s="97"/>
      <c r="AC799" s="97"/>
      <c r="AD799" s="97"/>
      <c r="AE799" s="97"/>
      <c r="AF799" s="98"/>
      <c r="AG799" s="98"/>
      <c r="AH799" s="98"/>
      <c r="AI799" s="99"/>
      <c r="AJ799" s="95">
        <f t="shared" si="1421"/>
        <v>0</v>
      </c>
      <c r="AK799" s="96">
        <f t="shared" si="1422"/>
        <v>0</v>
      </c>
    </row>
    <row r="800" spans="1:38" ht="15.6" hidden="1" thickBot="1">
      <c r="A800" s="91"/>
      <c r="B800" s="100"/>
      <c r="C800" s="92"/>
      <c r="D800" s="101">
        <v>2020</v>
      </c>
      <c r="E800" s="102"/>
      <c r="F800" s="124"/>
      <c r="G800" s="124"/>
      <c r="H800" s="124"/>
      <c r="I800" s="124"/>
      <c r="J800" s="124"/>
      <c r="K800" s="124"/>
      <c r="L800" s="124"/>
      <c r="M800" s="125"/>
      <c r="N800" s="125"/>
      <c r="O800" s="125"/>
      <c r="P800" s="126"/>
      <c r="Q800" s="103">
        <f t="shared" si="1418"/>
        <v>0</v>
      </c>
      <c r="R800" s="104">
        <f t="shared" si="1401"/>
        <v>0</v>
      </c>
      <c r="S800" s="105"/>
      <c r="T800" s="91"/>
      <c r="U800" s="100"/>
      <c r="V800" s="92"/>
      <c r="W800" s="101">
        <v>2020</v>
      </c>
      <c r="X800" s="102"/>
      <c r="Y800" s="124"/>
      <c r="Z800" s="124"/>
      <c r="AA800" s="124"/>
      <c r="AB800" s="124"/>
      <c r="AC800" s="124"/>
      <c r="AD800" s="124"/>
      <c r="AE800" s="124"/>
      <c r="AF800" s="125"/>
      <c r="AG800" s="125"/>
      <c r="AH800" s="125"/>
      <c r="AI800" s="126"/>
      <c r="AJ800" s="103">
        <f t="shared" si="1421"/>
        <v>0</v>
      </c>
      <c r="AK800" s="104">
        <f t="shared" si="1422"/>
        <v>0</v>
      </c>
      <c r="AL800" s="105"/>
    </row>
    <row r="801" spans="1:38" ht="15.6" hidden="1" thickBot="1">
      <c r="A801" s="91"/>
      <c r="B801" s="100"/>
      <c r="C801" s="92"/>
      <c r="D801" s="101" t="s">
        <v>102</v>
      </c>
      <c r="E801" s="106" t="e">
        <f t="shared" ref="E801:R801" si="1423">E800/E799</f>
        <v>#DIV/0!</v>
      </c>
      <c r="F801" s="106" t="e">
        <f t="shared" si="1423"/>
        <v>#DIV/0!</v>
      </c>
      <c r="G801" s="106" t="e">
        <f t="shared" si="1423"/>
        <v>#DIV/0!</v>
      </c>
      <c r="H801" s="106" t="e">
        <f t="shared" si="1423"/>
        <v>#DIV/0!</v>
      </c>
      <c r="I801" s="106" t="e">
        <f t="shared" si="1423"/>
        <v>#DIV/0!</v>
      </c>
      <c r="J801" s="106" t="e">
        <f t="shared" si="1423"/>
        <v>#DIV/0!</v>
      </c>
      <c r="K801" s="106" t="e">
        <f t="shared" si="1423"/>
        <v>#DIV/0!</v>
      </c>
      <c r="L801" s="106" t="e">
        <f t="shared" si="1423"/>
        <v>#DIV/0!</v>
      </c>
      <c r="M801" s="107" t="e">
        <f t="shared" si="1423"/>
        <v>#DIV/0!</v>
      </c>
      <c r="N801" s="107" t="e">
        <f t="shared" si="1423"/>
        <v>#DIV/0!</v>
      </c>
      <c r="O801" s="107" t="e">
        <f t="shared" si="1423"/>
        <v>#DIV/0!</v>
      </c>
      <c r="P801" s="108" t="e">
        <f t="shared" si="1423"/>
        <v>#DIV/0!</v>
      </c>
      <c r="Q801" s="109" t="e">
        <f t="shared" si="1423"/>
        <v>#DIV/0!</v>
      </c>
      <c r="R801" s="110" t="e">
        <f t="shared" si="1423"/>
        <v>#DIV/0!</v>
      </c>
      <c r="S801" s="105"/>
      <c r="T801" s="91"/>
      <c r="U801" s="100"/>
      <c r="V801" s="92"/>
      <c r="W801" s="101" t="s">
        <v>102</v>
      </c>
      <c r="X801" s="106" t="e">
        <f t="shared" ref="X801:AK801" si="1424">X800/X799</f>
        <v>#DIV/0!</v>
      </c>
      <c r="Y801" s="106" t="e">
        <f t="shared" si="1424"/>
        <v>#DIV/0!</v>
      </c>
      <c r="Z801" s="106" t="e">
        <f t="shared" si="1424"/>
        <v>#DIV/0!</v>
      </c>
      <c r="AA801" s="106" t="e">
        <f t="shared" si="1424"/>
        <v>#DIV/0!</v>
      </c>
      <c r="AB801" s="106" t="e">
        <f t="shared" si="1424"/>
        <v>#DIV/0!</v>
      </c>
      <c r="AC801" s="106" t="e">
        <f t="shared" si="1424"/>
        <v>#DIV/0!</v>
      </c>
      <c r="AD801" s="106" t="e">
        <f t="shared" si="1424"/>
        <v>#DIV/0!</v>
      </c>
      <c r="AE801" s="106" t="e">
        <f t="shared" si="1424"/>
        <v>#DIV/0!</v>
      </c>
      <c r="AF801" s="107" t="e">
        <f t="shared" si="1424"/>
        <v>#DIV/0!</v>
      </c>
      <c r="AG801" s="107" t="e">
        <f t="shared" si="1424"/>
        <v>#DIV/0!</v>
      </c>
      <c r="AH801" s="107" t="e">
        <f t="shared" si="1424"/>
        <v>#DIV/0!</v>
      </c>
      <c r="AI801" s="108" t="e">
        <f t="shared" si="1424"/>
        <v>#DIV/0!</v>
      </c>
      <c r="AJ801" s="109" t="e">
        <f t="shared" si="1424"/>
        <v>#DIV/0!</v>
      </c>
      <c r="AK801" s="110" t="e">
        <f t="shared" si="1424"/>
        <v>#DIV/0!</v>
      </c>
      <c r="AL801" s="105"/>
    </row>
    <row r="802" spans="1:38" ht="15.6" hidden="1" thickBot="1">
      <c r="A802" s="91"/>
      <c r="B802" s="100"/>
      <c r="C802" s="111"/>
      <c r="D802" s="112" t="s">
        <v>103</v>
      </c>
      <c r="E802" s="113" t="e">
        <f t="shared" ref="E802:R802" si="1425">E800/E798</f>
        <v>#DIV/0!</v>
      </c>
      <c r="F802" s="113" t="e">
        <f t="shared" si="1425"/>
        <v>#DIV/0!</v>
      </c>
      <c r="G802" s="113" t="e">
        <f t="shared" si="1425"/>
        <v>#DIV/0!</v>
      </c>
      <c r="H802" s="113" t="e">
        <f t="shared" si="1425"/>
        <v>#DIV/0!</v>
      </c>
      <c r="I802" s="113" t="e">
        <f t="shared" si="1425"/>
        <v>#DIV/0!</v>
      </c>
      <c r="J802" s="113" t="e">
        <f t="shared" si="1425"/>
        <v>#DIV/0!</v>
      </c>
      <c r="K802" s="113" t="e">
        <f t="shared" si="1425"/>
        <v>#DIV/0!</v>
      </c>
      <c r="L802" s="113" t="e">
        <f t="shared" si="1425"/>
        <v>#DIV/0!</v>
      </c>
      <c r="M802" s="113" t="e">
        <f t="shared" si="1425"/>
        <v>#DIV/0!</v>
      </c>
      <c r="N802" s="113" t="e">
        <f t="shared" si="1425"/>
        <v>#DIV/0!</v>
      </c>
      <c r="O802" s="113" t="e">
        <f t="shared" si="1425"/>
        <v>#DIV/0!</v>
      </c>
      <c r="P802" s="114" t="e">
        <f t="shared" si="1425"/>
        <v>#DIV/0!</v>
      </c>
      <c r="Q802" s="115" t="e">
        <f t="shared" si="1425"/>
        <v>#DIV/0!</v>
      </c>
      <c r="R802" s="116" t="e">
        <f t="shared" si="1425"/>
        <v>#DIV/0!</v>
      </c>
      <c r="T802" s="91"/>
      <c r="U802" s="100"/>
      <c r="V802" s="111"/>
      <c r="W802" s="112" t="s">
        <v>103</v>
      </c>
      <c r="X802" s="113" t="e">
        <f t="shared" ref="X802:AK802" si="1426">X800/X798</f>
        <v>#DIV/0!</v>
      </c>
      <c r="Y802" s="113" t="e">
        <f t="shared" si="1426"/>
        <v>#DIV/0!</v>
      </c>
      <c r="Z802" s="113" t="e">
        <f t="shared" si="1426"/>
        <v>#DIV/0!</v>
      </c>
      <c r="AA802" s="113" t="e">
        <f t="shared" si="1426"/>
        <v>#DIV/0!</v>
      </c>
      <c r="AB802" s="113" t="e">
        <f t="shared" si="1426"/>
        <v>#DIV/0!</v>
      </c>
      <c r="AC802" s="113" t="e">
        <f t="shared" si="1426"/>
        <v>#DIV/0!</v>
      </c>
      <c r="AD802" s="113" t="e">
        <f t="shared" si="1426"/>
        <v>#DIV/0!</v>
      </c>
      <c r="AE802" s="113" t="e">
        <f t="shared" si="1426"/>
        <v>#DIV/0!</v>
      </c>
      <c r="AF802" s="113" t="e">
        <f t="shared" si="1426"/>
        <v>#DIV/0!</v>
      </c>
      <c r="AG802" s="113" t="e">
        <f t="shared" si="1426"/>
        <v>#DIV/0!</v>
      </c>
      <c r="AH802" s="113" t="e">
        <f t="shared" si="1426"/>
        <v>#DIV/0!</v>
      </c>
      <c r="AI802" s="114" t="e">
        <f t="shared" si="1426"/>
        <v>#DIV/0!</v>
      </c>
      <c r="AJ802" s="115" t="e">
        <f t="shared" si="1426"/>
        <v>#DIV/0!</v>
      </c>
      <c r="AK802" s="116" t="e">
        <f t="shared" si="1426"/>
        <v>#DIV/0!</v>
      </c>
    </row>
    <row r="803" spans="1:38" ht="15.6" hidden="1" thickBot="1">
      <c r="A803" s="91"/>
      <c r="B803" s="100"/>
      <c r="C803" s="86"/>
      <c r="D803" s="87">
        <v>2019</v>
      </c>
      <c r="E803" s="88"/>
      <c r="F803" s="121"/>
      <c r="G803" s="121"/>
      <c r="H803" s="121"/>
      <c r="I803" s="121"/>
      <c r="J803" s="121"/>
      <c r="K803" s="121"/>
      <c r="L803" s="121"/>
      <c r="M803" s="122"/>
      <c r="N803" s="122"/>
      <c r="O803" s="122"/>
      <c r="P803" s="123"/>
      <c r="Q803" s="89">
        <f t="shared" ref="Q803:Q805" si="1427">SUM(E803:P803)</f>
        <v>0</v>
      </c>
      <c r="R803" s="90">
        <f t="shared" ref="R803" si="1428">SUM(E803:M803)</f>
        <v>0</v>
      </c>
      <c r="T803" s="91"/>
      <c r="U803" s="100"/>
      <c r="V803" s="86">
        <f t="shared" ref="V803:V804" si="1429">C803</f>
        <v>0</v>
      </c>
      <c r="W803" s="87">
        <v>2019</v>
      </c>
      <c r="X803" s="88"/>
      <c r="Y803" s="121"/>
      <c r="Z803" s="121"/>
      <c r="AA803" s="121"/>
      <c r="AB803" s="121"/>
      <c r="AC803" s="121"/>
      <c r="AD803" s="121"/>
      <c r="AE803" s="121"/>
      <c r="AF803" s="122"/>
      <c r="AG803" s="122"/>
      <c r="AH803" s="122"/>
      <c r="AI803" s="123"/>
      <c r="AJ803" s="89">
        <f t="shared" ref="AJ803:AJ805" si="1430">SUM(X803:AI803)</f>
        <v>0</v>
      </c>
      <c r="AK803" s="90">
        <f t="shared" ref="AK803:AK805" si="1431">SUM(X803:AF803)</f>
        <v>0</v>
      </c>
    </row>
    <row r="804" spans="1:38" ht="15.6" hidden="1" thickBot="1">
      <c r="A804" s="91"/>
      <c r="B804" s="100"/>
      <c r="C804" s="92"/>
      <c r="D804" s="93" t="s">
        <v>92</v>
      </c>
      <c r="E804" s="94"/>
      <c r="F804" s="97"/>
      <c r="G804" s="97"/>
      <c r="H804" s="97"/>
      <c r="I804" s="97"/>
      <c r="J804" s="97"/>
      <c r="K804" s="97"/>
      <c r="L804" s="97"/>
      <c r="M804" s="98"/>
      <c r="N804" s="98"/>
      <c r="O804" s="98"/>
      <c r="P804" s="99"/>
      <c r="Q804" s="95">
        <f t="shared" si="1427"/>
        <v>0</v>
      </c>
      <c r="R804" s="96">
        <f t="shared" si="1401"/>
        <v>0</v>
      </c>
      <c r="T804" s="91"/>
      <c r="U804" s="100"/>
      <c r="V804" s="92">
        <f t="shared" si="1429"/>
        <v>0</v>
      </c>
      <c r="W804" s="93" t="s">
        <v>92</v>
      </c>
      <c r="X804" s="94"/>
      <c r="Y804" s="97"/>
      <c r="Z804" s="97"/>
      <c r="AA804" s="97"/>
      <c r="AB804" s="97"/>
      <c r="AC804" s="97"/>
      <c r="AD804" s="97"/>
      <c r="AE804" s="97"/>
      <c r="AF804" s="98"/>
      <c r="AG804" s="98"/>
      <c r="AH804" s="98"/>
      <c r="AI804" s="99"/>
      <c r="AJ804" s="95">
        <f t="shared" si="1430"/>
        <v>0</v>
      </c>
      <c r="AK804" s="96">
        <f t="shared" si="1431"/>
        <v>0</v>
      </c>
    </row>
    <row r="805" spans="1:38" ht="15.6" hidden="1" thickBot="1">
      <c r="A805" s="91"/>
      <c r="B805" s="100"/>
      <c r="C805" s="92"/>
      <c r="D805" s="101">
        <v>2020</v>
      </c>
      <c r="E805" s="102"/>
      <c r="F805" s="124"/>
      <c r="G805" s="124"/>
      <c r="H805" s="124"/>
      <c r="I805" s="124"/>
      <c r="J805" s="124"/>
      <c r="K805" s="124"/>
      <c r="L805" s="124"/>
      <c r="M805" s="125"/>
      <c r="N805" s="125"/>
      <c r="O805" s="125"/>
      <c r="P805" s="126"/>
      <c r="Q805" s="103">
        <f t="shared" si="1427"/>
        <v>0</v>
      </c>
      <c r="R805" s="104">
        <f t="shared" si="1401"/>
        <v>0</v>
      </c>
      <c r="S805" s="105"/>
      <c r="T805" s="91"/>
      <c r="U805" s="100"/>
      <c r="V805" s="92"/>
      <c r="W805" s="101">
        <v>2020</v>
      </c>
      <c r="X805" s="102"/>
      <c r="Y805" s="124"/>
      <c r="Z805" s="124"/>
      <c r="AA805" s="124"/>
      <c r="AB805" s="124"/>
      <c r="AC805" s="124"/>
      <c r="AD805" s="124"/>
      <c r="AE805" s="124"/>
      <c r="AF805" s="125"/>
      <c r="AG805" s="125"/>
      <c r="AH805" s="125"/>
      <c r="AI805" s="126"/>
      <c r="AJ805" s="103">
        <f t="shared" si="1430"/>
        <v>0</v>
      </c>
      <c r="AK805" s="104">
        <f t="shared" si="1431"/>
        <v>0</v>
      </c>
      <c r="AL805" s="105"/>
    </row>
    <row r="806" spans="1:38" ht="15.6" hidden="1" thickBot="1">
      <c r="A806" s="91"/>
      <c r="B806" s="100"/>
      <c r="C806" s="92"/>
      <c r="D806" s="101" t="s">
        <v>102</v>
      </c>
      <c r="E806" s="106" t="e">
        <f t="shared" ref="E806:R806" si="1432">E805/E804</f>
        <v>#DIV/0!</v>
      </c>
      <c r="F806" s="106" t="e">
        <f t="shared" si="1432"/>
        <v>#DIV/0!</v>
      </c>
      <c r="G806" s="106" t="e">
        <f t="shared" si="1432"/>
        <v>#DIV/0!</v>
      </c>
      <c r="H806" s="106" t="e">
        <f t="shared" si="1432"/>
        <v>#DIV/0!</v>
      </c>
      <c r="I806" s="106" t="e">
        <f t="shared" si="1432"/>
        <v>#DIV/0!</v>
      </c>
      <c r="J806" s="106" t="e">
        <f t="shared" si="1432"/>
        <v>#DIV/0!</v>
      </c>
      <c r="K806" s="106" t="e">
        <f t="shared" si="1432"/>
        <v>#DIV/0!</v>
      </c>
      <c r="L806" s="106" t="e">
        <f t="shared" si="1432"/>
        <v>#DIV/0!</v>
      </c>
      <c r="M806" s="107" t="e">
        <f t="shared" si="1432"/>
        <v>#DIV/0!</v>
      </c>
      <c r="N806" s="107" t="e">
        <f t="shared" si="1432"/>
        <v>#DIV/0!</v>
      </c>
      <c r="O806" s="107" t="e">
        <f t="shared" si="1432"/>
        <v>#DIV/0!</v>
      </c>
      <c r="P806" s="108" t="e">
        <f t="shared" si="1432"/>
        <v>#DIV/0!</v>
      </c>
      <c r="Q806" s="109" t="e">
        <f t="shared" si="1432"/>
        <v>#DIV/0!</v>
      </c>
      <c r="R806" s="110" t="e">
        <f t="shared" si="1432"/>
        <v>#DIV/0!</v>
      </c>
      <c r="S806" s="105"/>
      <c r="T806" s="91"/>
      <c r="U806" s="100"/>
      <c r="V806" s="92"/>
      <c r="W806" s="101" t="s">
        <v>102</v>
      </c>
      <c r="X806" s="106" t="e">
        <f t="shared" ref="X806:AK806" si="1433">X805/X804</f>
        <v>#DIV/0!</v>
      </c>
      <c r="Y806" s="106" t="e">
        <f t="shared" si="1433"/>
        <v>#DIV/0!</v>
      </c>
      <c r="Z806" s="106" t="e">
        <f t="shared" si="1433"/>
        <v>#DIV/0!</v>
      </c>
      <c r="AA806" s="106" t="e">
        <f t="shared" si="1433"/>
        <v>#DIV/0!</v>
      </c>
      <c r="AB806" s="106" t="e">
        <f t="shared" si="1433"/>
        <v>#DIV/0!</v>
      </c>
      <c r="AC806" s="106" t="e">
        <f t="shared" si="1433"/>
        <v>#DIV/0!</v>
      </c>
      <c r="AD806" s="106" t="e">
        <f t="shared" si="1433"/>
        <v>#DIV/0!</v>
      </c>
      <c r="AE806" s="106" t="e">
        <f t="shared" si="1433"/>
        <v>#DIV/0!</v>
      </c>
      <c r="AF806" s="107" t="e">
        <f t="shared" si="1433"/>
        <v>#DIV/0!</v>
      </c>
      <c r="AG806" s="107" t="e">
        <f t="shared" si="1433"/>
        <v>#DIV/0!</v>
      </c>
      <c r="AH806" s="107" t="e">
        <f t="shared" si="1433"/>
        <v>#DIV/0!</v>
      </c>
      <c r="AI806" s="108" t="e">
        <f t="shared" si="1433"/>
        <v>#DIV/0!</v>
      </c>
      <c r="AJ806" s="109" t="e">
        <f t="shared" si="1433"/>
        <v>#DIV/0!</v>
      </c>
      <c r="AK806" s="110" t="e">
        <f t="shared" si="1433"/>
        <v>#DIV/0!</v>
      </c>
      <c r="AL806" s="105"/>
    </row>
    <row r="807" spans="1:38" ht="15.6" hidden="1" thickBot="1">
      <c r="A807" s="91"/>
      <c r="B807" s="100"/>
      <c r="C807" s="111"/>
      <c r="D807" s="112" t="s">
        <v>103</v>
      </c>
      <c r="E807" s="113" t="e">
        <f t="shared" ref="E807:R807" si="1434">E805/E803</f>
        <v>#DIV/0!</v>
      </c>
      <c r="F807" s="113" t="e">
        <f t="shared" si="1434"/>
        <v>#DIV/0!</v>
      </c>
      <c r="G807" s="113" t="e">
        <f t="shared" si="1434"/>
        <v>#DIV/0!</v>
      </c>
      <c r="H807" s="113" t="e">
        <f t="shared" si="1434"/>
        <v>#DIV/0!</v>
      </c>
      <c r="I807" s="113" t="e">
        <f t="shared" si="1434"/>
        <v>#DIV/0!</v>
      </c>
      <c r="J807" s="113" t="e">
        <f t="shared" si="1434"/>
        <v>#DIV/0!</v>
      </c>
      <c r="K807" s="113" t="e">
        <f t="shared" si="1434"/>
        <v>#DIV/0!</v>
      </c>
      <c r="L807" s="113" t="e">
        <f t="shared" si="1434"/>
        <v>#DIV/0!</v>
      </c>
      <c r="M807" s="113" t="e">
        <f t="shared" si="1434"/>
        <v>#DIV/0!</v>
      </c>
      <c r="N807" s="113" t="e">
        <f t="shared" si="1434"/>
        <v>#DIV/0!</v>
      </c>
      <c r="O807" s="113" t="e">
        <f t="shared" si="1434"/>
        <v>#DIV/0!</v>
      </c>
      <c r="P807" s="114" t="e">
        <f t="shared" si="1434"/>
        <v>#DIV/0!</v>
      </c>
      <c r="Q807" s="115" t="e">
        <f t="shared" si="1434"/>
        <v>#DIV/0!</v>
      </c>
      <c r="R807" s="116" t="e">
        <f t="shared" si="1434"/>
        <v>#DIV/0!</v>
      </c>
      <c r="T807" s="91"/>
      <c r="U807" s="100"/>
      <c r="V807" s="111"/>
      <c r="W807" s="112" t="s">
        <v>103</v>
      </c>
      <c r="X807" s="113" t="e">
        <f t="shared" ref="X807:AK807" si="1435">X805/X803</f>
        <v>#DIV/0!</v>
      </c>
      <c r="Y807" s="113" t="e">
        <f t="shared" si="1435"/>
        <v>#DIV/0!</v>
      </c>
      <c r="Z807" s="113" t="e">
        <f t="shared" si="1435"/>
        <v>#DIV/0!</v>
      </c>
      <c r="AA807" s="113" t="e">
        <f t="shared" si="1435"/>
        <v>#DIV/0!</v>
      </c>
      <c r="AB807" s="113" t="e">
        <f t="shared" si="1435"/>
        <v>#DIV/0!</v>
      </c>
      <c r="AC807" s="113" t="e">
        <f t="shared" si="1435"/>
        <v>#DIV/0!</v>
      </c>
      <c r="AD807" s="113" t="e">
        <f t="shared" si="1435"/>
        <v>#DIV/0!</v>
      </c>
      <c r="AE807" s="113" t="e">
        <f t="shared" si="1435"/>
        <v>#DIV/0!</v>
      </c>
      <c r="AF807" s="113" t="e">
        <f t="shared" si="1435"/>
        <v>#DIV/0!</v>
      </c>
      <c r="AG807" s="113" t="e">
        <f t="shared" si="1435"/>
        <v>#DIV/0!</v>
      </c>
      <c r="AH807" s="113" t="e">
        <f t="shared" si="1435"/>
        <v>#DIV/0!</v>
      </c>
      <c r="AI807" s="114" t="e">
        <f t="shared" si="1435"/>
        <v>#DIV/0!</v>
      </c>
      <c r="AJ807" s="115" t="e">
        <f t="shared" si="1435"/>
        <v>#DIV/0!</v>
      </c>
      <c r="AK807" s="116" t="e">
        <f t="shared" si="1435"/>
        <v>#DIV/0!</v>
      </c>
    </row>
    <row r="808" spans="1:38" ht="15.6" hidden="1" thickBot="1">
      <c r="A808" s="91"/>
      <c r="B808" s="100"/>
      <c r="C808" s="86"/>
      <c r="D808" s="87">
        <v>2019</v>
      </c>
      <c r="E808" s="88"/>
      <c r="F808" s="121"/>
      <c r="G808" s="121"/>
      <c r="H808" s="121"/>
      <c r="I808" s="121"/>
      <c r="J808" s="121"/>
      <c r="K808" s="121"/>
      <c r="L808" s="121"/>
      <c r="M808" s="122"/>
      <c r="N808" s="122"/>
      <c r="O808" s="122"/>
      <c r="P808" s="123"/>
      <c r="Q808" s="89">
        <f t="shared" ref="Q808:Q810" si="1436">SUM(E808:P808)</f>
        <v>0</v>
      </c>
      <c r="R808" s="90">
        <f t="shared" ref="R808" si="1437">SUM(E808:M808)</f>
        <v>0</v>
      </c>
      <c r="T808" s="91"/>
      <c r="U808" s="100"/>
      <c r="V808" s="86">
        <f t="shared" ref="V808:V809" si="1438">C808</f>
        <v>0</v>
      </c>
      <c r="W808" s="87">
        <v>2019</v>
      </c>
      <c r="X808" s="88"/>
      <c r="Y808" s="121"/>
      <c r="Z808" s="121"/>
      <c r="AA808" s="121"/>
      <c r="AB808" s="121"/>
      <c r="AC808" s="121"/>
      <c r="AD808" s="121"/>
      <c r="AE808" s="121"/>
      <c r="AF808" s="122"/>
      <c r="AG808" s="122"/>
      <c r="AH808" s="122"/>
      <c r="AI808" s="123"/>
      <c r="AJ808" s="89">
        <f t="shared" ref="AJ808:AJ810" si="1439">SUM(X808:AI808)</f>
        <v>0</v>
      </c>
      <c r="AK808" s="90">
        <f t="shared" ref="AK808:AK810" si="1440">SUM(X808:AF808)</f>
        <v>0</v>
      </c>
    </row>
    <row r="809" spans="1:38" ht="15.6" hidden="1" thickBot="1">
      <c r="A809" s="91"/>
      <c r="B809" s="100"/>
      <c r="C809" s="92"/>
      <c r="D809" s="93" t="s">
        <v>92</v>
      </c>
      <c r="E809" s="94"/>
      <c r="F809" s="97"/>
      <c r="G809" s="97"/>
      <c r="H809" s="97"/>
      <c r="I809" s="97"/>
      <c r="J809" s="97"/>
      <c r="K809" s="97"/>
      <c r="L809" s="97"/>
      <c r="M809" s="98"/>
      <c r="N809" s="98"/>
      <c r="O809" s="98"/>
      <c r="P809" s="99"/>
      <c r="Q809" s="95">
        <f t="shared" si="1436"/>
        <v>0</v>
      </c>
      <c r="R809" s="96">
        <f t="shared" si="1401"/>
        <v>0</v>
      </c>
      <c r="T809" s="91"/>
      <c r="U809" s="100"/>
      <c r="V809" s="92">
        <f t="shared" si="1438"/>
        <v>0</v>
      </c>
      <c r="W809" s="93" t="s">
        <v>92</v>
      </c>
      <c r="X809" s="94"/>
      <c r="Y809" s="97"/>
      <c r="Z809" s="97"/>
      <c r="AA809" s="97"/>
      <c r="AB809" s="97"/>
      <c r="AC809" s="97"/>
      <c r="AD809" s="97"/>
      <c r="AE809" s="97"/>
      <c r="AF809" s="98"/>
      <c r="AG809" s="98"/>
      <c r="AH809" s="98"/>
      <c r="AI809" s="99"/>
      <c r="AJ809" s="95">
        <f t="shared" si="1439"/>
        <v>0</v>
      </c>
      <c r="AK809" s="96">
        <f t="shared" si="1440"/>
        <v>0</v>
      </c>
    </row>
    <row r="810" spans="1:38" ht="15.6" hidden="1" thickBot="1">
      <c r="A810" s="91"/>
      <c r="B810" s="100"/>
      <c r="C810" s="92"/>
      <c r="D810" s="101">
        <v>2020</v>
      </c>
      <c r="E810" s="102"/>
      <c r="F810" s="124"/>
      <c r="G810" s="124"/>
      <c r="H810" s="124"/>
      <c r="I810" s="124"/>
      <c r="J810" s="124"/>
      <c r="K810" s="124"/>
      <c r="L810" s="124"/>
      <c r="M810" s="125"/>
      <c r="N810" s="125"/>
      <c r="O810" s="125"/>
      <c r="P810" s="126"/>
      <c r="Q810" s="103">
        <f t="shared" si="1436"/>
        <v>0</v>
      </c>
      <c r="R810" s="104">
        <f t="shared" si="1401"/>
        <v>0</v>
      </c>
      <c r="S810" s="105"/>
      <c r="T810" s="91"/>
      <c r="U810" s="100"/>
      <c r="V810" s="92"/>
      <c r="W810" s="101">
        <v>2020</v>
      </c>
      <c r="X810" s="102"/>
      <c r="Y810" s="124"/>
      <c r="Z810" s="124"/>
      <c r="AA810" s="124"/>
      <c r="AB810" s="124"/>
      <c r="AC810" s="124"/>
      <c r="AD810" s="124"/>
      <c r="AE810" s="124"/>
      <c r="AF810" s="125"/>
      <c r="AG810" s="125"/>
      <c r="AH810" s="125"/>
      <c r="AI810" s="126"/>
      <c r="AJ810" s="103">
        <f t="shared" si="1439"/>
        <v>0</v>
      </c>
      <c r="AK810" s="104">
        <f t="shared" si="1440"/>
        <v>0</v>
      </c>
      <c r="AL810" s="105"/>
    </row>
    <row r="811" spans="1:38" ht="15.6" hidden="1" thickBot="1">
      <c r="A811" s="91"/>
      <c r="B811" s="100"/>
      <c r="C811" s="92"/>
      <c r="D811" s="101" t="s">
        <v>102</v>
      </c>
      <c r="E811" s="106" t="e">
        <f t="shared" ref="E811:R811" si="1441">E810/E809</f>
        <v>#DIV/0!</v>
      </c>
      <c r="F811" s="106" t="e">
        <f t="shared" si="1441"/>
        <v>#DIV/0!</v>
      </c>
      <c r="G811" s="106" t="e">
        <f t="shared" si="1441"/>
        <v>#DIV/0!</v>
      </c>
      <c r="H811" s="106" t="e">
        <f t="shared" si="1441"/>
        <v>#DIV/0!</v>
      </c>
      <c r="I811" s="106" t="e">
        <f t="shared" si="1441"/>
        <v>#DIV/0!</v>
      </c>
      <c r="J811" s="106" t="e">
        <f t="shared" si="1441"/>
        <v>#DIV/0!</v>
      </c>
      <c r="K811" s="106" t="e">
        <f t="shared" si="1441"/>
        <v>#DIV/0!</v>
      </c>
      <c r="L811" s="106" t="e">
        <f t="shared" si="1441"/>
        <v>#DIV/0!</v>
      </c>
      <c r="M811" s="107" t="e">
        <f t="shared" si="1441"/>
        <v>#DIV/0!</v>
      </c>
      <c r="N811" s="107" t="e">
        <f t="shared" si="1441"/>
        <v>#DIV/0!</v>
      </c>
      <c r="O811" s="107" t="e">
        <f t="shared" si="1441"/>
        <v>#DIV/0!</v>
      </c>
      <c r="P811" s="108" t="e">
        <f t="shared" si="1441"/>
        <v>#DIV/0!</v>
      </c>
      <c r="Q811" s="109" t="e">
        <f t="shared" si="1441"/>
        <v>#DIV/0!</v>
      </c>
      <c r="R811" s="110" t="e">
        <f t="shared" si="1441"/>
        <v>#DIV/0!</v>
      </c>
      <c r="S811" s="105"/>
      <c r="T811" s="91"/>
      <c r="U811" s="100"/>
      <c r="V811" s="92"/>
      <c r="W811" s="101" t="s">
        <v>102</v>
      </c>
      <c r="X811" s="106" t="e">
        <f t="shared" ref="X811:AK811" si="1442">X810/X809</f>
        <v>#DIV/0!</v>
      </c>
      <c r="Y811" s="106" t="e">
        <f t="shared" si="1442"/>
        <v>#DIV/0!</v>
      </c>
      <c r="Z811" s="106" t="e">
        <f t="shared" si="1442"/>
        <v>#DIV/0!</v>
      </c>
      <c r="AA811" s="106" t="e">
        <f t="shared" si="1442"/>
        <v>#DIV/0!</v>
      </c>
      <c r="AB811" s="106" t="e">
        <f t="shared" si="1442"/>
        <v>#DIV/0!</v>
      </c>
      <c r="AC811" s="106" t="e">
        <f t="shared" si="1442"/>
        <v>#DIV/0!</v>
      </c>
      <c r="AD811" s="106" t="e">
        <f t="shared" si="1442"/>
        <v>#DIV/0!</v>
      </c>
      <c r="AE811" s="106" t="e">
        <f t="shared" si="1442"/>
        <v>#DIV/0!</v>
      </c>
      <c r="AF811" s="107" t="e">
        <f t="shared" si="1442"/>
        <v>#DIV/0!</v>
      </c>
      <c r="AG811" s="107" t="e">
        <f t="shared" si="1442"/>
        <v>#DIV/0!</v>
      </c>
      <c r="AH811" s="107" t="e">
        <f t="shared" si="1442"/>
        <v>#DIV/0!</v>
      </c>
      <c r="AI811" s="108" t="e">
        <f t="shared" si="1442"/>
        <v>#DIV/0!</v>
      </c>
      <c r="AJ811" s="109" t="e">
        <f t="shared" si="1442"/>
        <v>#DIV/0!</v>
      </c>
      <c r="AK811" s="110" t="e">
        <f t="shared" si="1442"/>
        <v>#DIV/0!</v>
      </c>
      <c r="AL811" s="105"/>
    </row>
    <row r="812" spans="1:38" ht="15.6" hidden="1" thickBot="1">
      <c r="A812" s="91"/>
      <c r="B812" s="100"/>
      <c r="C812" s="111"/>
      <c r="D812" s="112" t="s">
        <v>103</v>
      </c>
      <c r="E812" s="113" t="e">
        <f t="shared" ref="E812:R812" si="1443">E810/E808</f>
        <v>#DIV/0!</v>
      </c>
      <c r="F812" s="113" t="e">
        <f t="shared" si="1443"/>
        <v>#DIV/0!</v>
      </c>
      <c r="G812" s="113" t="e">
        <f t="shared" si="1443"/>
        <v>#DIV/0!</v>
      </c>
      <c r="H812" s="113" t="e">
        <f t="shared" si="1443"/>
        <v>#DIV/0!</v>
      </c>
      <c r="I812" s="113" t="e">
        <f t="shared" si="1443"/>
        <v>#DIV/0!</v>
      </c>
      <c r="J812" s="113" t="e">
        <f t="shared" si="1443"/>
        <v>#DIV/0!</v>
      </c>
      <c r="K812" s="113" t="e">
        <f t="shared" si="1443"/>
        <v>#DIV/0!</v>
      </c>
      <c r="L812" s="113" t="e">
        <f t="shared" si="1443"/>
        <v>#DIV/0!</v>
      </c>
      <c r="M812" s="113" t="e">
        <f t="shared" si="1443"/>
        <v>#DIV/0!</v>
      </c>
      <c r="N812" s="113" t="e">
        <f t="shared" si="1443"/>
        <v>#DIV/0!</v>
      </c>
      <c r="O812" s="113" t="e">
        <f t="shared" si="1443"/>
        <v>#DIV/0!</v>
      </c>
      <c r="P812" s="114" t="e">
        <f t="shared" si="1443"/>
        <v>#DIV/0!</v>
      </c>
      <c r="Q812" s="115" t="e">
        <f t="shared" si="1443"/>
        <v>#DIV/0!</v>
      </c>
      <c r="R812" s="116" t="e">
        <f t="shared" si="1443"/>
        <v>#DIV/0!</v>
      </c>
      <c r="T812" s="91"/>
      <c r="U812" s="100"/>
      <c r="V812" s="111"/>
      <c r="W812" s="112" t="s">
        <v>103</v>
      </c>
      <c r="X812" s="113" t="e">
        <f t="shared" ref="X812:AK812" si="1444">X810/X808</f>
        <v>#DIV/0!</v>
      </c>
      <c r="Y812" s="113" t="e">
        <f t="shared" si="1444"/>
        <v>#DIV/0!</v>
      </c>
      <c r="Z812" s="113" t="e">
        <f t="shared" si="1444"/>
        <v>#DIV/0!</v>
      </c>
      <c r="AA812" s="113" t="e">
        <f t="shared" si="1444"/>
        <v>#DIV/0!</v>
      </c>
      <c r="AB812" s="113" t="e">
        <f t="shared" si="1444"/>
        <v>#DIV/0!</v>
      </c>
      <c r="AC812" s="113" t="e">
        <f t="shared" si="1444"/>
        <v>#DIV/0!</v>
      </c>
      <c r="AD812" s="113" t="e">
        <f t="shared" si="1444"/>
        <v>#DIV/0!</v>
      </c>
      <c r="AE812" s="113" t="e">
        <f t="shared" si="1444"/>
        <v>#DIV/0!</v>
      </c>
      <c r="AF812" s="113" t="e">
        <f t="shared" si="1444"/>
        <v>#DIV/0!</v>
      </c>
      <c r="AG812" s="113" t="e">
        <f t="shared" si="1444"/>
        <v>#DIV/0!</v>
      </c>
      <c r="AH812" s="113" t="e">
        <f t="shared" si="1444"/>
        <v>#DIV/0!</v>
      </c>
      <c r="AI812" s="114" t="e">
        <f t="shared" si="1444"/>
        <v>#DIV/0!</v>
      </c>
      <c r="AJ812" s="115" t="e">
        <f t="shared" si="1444"/>
        <v>#DIV/0!</v>
      </c>
      <c r="AK812" s="116" t="e">
        <f t="shared" si="1444"/>
        <v>#DIV/0!</v>
      </c>
    </row>
    <row r="813" spans="1:38" ht="15.6" hidden="1" thickBot="1">
      <c r="A813" s="91"/>
      <c r="B813" s="100"/>
      <c r="C813" s="86"/>
      <c r="D813" s="87">
        <v>2019</v>
      </c>
      <c r="E813" s="88"/>
      <c r="F813" s="121"/>
      <c r="G813" s="121"/>
      <c r="H813" s="121"/>
      <c r="I813" s="121"/>
      <c r="J813" s="121"/>
      <c r="K813" s="121"/>
      <c r="L813" s="121"/>
      <c r="M813" s="122"/>
      <c r="N813" s="122"/>
      <c r="O813" s="122"/>
      <c r="P813" s="123"/>
      <c r="Q813" s="89">
        <f t="shared" ref="Q813:Q815" si="1445">SUM(E813:P813)</f>
        <v>0</v>
      </c>
      <c r="R813" s="90">
        <f t="shared" ref="R813" si="1446">SUM(E813:M813)</f>
        <v>0</v>
      </c>
      <c r="T813" s="91"/>
      <c r="U813" s="100"/>
      <c r="V813" s="86">
        <f t="shared" ref="V813:V814" si="1447">C813</f>
        <v>0</v>
      </c>
      <c r="W813" s="87">
        <v>2019</v>
      </c>
      <c r="X813" s="88"/>
      <c r="Y813" s="121"/>
      <c r="Z813" s="121"/>
      <c r="AA813" s="121"/>
      <c r="AB813" s="121"/>
      <c r="AC813" s="121"/>
      <c r="AD813" s="121"/>
      <c r="AE813" s="121"/>
      <c r="AF813" s="122"/>
      <c r="AG813" s="122"/>
      <c r="AH813" s="122"/>
      <c r="AI813" s="123"/>
      <c r="AJ813" s="89">
        <f t="shared" ref="AJ813:AJ815" si="1448">SUM(X813:AI813)</f>
        <v>0</v>
      </c>
      <c r="AK813" s="90">
        <f t="shared" ref="AK813:AK815" si="1449">SUM(X813:AF813)</f>
        <v>0</v>
      </c>
    </row>
    <row r="814" spans="1:38" ht="15.6" hidden="1" thickBot="1">
      <c r="A814" s="91"/>
      <c r="B814" s="100"/>
      <c r="C814" s="92"/>
      <c r="D814" s="93" t="s">
        <v>92</v>
      </c>
      <c r="E814" s="94"/>
      <c r="F814" s="97"/>
      <c r="G814" s="97"/>
      <c r="H814" s="97"/>
      <c r="I814" s="97"/>
      <c r="J814" s="97"/>
      <c r="K814" s="97"/>
      <c r="L814" s="97"/>
      <c r="M814" s="98"/>
      <c r="N814" s="98"/>
      <c r="O814" s="98"/>
      <c r="P814" s="99"/>
      <c r="Q814" s="95">
        <f t="shared" si="1445"/>
        <v>0</v>
      </c>
      <c r="R814" s="96">
        <f t="shared" si="1401"/>
        <v>0</v>
      </c>
      <c r="T814" s="91"/>
      <c r="U814" s="100"/>
      <c r="V814" s="92">
        <f t="shared" si="1447"/>
        <v>0</v>
      </c>
      <c r="W814" s="93" t="s">
        <v>92</v>
      </c>
      <c r="X814" s="94"/>
      <c r="Y814" s="97"/>
      <c r="Z814" s="97"/>
      <c r="AA814" s="97"/>
      <c r="AB814" s="97"/>
      <c r="AC814" s="97"/>
      <c r="AD814" s="97"/>
      <c r="AE814" s="97"/>
      <c r="AF814" s="98"/>
      <c r="AG814" s="98"/>
      <c r="AH814" s="98"/>
      <c r="AI814" s="99"/>
      <c r="AJ814" s="95">
        <f t="shared" si="1448"/>
        <v>0</v>
      </c>
      <c r="AK814" s="96">
        <f t="shared" si="1449"/>
        <v>0</v>
      </c>
    </row>
    <row r="815" spans="1:38" ht="15.6" hidden="1" thickBot="1">
      <c r="A815" s="91"/>
      <c r="B815" s="100"/>
      <c r="C815" s="92"/>
      <c r="D815" s="101">
        <v>2020</v>
      </c>
      <c r="E815" s="102"/>
      <c r="F815" s="124"/>
      <c r="G815" s="124"/>
      <c r="H815" s="124"/>
      <c r="I815" s="124"/>
      <c r="J815" s="124"/>
      <c r="K815" s="124"/>
      <c r="L815" s="124"/>
      <c r="M815" s="125"/>
      <c r="N815" s="125"/>
      <c r="O815" s="125"/>
      <c r="P815" s="126"/>
      <c r="Q815" s="103">
        <f t="shared" si="1445"/>
        <v>0</v>
      </c>
      <c r="R815" s="104">
        <f t="shared" si="1401"/>
        <v>0</v>
      </c>
      <c r="S815" s="105"/>
      <c r="T815" s="91"/>
      <c r="U815" s="100"/>
      <c r="V815" s="92"/>
      <c r="W815" s="101">
        <v>2020</v>
      </c>
      <c r="X815" s="102"/>
      <c r="Y815" s="124"/>
      <c r="Z815" s="124"/>
      <c r="AA815" s="124"/>
      <c r="AB815" s="124"/>
      <c r="AC815" s="124"/>
      <c r="AD815" s="124"/>
      <c r="AE815" s="124"/>
      <c r="AF815" s="125"/>
      <c r="AG815" s="125"/>
      <c r="AH815" s="125"/>
      <c r="AI815" s="126"/>
      <c r="AJ815" s="103">
        <f t="shared" si="1448"/>
        <v>0</v>
      </c>
      <c r="AK815" s="104">
        <f t="shared" si="1449"/>
        <v>0</v>
      </c>
      <c r="AL815" s="105"/>
    </row>
    <row r="816" spans="1:38" ht="15.6" hidden="1" thickBot="1">
      <c r="A816" s="91"/>
      <c r="B816" s="100"/>
      <c r="C816" s="92"/>
      <c r="D816" s="101" t="s">
        <v>102</v>
      </c>
      <c r="E816" s="106" t="e">
        <f t="shared" ref="E816:R816" si="1450">E815/E814</f>
        <v>#DIV/0!</v>
      </c>
      <c r="F816" s="106" t="e">
        <f t="shared" si="1450"/>
        <v>#DIV/0!</v>
      </c>
      <c r="G816" s="106" t="e">
        <f t="shared" si="1450"/>
        <v>#DIV/0!</v>
      </c>
      <c r="H816" s="106" t="e">
        <f t="shared" si="1450"/>
        <v>#DIV/0!</v>
      </c>
      <c r="I816" s="106" t="e">
        <f t="shared" si="1450"/>
        <v>#DIV/0!</v>
      </c>
      <c r="J816" s="106" t="e">
        <f t="shared" si="1450"/>
        <v>#DIV/0!</v>
      </c>
      <c r="K816" s="106" t="e">
        <f t="shared" si="1450"/>
        <v>#DIV/0!</v>
      </c>
      <c r="L816" s="106" t="e">
        <f t="shared" si="1450"/>
        <v>#DIV/0!</v>
      </c>
      <c r="M816" s="107" t="e">
        <f t="shared" si="1450"/>
        <v>#DIV/0!</v>
      </c>
      <c r="N816" s="107" t="e">
        <f t="shared" si="1450"/>
        <v>#DIV/0!</v>
      </c>
      <c r="O816" s="107" t="e">
        <f t="shared" si="1450"/>
        <v>#DIV/0!</v>
      </c>
      <c r="P816" s="108" t="e">
        <f t="shared" si="1450"/>
        <v>#DIV/0!</v>
      </c>
      <c r="Q816" s="109" t="e">
        <f t="shared" si="1450"/>
        <v>#DIV/0!</v>
      </c>
      <c r="R816" s="110" t="e">
        <f t="shared" si="1450"/>
        <v>#DIV/0!</v>
      </c>
      <c r="S816" s="105"/>
      <c r="T816" s="91"/>
      <c r="U816" s="100"/>
      <c r="V816" s="92"/>
      <c r="W816" s="101" t="s">
        <v>102</v>
      </c>
      <c r="X816" s="106" t="e">
        <f t="shared" ref="X816:AK816" si="1451">X815/X814</f>
        <v>#DIV/0!</v>
      </c>
      <c r="Y816" s="106" t="e">
        <f t="shared" si="1451"/>
        <v>#DIV/0!</v>
      </c>
      <c r="Z816" s="106" t="e">
        <f t="shared" si="1451"/>
        <v>#DIV/0!</v>
      </c>
      <c r="AA816" s="106" t="e">
        <f t="shared" si="1451"/>
        <v>#DIV/0!</v>
      </c>
      <c r="AB816" s="106" t="e">
        <f t="shared" si="1451"/>
        <v>#DIV/0!</v>
      </c>
      <c r="AC816" s="106" t="e">
        <f t="shared" si="1451"/>
        <v>#DIV/0!</v>
      </c>
      <c r="AD816" s="106" t="e">
        <f t="shared" si="1451"/>
        <v>#DIV/0!</v>
      </c>
      <c r="AE816" s="106" t="e">
        <f t="shared" si="1451"/>
        <v>#DIV/0!</v>
      </c>
      <c r="AF816" s="107" t="e">
        <f t="shared" si="1451"/>
        <v>#DIV/0!</v>
      </c>
      <c r="AG816" s="107" t="e">
        <f t="shared" si="1451"/>
        <v>#DIV/0!</v>
      </c>
      <c r="AH816" s="107" t="e">
        <f t="shared" si="1451"/>
        <v>#DIV/0!</v>
      </c>
      <c r="AI816" s="108" t="e">
        <f t="shared" si="1451"/>
        <v>#DIV/0!</v>
      </c>
      <c r="AJ816" s="109" t="e">
        <f t="shared" si="1451"/>
        <v>#DIV/0!</v>
      </c>
      <c r="AK816" s="110" t="e">
        <f t="shared" si="1451"/>
        <v>#DIV/0!</v>
      </c>
      <c r="AL816" s="105"/>
    </row>
    <row r="817" spans="1:38" ht="15.6" hidden="1" thickBot="1">
      <c r="A817" s="91"/>
      <c r="B817" s="100"/>
      <c r="C817" s="111"/>
      <c r="D817" s="112" t="s">
        <v>103</v>
      </c>
      <c r="E817" s="113" t="e">
        <f t="shared" ref="E817:R817" si="1452">E815/E813</f>
        <v>#DIV/0!</v>
      </c>
      <c r="F817" s="113" t="e">
        <f t="shared" si="1452"/>
        <v>#DIV/0!</v>
      </c>
      <c r="G817" s="113" t="e">
        <f t="shared" si="1452"/>
        <v>#DIV/0!</v>
      </c>
      <c r="H817" s="113" t="e">
        <f t="shared" si="1452"/>
        <v>#DIV/0!</v>
      </c>
      <c r="I817" s="113" t="e">
        <f t="shared" si="1452"/>
        <v>#DIV/0!</v>
      </c>
      <c r="J817" s="113" t="e">
        <f t="shared" si="1452"/>
        <v>#DIV/0!</v>
      </c>
      <c r="K817" s="113" t="e">
        <f t="shared" si="1452"/>
        <v>#DIV/0!</v>
      </c>
      <c r="L817" s="113" t="e">
        <f t="shared" si="1452"/>
        <v>#DIV/0!</v>
      </c>
      <c r="M817" s="113" t="e">
        <f t="shared" si="1452"/>
        <v>#DIV/0!</v>
      </c>
      <c r="N817" s="113" t="e">
        <f t="shared" si="1452"/>
        <v>#DIV/0!</v>
      </c>
      <c r="O817" s="113" t="e">
        <f t="shared" si="1452"/>
        <v>#DIV/0!</v>
      </c>
      <c r="P817" s="114" t="e">
        <f t="shared" si="1452"/>
        <v>#DIV/0!</v>
      </c>
      <c r="Q817" s="115" t="e">
        <f t="shared" si="1452"/>
        <v>#DIV/0!</v>
      </c>
      <c r="R817" s="116" t="e">
        <f t="shared" si="1452"/>
        <v>#DIV/0!</v>
      </c>
      <c r="T817" s="91"/>
      <c r="U817" s="100"/>
      <c r="V817" s="111"/>
      <c r="W817" s="112" t="s">
        <v>103</v>
      </c>
      <c r="X817" s="113" t="e">
        <f t="shared" ref="X817:AK817" si="1453">X815/X813</f>
        <v>#DIV/0!</v>
      </c>
      <c r="Y817" s="113" t="e">
        <f t="shared" si="1453"/>
        <v>#DIV/0!</v>
      </c>
      <c r="Z817" s="113" t="e">
        <f t="shared" si="1453"/>
        <v>#DIV/0!</v>
      </c>
      <c r="AA817" s="113" t="e">
        <f t="shared" si="1453"/>
        <v>#DIV/0!</v>
      </c>
      <c r="AB817" s="113" t="e">
        <f t="shared" si="1453"/>
        <v>#DIV/0!</v>
      </c>
      <c r="AC817" s="113" t="e">
        <f t="shared" si="1453"/>
        <v>#DIV/0!</v>
      </c>
      <c r="AD817" s="113" t="e">
        <f t="shared" si="1453"/>
        <v>#DIV/0!</v>
      </c>
      <c r="AE817" s="113" t="e">
        <f t="shared" si="1453"/>
        <v>#DIV/0!</v>
      </c>
      <c r="AF817" s="113" t="e">
        <f t="shared" si="1453"/>
        <v>#DIV/0!</v>
      </c>
      <c r="AG817" s="113" t="e">
        <f t="shared" si="1453"/>
        <v>#DIV/0!</v>
      </c>
      <c r="AH817" s="113" t="e">
        <f t="shared" si="1453"/>
        <v>#DIV/0!</v>
      </c>
      <c r="AI817" s="114" t="e">
        <f t="shared" si="1453"/>
        <v>#DIV/0!</v>
      </c>
      <c r="AJ817" s="115" t="e">
        <f t="shared" si="1453"/>
        <v>#DIV/0!</v>
      </c>
      <c r="AK817" s="116" t="e">
        <f t="shared" si="1453"/>
        <v>#DIV/0!</v>
      </c>
    </row>
    <row r="818" spans="1:38" ht="15.6" hidden="1" thickBot="1">
      <c r="A818" s="91"/>
      <c r="B818" s="100"/>
      <c r="C818" s="86"/>
      <c r="D818" s="87">
        <v>2019</v>
      </c>
      <c r="E818" s="88"/>
      <c r="F818" s="121"/>
      <c r="G818" s="121"/>
      <c r="H818" s="121"/>
      <c r="I818" s="121"/>
      <c r="J818" s="121"/>
      <c r="K818" s="121"/>
      <c r="L818" s="121"/>
      <c r="M818" s="122"/>
      <c r="N818" s="122"/>
      <c r="O818" s="122"/>
      <c r="P818" s="123"/>
      <c r="Q818" s="89">
        <f t="shared" ref="Q818:Q820" si="1454">SUM(E818:P818)</f>
        <v>0</v>
      </c>
      <c r="R818" s="90">
        <f t="shared" ref="R818" si="1455">SUM(E818:M818)</f>
        <v>0</v>
      </c>
      <c r="T818" s="91"/>
      <c r="U818" s="100"/>
      <c r="V818" s="86">
        <f t="shared" ref="V818:V819" si="1456">C818</f>
        <v>0</v>
      </c>
      <c r="W818" s="87">
        <v>2019</v>
      </c>
      <c r="X818" s="88"/>
      <c r="Y818" s="121"/>
      <c r="Z818" s="121"/>
      <c r="AA818" s="121"/>
      <c r="AB818" s="121"/>
      <c r="AC818" s="121"/>
      <c r="AD818" s="121"/>
      <c r="AE818" s="121"/>
      <c r="AF818" s="122"/>
      <c r="AG818" s="122"/>
      <c r="AH818" s="122"/>
      <c r="AI818" s="123"/>
      <c r="AJ818" s="89">
        <f t="shared" ref="AJ818:AJ820" si="1457">SUM(X818:AI818)</f>
        <v>0</v>
      </c>
      <c r="AK818" s="90">
        <f t="shared" ref="AK818:AK820" si="1458">SUM(X818:AF818)</f>
        <v>0</v>
      </c>
    </row>
    <row r="819" spans="1:38" ht="15.6" hidden="1" thickBot="1">
      <c r="A819" s="91"/>
      <c r="B819" s="100"/>
      <c r="C819" s="92"/>
      <c r="D819" s="93" t="s">
        <v>92</v>
      </c>
      <c r="E819" s="94"/>
      <c r="F819" s="97"/>
      <c r="G819" s="97"/>
      <c r="H819" s="97"/>
      <c r="I819" s="97"/>
      <c r="J819" s="97"/>
      <c r="K819" s="97"/>
      <c r="L819" s="97"/>
      <c r="M819" s="98"/>
      <c r="N819" s="98"/>
      <c r="O819" s="98"/>
      <c r="P819" s="99"/>
      <c r="Q819" s="95">
        <f t="shared" si="1454"/>
        <v>0</v>
      </c>
      <c r="R819" s="96">
        <f t="shared" si="1401"/>
        <v>0</v>
      </c>
      <c r="T819" s="91"/>
      <c r="U819" s="100"/>
      <c r="V819" s="92">
        <f t="shared" si="1456"/>
        <v>0</v>
      </c>
      <c r="W819" s="93" t="s">
        <v>92</v>
      </c>
      <c r="X819" s="94"/>
      <c r="Y819" s="97"/>
      <c r="Z819" s="97"/>
      <c r="AA819" s="97"/>
      <c r="AB819" s="97"/>
      <c r="AC819" s="97"/>
      <c r="AD819" s="97"/>
      <c r="AE819" s="97"/>
      <c r="AF819" s="98"/>
      <c r="AG819" s="98"/>
      <c r="AH819" s="98"/>
      <c r="AI819" s="99"/>
      <c r="AJ819" s="95">
        <f t="shared" si="1457"/>
        <v>0</v>
      </c>
      <c r="AK819" s="96">
        <f t="shared" si="1458"/>
        <v>0</v>
      </c>
    </row>
    <row r="820" spans="1:38" ht="15.6" hidden="1" thickBot="1">
      <c r="A820" s="91"/>
      <c r="B820" s="100"/>
      <c r="C820" s="92"/>
      <c r="D820" s="101">
        <v>2020</v>
      </c>
      <c r="E820" s="102"/>
      <c r="F820" s="124"/>
      <c r="G820" s="124"/>
      <c r="H820" s="124"/>
      <c r="I820" s="124"/>
      <c r="J820" s="124"/>
      <c r="K820" s="124"/>
      <c r="L820" s="124"/>
      <c r="M820" s="125"/>
      <c r="N820" s="125"/>
      <c r="O820" s="125"/>
      <c r="P820" s="126"/>
      <c r="Q820" s="103">
        <f t="shared" si="1454"/>
        <v>0</v>
      </c>
      <c r="R820" s="104">
        <f t="shared" si="1401"/>
        <v>0</v>
      </c>
      <c r="S820" s="105"/>
      <c r="T820" s="91"/>
      <c r="U820" s="100"/>
      <c r="V820" s="92"/>
      <c r="W820" s="101">
        <v>2020</v>
      </c>
      <c r="X820" s="102"/>
      <c r="Y820" s="124"/>
      <c r="Z820" s="124"/>
      <c r="AA820" s="124"/>
      <c r="AB820" s="124"/>
      <c r="AC820" s="124"/>
      <c r="AD820" s="124"/>
      <c r="AE820" s="124"/>
      <c r="AF820" s="125"/>
      <c r="AG820" s="125"/>
      <c r="AH820" s="125"/>
      <c r="AI820" s="126"/>
      <c r="AJ820" s="103">
        <f t="shared" si="1457"/>
        <v>0</v>
      </c>
      <c r="AK820" s="104">
        <f t="shared" si="1458"/>
        <v>0</v>
      </c>
      <c r="AL820" s="105"/>
    </row>
    <row r="821" spans="1:38" ht="15.6" hidden="1" thickBot="1">
      <c r="A821" s="91"/>
      <c r="B821" s="100"/>
      <c r="C821" s="92"/>
      <c r="D821" s="101" t="s">
        <v>102</v>
      </c>
      <c r="E821" s="106" t="e">
        <f t="shared" ref="E821:R821" si="1459">E820/E819</f>
        <v>#DIV/0!</v>
      </c>
      <c r="F821" s="106" t="e">
        <f t="shared" si="1459"/>
        <v>#DIV/0!</v>
      </c>
      <c r="G821" s="106" t="e">
        <f t="shared" si="1459"/>
        <v>#DIV/0!</v>
      </c>
      <c r="H821" s="106" t="e">
        <f t="shared" si="1459"/>
        <v>#DIV/0!</v>
      </c>
      <c r="I821" s="106" t="e">
        <f t="shared" si="1459"/>
        <v>#DIV/0!</v>
      </c>
      <c r="J821" s="106" t="e">
        <f t="shared" si="1459"/>
        <v>#DIV/0!</v>
      </c>
      <c r="K821" s="106" t="e">
        <f t="shared" si="1459"/>
        <v>#DIV/0!</v>
      </c>
      <c r="L821" s="106" t="e">
        <f t="shared" si="1459"/>
        <v>#DIV/0!</v>
      </c>
      <c r="M821" s="107" t="e">
        <f t="shared" si="1459"/>
        <v>#DIV/0!</v>
      </c>
      <c r="N821" s="107" t="e">
        <f t="shared" si="1459"/>
        <v>#DIV/0!</v>
      </c>
      <c r="O821" s="107" t="e">
        <f t="shared" si="1459"/>
        <v>#DIV/0!</v>
      </c>
      <c r="P821" s="108" t="e">
        <f t="shared" si="1459"/>
        <v>#DIV/0!</v>
      </c>
      <c r="Q821" s="109" t="e">
        <f t="shared" si="1459"/>
        <v>#DIV/0!</v>
      </c>
      <c r="R821" s="110" t="e">
        <f t="shared" si="1459"/>
        <v>#DIV/0!</v>
      </c>
      <c r="S821" s="105"/>
      <c r="T821" s="91"/>
      <c r="U821" s="100"/>
      <c r="V821" s="92"/>
      <c r="W821" s="101" t="s">
        <v>102</v>
      </c>
      <c r="X821" s="106" t="e">
        <f t="shared" ref="X821:AK821" si="1460">X820/X819</f>
        <v>#DIV/0!</v>
      </c>
      <c r="Y821" s="106" t="e">
        <f t="shared" si="1460"/>
        <v>#DIV/0!</v>
      </c>
      <c r="Z821" s="106" t="e">
        <f t="shared" si="1460"/>
        <v>#DIV/0!</v>
      </c>
      <c r="AA821" s="106" t="e">
        <f t="shared" si="1460"/>
        <v>#DIV/0!</v>
      </c>
      <c r="AB821" s="106" t="e">
        <f t="shared" si="1460"/>
        <v>#DIV/0!</v>
      </c>
      <c r="AC821" s="106" t="e">
        <f t="shared" si="1460"/>
        <v>#DIV/0!</v>
      </c>
      <c r="AD821" s="106" t="e">
        <f t="shared" si="1460"/>
        <v>#DIV/0!</v>
      </c>
      <c r="AE821" s="106" t="e">
        <f t="shared" si="1460"/>
        <v>#DIV/0!</v>
      </c>
      <c r="AF821" s="107" t="e">
        <f t="shared" si="1460"/>
        <v>#DIV/0!</v>
      </c>
      <c r="AG821" s="107" t="e">
        <f t="shared" si="1460"/>
        <v>#DIV/0!</v>
      </c>
      <c r="AH821" s="107" t="e">
        <f t="shared" si="1460"/>
        <v>#DIV/0!</v>
      </c>
      <c r="AI821" s="108" t="e">
        <f t="shared" si="1460"/>
        <v>#DIV/0!</v>
      </c>
      <c r="AJ821" s="109" t="e">
        <f t="shared" si="1460"/>
        <v>#DIV/0!</v>
      </c>
      <c r="AK821" s="110" t="e">
        <f t="shared" si="1460"/>
        <v>#DIV/0!</v>
      </c>
      <c r="AL821" s="105"/>
    </row>
    <row r="822" spans="1:38" ht="15.6" hidden="1" thickBot="1">
      <c r="A822" s="91"/>
      <c r="B822" s="100"/>
      <c r="C822" s="111"/>
      <c r="D822" s="112" t="s">
        <v>103</v>
      </c>
      <c r="E822" s="113" t="e">
        <f t="shared" ref="E822:R822" si="1461">E820/E818</f>
        <v>#DIV/0!</v>
      </c>
      <c r="F822" s="113" t="e">
        <f t="shared" si="1461"/>
        <v>#DIV/0!</v>
      </c>
      <c r="G822" s="113" t="e">
        <f t="shared" si="1461"/>
        <v>#DIV/0!</v>
      </c>
      <c r="H822" s="113" t="e">
        <f t="shared" si="1461"/>
        <v>#DIV/0!</v>
      </c>
      <c r="I822" s="113" t="e">
        <f t="shared" si="1461"/>
        <v>#DIV/0!</v>
      </c>
      <c r="J822" s="113" t="e">
        <f t="shared" si="1461"/>
        <v>#DIV/0!</v>
      </c>
      <c r="K822" s="113" t="e">
        <f t="shared" si="1461"/>
        <v>#DIV/0!</v>
      </c>
      <c r="L822" s="113" t="e">
        <f t="shared" si="1461"/>
        <v>#DIV/0!</v>
      </c>
      <c r="M822" s="113" t="e">
        <f t="shared" si="1461"/>
        <v>#DIV/0!</v>
      </c>
      <c r="N822" s="113" t="e">
        <f t="shared" si="1461"/>
        <v>#DIV/0!</v>
      </c>
      <c r="O822" s="113" t="e">
        <f t="shared" si="1461"/>
        <v>#DIV/0!</v>
      </c>
      <c r="P822" s="114" t="e">
        <f t="shared" si="1461"/>
        <v>#DIV/0!</v>
      </c>
      <c r="Q822" s="115" t="e">
        <f t="shared" si="1461"/>
        <v>#DIV/0!</v>
      </c>
      <c r="R822" s="116" t="e">
        <f t="shared" si="1461"/>
        <v>#DIV/0!</v>
      </c>
      <c r="T822" s="91"/>
      <c r="U822" s="100"/>
      <c r="V822" s="111"/>
      <c r="W822" s="112" t="s">
        <v>103</v>
      </c>
      <c r="X822" s="113" t="e">
        <f t="shared" ref="X822:AK822" si="1462">X820/X818</f>
        <v>#DIV/0!</v>
      </c>
      <c r="Y822" s="113" t="e">
        <f t="shared" si="1462"/>
        <v>#DIV/0!</v>
      </c>
      <c r="Z822" s="113" t="e">
        <f t="shared" si="1462"/>
        <v>#DIV/0!</v>
      </c>
      <c r="AA822" s="113" t="e">
        <f t="shared" si="1462"/>
        <v>#DIV/0!</v>
      </c>
      <c r="AB822" s="113" t="e">
        <f t="shared" si="1462"/>
        <v>#DIV/0!</v>
      </c>
      <c r="AC822" s="113" t="e">
        <f t="shared" si="1462"/>
        <v>#DIV/0!</v>
      </c>
      <c r="AD822" s="113" t="e">
        <f t="shared" si="1462"/>
        <v>#DIV/0!</v>
      </c>
      <c r="AE822" s="113" t="e">
        <f t="shared" si="1462"/>
        <v>#DIV/0!</v>
      </c>
      <c r="AF822" s="113" t="e">
        <f t="shared" si="1462"/>
        <v>#DIV/0!</v>
      </c>
      <c r="AG822" s="113" t="e">
        <f t="shared" si="1462"/>
        <v>#DIV/0!</v>
      </c>
      <c r="AH822" s="113" t="e">
        <f t="shared" si="1462"/>
        <v>#DIV/0!</v>
      </c>
      <c r="AI822" s="114" t="e">
        <f t="shared" si="1462"/>
        <v>#DIV/0!</v>
      </c>
      <c r="AJ822" s="115" t="e">
        <f t="shared" si="1462"/>
        <v>#DIV/0!</v>
      </c>
      <c r="AK822" s="116" t="e">
        <f t="shared" si="1462"/>
        <v>#DIV/0!</v>
      </c>
    </row>
    <row r="823" spans="1:38" ht="15.6" hidden="1" thickBot="1">
      <c r="A823" s="91"/>
      <c r="B823" s="100"/>
      <c r="C823" s="86" t="s">
        <v>116</v>
      </c>
      <c r="D823" s="87">
        <v>2019</v>
      </c>
      <c r="E823" s="88"/>
      <c r="F823" s="121"/>
      <c r="G823" s="121"/>
      <c r="H823" s="121"/>
      <c r="I823" s="121"/>
      <c r="J823" s="121"/>
      <c r="K823" s="121"/>
      <c r="L823" s="121"/>
      <c r="M823" s="122"/>
      <c r="N823" s="122"/>
      <c r="O823" s="122"/>
      <c r="P823" s="123"/>
      <c r="Q823" s="89">
        <f t="shared" ref="Q823:Q825" si="1463">SUM(E823:P823)</f>
        <v>0</v>
      </c>
      <c r="R823" s="90">
        <f t="shared" ref="R823" si="1464">SUM(E823:M823)</f>
        <v>0</v>
      </c>
      <c r="T823" s="91"/>
      <c r="U823" s="100"/>
      <c r="V823" s="86" t="str">
        <f t="shared" ref="V823:V824" si="1465">C823</f>
        <v>その他</v>
      </c>
      <c r="W823" s="87">
        <v>2019</v>
      </c>
      <c r="X823" s="88"/>
      <c r="Y823" s="121"/>
      <c r="Z823" s="121"/>
      <c r="AA823" s="121"/>
      <c r="AB823" s="121"/>
      <c r="AC823" s="121"/>
      <c r="AD823" s="121"/>
      <c r="AE823" s="121"/>
      <c r="AF823" s="122"/>
      <c r="AG823" s="122"/>
      <c r="AH823" s="122"/>
      <c r="AI823" s="123"/>
      <c r="AJ823" s="89">
        <f t="shared" ref="AJ823:AJ825" si="1466">SUM(X823:AI823)</f>
        <v>0</v>
      </c>
      <c r="AK823" s="90">
        <f t="shared" ref="AK823:AK825" si="1467">SUM(X823:AF823)</f>
        <v>0</v>
      </c>
    </row>
    <row r="824" spans="1:38" ht="15.6" hidden="1" thickBot="1">
      <c r="A824" s="91"/>
      <c r="B824" s="100"/>
      <c r="C824" s="92" t="s">
        <v>129</v>
      </c>
      <c r="D824" s="93" t="s">
        <v>92</v>
      </c>
      <c r="E824" s="94"/>
      <c r="F824" s="97"/>
      <c r="G824" s="97"/>
      <c r="H824" s="97"/>
      <c r="I824" s="97"/>
      <c r="J824" s="97"/>
      <c r="K824" s="97"/>
      <c r="L824" s="97"/>
      <c r="M824" s="98"/>
      <c r="N824" s="98"/>
      <c r="O824" s="98"/>
      <c r="P824" s="99"/>
      <c r="Q824" s="95">
        <f t="shared" si="1463"/>
        <v>0</v>
      </c>
      <c r="R824" s="96">
        <f t="shared" si="1401"/>
        <v>0</v>
      </c>
      <c r="T824" s="91"/>
      <c r="U824" s="100"/>
      <c r="V824" s="92" t="str">
        <f t="shared" si="1465"/>
        <v>Others</v>
      </c>
      <c r="W824" s="93" t="s">
        <v>92</v>
      </c>
      <c r="X824" s="94"/>
      <c r="Y824" s="97"/>
      <c r="Z824" s="97"/>
      <c r="AA824" s="97"/>
      <c r="AB824" s="97"/>
      <c r="AC824" s="97"/>
      <c r="AD824" s="97"/>
      <c r="AE824" s="97"/>
      <c r="AF824" s="98"/>
      <c r="AG824" s="98"/>
      <c r="AH824" s="98"/>
      <c r="AI824" s="99"/>
      <c r="AJ824" s="95">
        <f t="shared" si="1466"/>
        <v>0</v>
      </c>
      <c r="AK824" s="96">
        <f t="shared" si="1467"/>
        <v>0</v>
      </c>
    </row>
    <row r="825" spans="1:38" ht="15.6" hidden="1" thickBot="1">
      <c r="A825" s="91"/>
      <c r="B825" s="100"/>
      <c r="C825" s="92"/>
      <c r="D825" s="101">
        <v>2020</v>
      </c>
      <c r="E825" s="102"/>
      <c r="F825" s="124"/>
      <c r="G825" s="124"/>
      <c r="H825" s="124"/>
      <c r="I825" s="124"/>
      <c r="J825" s="124"/>
      <c r="K825" s="124"/>
      <c r="L825" s="124"/>
      <c r="M825" s="125"/>
      <c r="N825" s="125"/>
      <c r="O825" s="125"/>
      <c r="P825" s="126"/>
      <c r="Q825" s="103">
        <f t="shared" si="1463"/>
        <v>0</v>
      </c>
      <c r="R825" s="104">
        <f t="shared" si="1401"/>
        <v>0</v>
      </c>
      <c r="S825" s="105"/>
      <c r="T825" s="91"/>
      <c r="U825" s="100"/>
      <c r="V825" s="92"/>
      <c r="W825" s="101">
        <v>2020</v>
      </c>
      <c r="X825" s="102"/>
      <c r="Y825" s="124"/>
      <c r="Z825" s="124"/>
      <c r="AA825" s="124"/>
      <c r="AB825" s="124"/>
      <c r="AC825" s="124"/>
      <c r="AD825" s="124"/>
      <c r="AE825" s="124"/>
      <c r="AF825" s="125"/>
      <c r="AG825" s="125"/>
      <c r="AH825" s="125"/>
      <c r="AI825" s="126"/>
      <c r="AJ825" s="103">
        <f t="shared" si="1466"/>
        <v>0</v>
      </c>
      <c r="AK825" s="104">
        <f t="shared" si="1467"/>
        <v>0</v>
      </c>
      <c r="AL825" s="105"/>
    </row>
    <row r="826" spans="1:38" ht="15.6" hidden="1" thickBot="1">
      <c r="A826" s="91"/>
      <c r="B826" s="100"/>
      <c r="C826" s="92"/>
      <c r="D826" s="101" t="s">
        <v>102</v>
      </c>
      <c r="E826" s="106" t="e">
        <f t="shared" ref="E826:R826" si="1468">E825/E824</f>
        <v>#DIV/0!</v>
      </c>
      <c r="F826" s="106" t="e">
        <f t="shared" si="1468"/>
        <v>#DIV/0!</v>
      </c>
      <c r="G826" s="106" t="e">
        <f t="shared" si="1468"/>
        <v>#DIV/0!</v>
      </c>
      <c r="H826" s="106" t="e">
        <f t="shared" si="1468"/>
        <v>#DIV/0!</v>
      </c>
      <c r="I826" s="106" t="e">
        <f t="shared" si="1468"/>
        <v>#DIV/0!</v>
      </c>
      <c r="J826" s="106" t="e">
        <f t="shared" si="1468"/>
        <v>#DIV/0!</v>
      </c>
      <c r="K826" s="106" t="e">
        <f t="shared" si="1468"/>
        <v>#DIV/0!</v>
      </c>
      <c r="L826" s="106" t="e">
        <f t="shared" si="1468"/>
        <v>#DIV/0!</v>
      </c>
      <c r="M826" s="107" t="e">
        <f t="shared" si="1468"/>
        <v>#DIV/0!</v>
      </c>
      <c r="N826" s="107" t="e">
        <f t="shared" si="1468"/>
        <v>#DIV/0!</v>
      </c>
      <c r="O826" s="107" t="e">
        <f t="shared" si="1468"/>
        <v>#DIV/0!</v>
      </c>
      <c r="P826" s="108" t="e">
        <f t="shared" si="1468"/>
        <v>#DIV/0!</v>
      </c>
      <c r="Q826" s="109" t="e">
        <f t="shared" si="1468"/>
        <v>#DIV/0!</v>
      </c>
      <c r="R826" s="110" t="e">
        <f t="shared" si="1468"/>
        <v>#DIV/0!</v>
      </c>
      <c r="S826" s="105"/>
      <c r="T826" s="91"/>
      <c r="U826" s="100"/>
      <c r="V826" s="92"/>
      <c r="W826" s="101" t="s">
        <v>102</v>
      </c>
      <c r="X826" s="106" t="e">
        <f t="shared" ref="X826:AK826" si="1469">X825/X824</f>
        <v>#DIV/0!</v>
      </c>
      <c r="Y826" s="106" t="e">
        <f t="shared" si="1469"/>
        <v>#DIV/0!</v>
      </c>
      <c r="Z826" s="106" t="e">
        <f t="shared" si="1469"/>
        <v>#DIV/0!</v>
      </c>
      <c r="AA826" s="106" t="e">
        <f t="shared" si="1469"/>
        <v>#DIV/0!</v>
      </c>
      <c r="AB826" s="106" t="e">
        <f t="shared" si="1469"/>
        <v>#DIV/0!</v>
      </c>
      <c r="AC826" s="106" t="e">
        <f t="shared" si="1469"/>
        <v>#DIV/0!</v>
      </c>
      <c r="AD826" s="106" t="e">
        <f t="shared" si="1469"/>
        <v>#DIV/0!</v>
      </c>
      <c r="AE826" s="106" t="e">
        <f t="shared" si="1469"/>
        <v>#DIV/0!</v>
      </c>
      <c r="AF826" s="107" t="e">
        <f t="shared" si="1469"/>
        <v>#DIV/0!</v>
      </c>
      <c r="AG826" s="107" t="e">
        <f t="shared" si="1469"/>
        <v>#DIV/0!</v>
      </c>
      <c r="AH826" s="107" t="e">
        <f t="shared" si="1469"/>
        <v>#DIV/0!</v>
      </c>
      <c r="AI826" s="108" t="e">
        <f t="shared" si="1469"/>
        <v>#DIV/0!</v>
      </c>
      <c r="AJ826" s="109" t="e">
        <f t="shared" si="1469"/>
        <v>#DIV/0!</v>
      </c>
      <c r="AK826" s="110" t="e">
        <f t="shared" si="1469"/>
        <v>#DIV/0!</v>
      </c>
      <c r="AL826" s="105"/>
    </row>
    <row r="827" spans="1:38" ht="15.6" hidden="1" thickBot="1">
      <c r="A827" s="91"/>
      <c r="B827" s="100"/>
      <c r="C827" s="111"/>
      <c r="D827" s="112" t="s">
        <v>103</v>
      </c>
      <c r="E827" s="113" t="e">
        <f t="shared" ref="E827:R827" si="1470">E825/E823</f>
        <v>#DIV/0!</v>
      </c>
      <c r="F827" s="113" t="e">
        <f t="shared" si="1470"/>
        <v>#DIV/0!</v>
      </c>
      <c r="G827" s="113" t="e">
        <f t="shared" si="1470"/>
        <v>#DIV/0!</v>
      </c>
      <c r="H827" s="113" t="e">
        <f t="shared" si="1470"/>
        <v>#DIV/0!</v>
      </c>
      <c r="I827" s="113" t="e">
        <f t="shared" si="1470"/>
        <v>#DIV/0!</v>
      </c>
      <c r="J827" s="113" t="e">
        <f t="shared" si="1470"/>
        <v>#DIV/0!</v>
      </c>
      <c r="K827" s="113" t="e">
        <f t="shared" si="1470"/>
        <v>#DIV/0!</v>
      </c>
      <c r="L827" s="113" t="e">
        <f t="shared" si="1470"/>
        <v>#DIV/0!</v>
      </c>
      <c r="M827" s="113" t="e">
        <f t="shared" si="1470"/>
        <v>#DIV/0!</v>
      </c>
      <c r="N827" s="113" t="e">
        <f t="shared" si="1470"/>
        <v>#DIV/0!</v>
      </c>
      <c r="O827" s="113" t="e">
        <f t="shared" si="1470"/>
        <v>#DIV/0!</v>
      </c>
      <c r="P827" s="114" t="e">
        <f t="shared" si="1470"/>
        <v>#DIV/0!</v>
      </c>
      <c r="Q827" s="115" t="e">
        <f t="shared" si="1470"/>
        <v>#DIV/0!</v>
      </c>
      <c r="R827" s="116" t="e">
        <f t="shared" si="1470"/>
        <v>#DIV/0!</v>
      </c>
      <c r="T827" s="91"/>
      <c r="U827" s="100"/>
      <c r="V827" s="111"/>
      <c r="W827" s="112" t="s">
        <v>103</v>
      </c>
      <c r="X827" s="113" t="e">
        <f t="shared" ref="X827:AK827" si="1471">X825/X823</f>
        <v>#DIV/0!</v>
      </c>
      <c r="Y827" s="113" t="e">
        <f t="shared" si="1471"/>
        <v>#DIV/0!</v>
      </c>
      <c r="Z827" s="113" t="e">
        <f t="shared" si="1471"/>
        <v>#DIV/0!</v>
      </c>
      <c r="AA827" s="113" t="e">
        <f t="shared" si="1471"/>
        <v>#DIV/0!</v>
      </c>
      <c r="AB827" s="113" t="e">
        <f t="shared" si="1471"/>
        <v>#DIV/0!</v>
      </c>
      <c r="AC827" s="113" t="e">
        <f t="shared" si="1471"/>
        <v>#DIV/0!</v>
      </c>
      <c r="AD827" s="113" t="e">
        <f t="shared" si="1471"/>
        <v>#DIV/0!</v>
      </c>
      <c r="AE827" s="113" t="e">
        <f t="shared" si="1471"/>
        <v>#DIV/0!</v>
      </c>
      <c r="AF827" s="113" t="e">
        <f t="shared" si="1471"/>
        <v>#DIV/0!</v>
      </c>
      <c r="AG827" s="113" t="e">
        <f t="shared" si="1471"/>
        <v>#DIV/0!</v>
      </c>
      <c r="AH827" s="113" t="e">
        <f t="shared" si="1471"/>
        <v>#DIV/0!</v>
      </c>
      <c r="AI827" s="114" t="e">
        <f t="shared" si="1471"/>
        <v>#DIV/0!</v>
      </c>
      <c r="AJ827" s="115" t="e">
        <f t="shared" si="1471"/>
        <v>#DIV/0!</v>
      </c>
      <c r="AK827" s="116" t="e">
        <f t="shared" si="1471"/>
        <v>#DIV/0!</v>
      </c>
    </row>
    <row r="828" spans="1:38" ht="15" hidden="1" customHeight="1">
      <c r="A828" s="91"/>
      <c r="B828" s="303" t="s">
        <v>163</v>
      </c>
      <c r="C828" s="304"/>
      <c r="D828" s="127">
        <v>2019</v>
      </c>
      <c r="E828" s="128">
        <f>SUM(E823,E818,E813,E808,E803,E798,E793,E788,E783,E778,E773,E768,E763,E758)</f>
        <v>0</v>
      </c>
      <c r="F828" s="129">
        <f t="shared" ref="F828:P828" si="1472">SUM(F823,F818,F813,F808,F803,F798,F793,F788,F783,F778,F773,F768,F763,F758)</f>
        <v>0</v>
      </c>
      <c r="G828" s="129">
        <f t="shared" si="1472"/>
        <v>0</v>
      </c>
      <c r="H828" s="129">
        <f t="shared" si="1472"/>
        <v>0</v>
      </c>
      <c r="I828" s="129">
        <f t="shared" si="1472"/>
        <v>0</v>
      </c>
      <c r="J828" s="129">
        <f t="shared" si="1472"/>
        <v>0</v>
      </c>
      <c r="K828" s="129">
        <f t="shared" si="1472"/>
        <v>0</v>
      </c>
      <c r="L828" s="129">
        <f t="shared" si="1472"/>
        <v>0</v>
      </c>
      <c r="M828" s="129">
        <f t="shared" si="1472"/>
        <v>0</v>
      </c>
      <c r="N828" s="129">
        <f t="shared" si="1472"/>
        <v>0</v>
      </c>
      <c r="O828" s="129">
        <f t="shared" si="1472"/>
        <v>0</v>
      </c>
      <c r="P828" s="130">
        <f t="shared" si="1472"/>
        <v>0</v>
      </c>
      <c r="Q828" s="131">
        <f>SUM(E828:P828)</f>
        <v>0</v>
      </c>
      <c r="R828" s="90">
        <f t="shared" ref="R828" si="1473">SUM(E828:M828)</f>
        <v>0</v>
      </c>
      <c r="T828" s="91"/>
      <c r="U828" s="309" t="s">
        <v>163</v>
      </c>
      <c r="V828" s="310"/>
      <c r="W828" s="132">
        <v>2019</v>
      </c>
      <c r="X828" s="133">
        <f>SUM(X823,X818,X813,X808,X803,X798,X793,X788,X783,X778,X773,X768,X763,X758)</f>
        <v>0</v>
      </c>
      <c r="Y828" s="134">
        <f t="shared" ref="Y828:AI828" si="1474">SUM(Y823,Y818,Y813,Y808,Y803,Y798,Y793,Y788,Y783,Y778,Y773,Y768,Y763,Y758)</f>
        <v>0</v>
      </c>
      <c r="Z828" s="134">
        <f t="shared" si="1474"/>
        <v>0</v>
      </c>
      <c r="AA828" s="134">
        <f t="shared" si="1474"/>
        <v>0</v>
      </c>
      <c r="AB828" s="134">
        <f t="shared" si="1474"/>
        <v>0</v>
      </c>
      <c r="AC828" s="134">
        <f t="shared" si="1474"/>
        <v>0</v>
      </c>
      <c r="AD828" s="134">
        <f t="shared" si="1474"/>
        <v>0</v>
      </c>
      <c r="AE828" s="134">
        <f t="shared" si="1474"/>
        <v>0</v>
      </c>
      <c r="AF828" s="134">
        <f t="shared" si="1474"/>
        <v>0</v>
      </c>
      <c r="AG828" s="134">
        <f t="shared" si="1474"/>
        <v>0</v>
      </c>
      <c r="AH828" s="134">
        <f t="shared" si="1474"/>
        <v>0</v>
      </c>
      <c r="AI828" s="135">
        <f t="shared" si="1474"/>
        <v>0</v>
      </c>
      <c r="AJ828" s="136">
        <f>SUM(X828:AI828)</f>
        <v>0</v>
      </c>
      <c r="AK828" s="90">
        <f t="shared" ref="AK828:AK830" si="1475">SUM(X828:AF828)</f>
        <v>0</v>
      </c>
    </row>
    <row r="829" spans="1:38" ht="15" hidden="1" customHeight="1">
      <c r="A829" s="91"/>
      <c r="B829" s="305"/>
      <c r="C829" s="306"/>
      <c r="D829" s="137" t="s">
        <v>92</v>
      </c>
      <c r="E829" s="138">
        <f t="shared" ref="E829:P830" si="1476">SUM(E824,E819,E814,E809,E804,E799,E794,E789,E784,E779,E774,E769,E764,E759)</f>
        <v>0</v>
      </c>
      <c r="F829" s="138">
        <f t="shared" si="1476"/>
        <v>0</v>
      </c>
      <c r="G829" s="138">
        <f t="shared" si="1476"/>
        <v>0</v>
      </c>
      <c r="H829" s="138">
        <f t="shared" si="1476"/>
        <v>0</v>
      </c>
      <c r="I829" s="138">
        <f t="shared" si="1476"/>
        <v>0</v>
      </c>
      <c r="J829" s="138">
        <f t="shared" si="1476"/>
        <v>0</v>
      </c>
      <c r="K829" s="138">
        <f t="shared" si="1476"/>
        <v>0</v>
      </c>
      <c r="L829" s="138">
        <f t="shared" si="1476"/>
        <v>0</v>
      </c>
      <c r="M829" s="138">
        <f t="shared" si="1476"/>
        <v>0</v>
      </c>
      <c r="N829" s="138">
        <f t="shared" si="1476"/>
        <v>0</v>
      </c>
      <c r="O829" s="138">
        <f t="shared" si="1476"/>
        <v>0</v>
      </c>
      <c r="P829" s="138">
        <f t="shared" si="1476"/>
        <v>0</v>
      </c>
      <c r="Q829" s="139">
        <f t="shared" ref="Q829:Q830" si="1477">SUM(E829:P829)</f>
        <v>0</v>
      </c>
      <c r="R829" s="96">
        <f t="shared" si="1401"/>
        <v>0</v>
      </c>
      <c r="T829" s="91"/>
      <c r="U829" s="311"/>
      <c r="V829" s="312"/>
      <c r="W829" s="140" t="s">
        <v>92</v>
      </c>
      <c r="X829" s="141">
        <f t="shared" ref="X829:AI830" si="1478">SUM(X824,X819,X814,X809,X804,X799,X794,X789,X784,X779,X774,X769,X764,X759)</f>
        <v>0</v>
      </c>
      <c r="Y829" s="141">
        <f t="shared" si="1478"/>
        <v>0</v>
      </c>
      <c r="Z829" s="141">
        <f t="shared" si="1478"/>
        <v>0</v>
      </c>
      <c r="AA829" s="141">
        <f t="shared" si="1478"/>
        <v>0</v>
      </c>
      <c r="AB829" s="141">
        <f t="shared" si="1478"/>
        <v>0</v>
      </c>
      <c r="AC829" s="141">
        <f t="shared" si="1478"/>
        <v>0</v>
      </c>
      <c r="AD829" s="141">
        <f t="shared" si="1478"/>
        <v>0</v>
      </c>
      <c r="AE829" s="141">
        <f t="shared" si="1478"/>
        <v>0</v>
      </c>
      <c r="AF829" s="141">
        <f t="shared" si="1478"/>
        <v>0</v>
      </c>
      <c r="AG829" s="141">
        <f t="shared" si="1478"/>
        <v>0</v>
      </c>
      <c r="AH829" s="141">
        <f t="shared" si="1478"/>
        <v>0</v>
      </c>
      <c r="AI829" s="141">
        <f t="shared" si="1478"/>
        <v>0</v>
      </c>
      <c r="AJ829" s="142">
        <f t="shared" ref="AJ829:AJ830" si="1479">SUM(X829:AI829)</f>
        <v>0</v>
      </c>
      <c r="AK829" s="96">
        <f t="shared" si="1475"/>
        <v>0</v>
      </c>
    </row>
    <row r="830" spans="1:38" ht="15" hidden="1" customHeight="1">
      <c r="A830" s="91"/>
      <c r="B830" s="305"/>
      <c r="C830" s="306"/>
      <c r="D830" s="143">
        <v>2020</v>
      </c>
      <c r="E830" s="144">
        <f>SUM(E825,E820,E815,E810,E805,E800,E795,E790,E785,E780,E775,E770,E765,E760)</f>
        <v>0</v>
      </c>
      <c r="F830" s="144">
        <f t="shared" si="1476"/>
        <v>0</v>
      </c>
      <c r="G830" s="144">
        <f t="shared" si="1476"/>
        <v>0</v>
      </c>
      <c r="H830" s="144">
        <f t="shared" si="1476"/>
        <v>0</v>
      </c>
      <c r="I830" s="144">
        <f t="shared" si="1476"/>
        <v>0</v>
      </c>
      <c r="J830" s="144">
        <f t="shared" si="1476"/>
        <v>0</v>
      </c>
      <c r="K830" s="144">
        <f t="shared" si="1476"/>
        <v>0</v>
      </c>
      <c r="L830" s="144">
        <f t="shared" si="1476"/>
        <v>0</v>
      </c>
      <c r="M830" s="144">
        <f t="shared" si="1476"/>
        <v>0</v>
      </c>
      <c r="N830" s="144">
        <f t="shared" si="1476"/>
        <v>0</v>
      </c>
      <c r="O830" s="144">
        <f t="shared" si="1476"/>
        <v>0</v>
      </c>
      <c r="P830" s="144">
        <f t="shared" si="1476"/>
        <v>0</v>
      </c>
      <c r="Q830" s="145">
        <f t="shared" si="1477"/>
        <v>0</v>
      </c>
      <c r="R830" s="104">
        <f t="shared" si="1401"/>
        <v>0</v>
      </c>
      <c r="S830" s="105"/>
      <c r="T830" s="91"/>
      <c r="U830" s="311"/>
      <c r="V830" s="312"/>
      <c r="W830" s="146">
        <v>2020</v>
      </c>
      <c r="X830" s="147">
        <f>SUM(X825,X820,X815,X810,X805,X800,X795,X790,X785,X780,X775,X770,X765,X760)</f>
        <v>0</v>
      </c>
      <c r="Y830" s="147">
        <f t="shared" si="1478"/>
        <v>0</v>
      </c>
      <c r="Z830" s="147">
        <f t="shared" si="1478"/>
        <v>0</v>
      </c>
      <c r="AA830" s="147">
        <f t="shared" si="1478"/>
        <v>0</v>
      </c>
      <c r="AB830" s="147">
        <f t="shared" si="1478"/>
        <v>0</v>
      </c>
      <c r="AC830" s="147">
        <f t="shared" si="1478"/>
        <v>0</v>
      </c>
      <c r="AD830" s="147">
        <f t="shared" si="1478"/>
        <v>0</v>
      </c>
      <c r="AE830" s="147">
        <f t="shared" si="1478"/>
        <v>0</v>
      </c>
      <c r="AF830" s="147">
        <f t="shared" si="1478"/>
        <v>0</v>
      </c>
      <c r="AG830" s="147">
        <f t="shared" si="1478"/>
        <v>0</v>
      </c>
      <c r="AH830" s="147">
        <f t="shared" si="1478"/>
        <v>0</v>
      </c>
      <c r="AI830" s="147">
        <f t="shared" si="1478"/>
        <v>0</v>
      </c>
      <c r="AJ830" s="148">
        <f t="shared" si="1479"/>
        <v>0</v>
      </c>
      <c r="AK830" s="104">
        <f t="shared" si="1475"/>
        <v>0</v>
      </c>
      <c r="AL830" s="105"/>
    </row>
    <row r="831" spans="1:38" ht="15" hidden="1" customHeight="1">
      <c r="A831" s="91"/>
      <c r="B831" s="305"/>
      <c r="C831" s="306"/>
      <c r="D831" s="143" t="s">
        <v>102</v>
      </c>
      <c r="E831" s="144" t="e">
        <f t="shared" ref="E831:R831" si="1480">E830/E829</f>
        <v>#DIV/0!</v>
      </c>
      <c r="F831" s="144" t="e">
        <f t="shared" si="1480"/>
        <v>#DIV/0!</v>
      </c>
      <c r="G831" s="144" t="e">
        <f t="shared" si="1480"/>
        <v>#DIV/0!</v>
      </c>
      <c r="H831" s="144" t="e">
        <f t="shared" si="1480"/>
        <v>#DIV/0!</v>
      </c>
      <c r="I831" s="144" t="e">
        <f t="shared" si="1480"/>
        <v>#DIV/0!</v>
      </c>
      <c r="J831" s="144" t="e">
        <f t="shared" si="1480"/>
        <v>#DIV/0!</v>
      </c>
      <c r="K831" s="144" t="e">
        <f t="shared" si="1480"/>
        <v>#DIV/0!</v>
      </c>
      <c r="L831" s="144" t="e">
        <f t="shared" si="1480"/>
        <v>#DIV/0!</v>
      </c>
      <c r="M831" s="144" t="e">
        <f t="shared" si="1480"/>
        <v>#DIV/0!</v>
      </c>
      <c r="N831" s="144" t="e">
        <f t="shared" si="1480"/>
        <v>#DIV/0!</v>
      </c>
      <c r="O831" s="144" t="e">
        <f t="shared" si="1480"/>
        <v>#DIV/0!</v>
      </c>
      <c r="P831" s="172" t="e">
        <f t="shared" si="1480"/>
        <v>#DIV/0!</v>
      </c>
      <c r="Q831" s="145" t="e">
        <f t="shared" si="1480"/>
        <v>#DIV/0!</v>
      </c>
      <c r="R831" s="104" t="e">
        <f t="shared" si="1480"/>
        <v>#DIV/0!</v>
      </c>
      <c r="S831" s="105"/>
      <c r="T831" s="91"/>
      <c r="U831" s="311"/>
      <c r="V831" s="312"/>
      <c r="W831" s="146" t="s">
        <v>102</v>
      </c>
      <c r="X831" s="147" t="e">
        <f t="shared" ref="X831:AK831" si="1481">X830/X829</f>
        <v>#DIV/0!</v>
      </c>
      <c r="Y831" s="147" t="e">
        <f t="shared" si="1481"/>
        <v>#DIV/0!</v>
      </c>
      <c r="Z831" s="147" t="e">
        <f t="shared" si="1481"/>
        <v>#DIV/0!</v>
      </c>
      <c r="AA831" s="147" t="e">
        <f t="shared" si="1481"/>
        <v>#DIV/0!</v>
      </c>
      <c r="AB831" s="147" t="e">
        <f t="shared" si="1481"/>
        <v>#DIV/0!</v>
      </c>
      <c r="AC831" s="147" t="e">
        <f t="shared" si="1481"/>
        <v>#DIV/0!</v>
      </c>
      <c r="AD831" s="147" t="e">
        <f t="shared" si="1481"/>
        <v>#DIV/0!</v>
      </c>
      <c r="AE831" s="147" t="e">
        <f t="shared" si="1481"/>
        <v>#DIV/0!</v>
      </c>
      <c r="AF831" s="147" t="e">
        <f t="shared" si="1481"/>
        <v>#DIV/0!</v>
      </c>
      <c r="AG831" s="147" t="e">
        <f t="shared" si="1481"/>
        <v>#DIV/0!</v>
      </c>
      <c r="AH831" s="147" t="e">
        <f t="shared" si="1481"/>
        <v>#DIV/0!</v>
      </c>
      <c r="AI831" s="173" t="e">
        <f t="shared" si="1481"/>
        <v>#DIV/0!</v>
      </c>
      <c r="AJ831" s="148" t="e">
        <f t="shared" si="1481"/>
        <v>#DIV/0!</v>
      </c>
      <c r="AK831" s="104" t="e">
        <f t="shared" si="1481"/>
        <v>#DIV/0!</v>
      </c>
      <c r="AL831" s="105"/>
    </row>
    <row r="832" spans="1:38" ht="15" hidden="1" customHeight="1">
      <c r="A832" s="155"/>
      <c r="B832" s="307"/>
      <c r="C832" s="308"/>
      <c r="D832" s="156" t="s">
        <v>103</v>
      </c>
      <c r="E832" s="165" t="e">
        <f t="shared" ref="E832:R832" si="1482">E830/E828</f>
        <v>#DIV/0!</v>
      </c>
      <c r="F832" s="165" t="e">
        <f t="shared" si="1482"/>
        <v>#DIV/0!</v>
      </c>
      <c r="G832" s="165" t="e">
        <f t="shared" si="1482"/>
        <v>#DIV/0!</v>
      </c>
      <c r="H832" s="165" t="e">
        <f t="shared" si="1482"/>
        <v>#DIV/0!</v>
      </c>
      <c r="I832" s="165" t="e">
        <f t="shared" si="1482"/>
        <v>#DIV/0!</v>
      </c>
      <c r="J832" s="165" t="e">
        <f t="shared" si="1482"/>
        <v>#DIV/0!</v>
      </c>
      <c r="K832" s="165" t="e">
        <f t="shared" si="1482"/>
        <v>#DIV/0!</v>
      </c>
      <c r="L832" s="165" t="e">
        <f t="shared" si="1482"/>
        <v>#DIV/0!</v>
      </c>
      <c r="M832" s="165" t="e">
        <f t="shared" si="1482"/>
        <v>#DIV/0!</v>
      </c>
      <c r="N832" s="165" t="e">
        <f t="shared" si="1482"/>
        <v>#DIV/0!</v>
      </c>
      <c r="O832" s="165" t="e">
        <f t="shared" si="1482"/>
        <v>#DIV/0!</v>
      </c>
      <c r="P832" s="166" t="e">
        <f t="shared" si="1482"/>
        <v>#DIV/0!</v>
      </c>
      <c r="Q832" s="167" t="e">
        <f t="shared" si="1482"/>
        <v>#DIV/0!</v>
      </c>
      <c r="R832" s="168" t="e">
        <f t="shared" si="1482"/>
        <v>#DIV/0!</v>
      </c>
      <c r="T832" s="155"/>
      <c r="U832" s="313"/>
      <c r="V832" s="314"/>
      <c r="W832" s="160" t="s">
        <v>103</v>
      </c>
      <c r="X832" s="169" t="e">
        <f t="shared" ref="X832:AK832" si="1483">X830/X828</f>
        <v>#DIV/0!</v>
      </c>
      <c r="Y832" s="169" t="e">
        <f t="shared" si="1483"/>
        <v>#DIV/0!</v>
      </c>
      <c r="Z832" s="169" t="e">
        <f t="shared" si="1483"/>
        <v>#DIV/0!</v>
      </c>
      <c r="AA832" s="169" t="e">
        <f t="shared" si="1483"/>
        <v>#DIV/0!</v>
      </c>
      <c r="AB832" s="169" t="e">
        <f t="shared" si="1483"/>
        <v>#DIV/0!</v>
      </c>
      <c r="AC832" s="169" t="e">
        <f t="shared" si="1483"/>
        <v>#DIV/0!</v>
      </c>
      <c r="AD832" s="169" t="e">
        <f t="shared" si="1483"/>
        <v>#DIV/0!</v>
      </c>
      <c r="AE832" s="169" t="e">
        <f t="shared" si="1483"/>
        <v>#DIV/0!</v>
      </c>
      <c r="AF832" s="169" t="e">
        <f t="shared" si="1483"/>
        <v>#DIV/0!</v>
      </c>
      <c r="AG832" s="169" t="e">
        <f t="shared" si="1483"/>
        <v>#DIV/0!</v>
      </c>
      <c r="AH832" s="169" t="e">
        <f t="shared" si="1483"/>
        <v>#DIV/0!</v>
      </c>
      <c r="AI832" s="170" t="e">
        <f t="shared" si="1483"/>
        <v>#DIV/0!</v>
      </c>
      <c r="AJ832" s="171" t="e">
        <f t="shared" si="1483"/>
        <v>#DIV/0!</v>
      </c>
      <c r="AK832" s="168" t="e">
        <f t="shared" si="1483"/>
        <v>#DIV/0!</v>
      </c>
    </row>
    <row r="833" spans="1:38" ht="15.6" hidden="1" thickBot="1">
      <c r="A833" s="84" t="s">
        <v>160</v>
      </c>
      <c r="B833" s="85" t="s">
        <v>131</v>
      </c>
      <c r="C833" s="86" t="s">
        <v>122</v>
      </c>
      <c r="D833" s="87">
        <v>2019</v>
      </c>
      <c r="E833" s="88"/>
      <c r="F833" s="121"/>
      <c r="G833" s="121"/>
      <c r="H833" s="121"/>
      <c r="I833" s="121"/>
      <c r="J833" s="121"/>
      <c r="K833" s="121"/>
      <c r="L833" s="121"/>
      <c r="M833" s="122"/>
      <c r="N833" s="122"/>
      <c r="O833" s="122"/>
      <c r="P833" s="123"/>
      <c r="Q833" s="89">
        <f>SUM(E833:P833)</f>
        <v>0</v>
      </c>
      <c r="R833" s="90">
        <f t="shared" ref="R833" si="1484">SUM(E833:M833)</f>
        <v>0</v>
      </c>
      <c r="T833" s="84" t="s">
        <v>160</v>
      </c>
      <c r="U833" s="85" t="s">
        <v>131</v>
      </c>
      <c r="V833" s="86" t="str">
        <f>C833</f>
        <v>得意先名</v>
      </c>
      <c r="W833" s="87">
        <v>2019</v>
      </c>
      <c r="X833" s="88"/>
      <c r="Y833" s="121"/>
      <c r="Z833" s="121"/>
      <c r="AA833" s="121"/>
      <c r="AB833" s="121"/>
      <c r="AC833" s="121"/>
      <c r="AD833" s="121"/>
      <c r="AE833" s="121"/>
      <c r="AF833" s="122"/>
      <c r="AG833" s="122"/>
      <c r="AH833" s="122"/>
      <c r="AI833" s="123"/>
      <c r="AJ833" s="89">
        <f>SUM(X833:AI833)</f>
        <v>0</v>
      </c>
      <c r="AK833" s="90">
        <f t="shared" ref="AK833:AK835" si="1485">SUM(X833:AF833)</f>
        <v>0</v>
      </c>
    </row>
    <row r="834" spans="1:38" ht="15.6" hidden="1" thickBot="1">
      <c r="A834" s="91"/>
      <c r="B834" s="85" t="s">
        <v>133</v>
      </c>
      <c r="C834" s="92" t="s">
        <v>124</v>
      </c>
      <c r="D834" s="93" t="s">
        <v>92</v>
      </c>
      <c r="E834" s="94"/>
      <c r="F834" s="97"/>
      <c r="G834" s="97"/>
      <c r="H834" s="97"/>
      <c r="I834" s="97"/>
      <c r="J834" s="97"/>
      <c r="K834" s="97"/>
      <c r="L834" s="97"/>
      <c r="M834" s="98"/>
      <c r="N834" s="98"/>
      <c r="O834" s="98"/>
      <c r="P834" s="99"/>
      <c r="Q834" s="95">
        <f>SUM(E834:P834)</f>
        <v>0</v>
      </c>
      <c r="R834" s="96">
        <f t="shared" si="1401"/>
        <v>0</v>
      </c>
      <c r="T834" s="91"/>
      <c r="U834" s="85" t="s">
        <v>133</v>
      </c>
      <c r="V834" s="92" t="str">
        <f>C834</f>
        <v>得意先名（英語）</v>
      </c>
      <c r="W834" s="93" t="s">
        <v>92</v>
      </c>
      <c r="X834" s="94"/>
      <c r="Y834" s="97"/>
      <c r="Z834" s="97"/>
      <c r="AA834" s="97"/>
      <c r="AB834" s="97"/>
      <c r="AC834" s="97"/>
      <c r="AD834" s="97"/>
      <c r="AE834" s="97"/>
      <c r="AF834" s="98"/>
      <c r="AG834" s="98"/>
      <c r="AH834" s="98"/>
      <c r="AI834" s="99"/>
      <c r="AJ834" s="95">
        <f>SUM(X834:AI834)</f>
        <v>0</v>
      </c>
      <c r="AK834" s="96">
        <f t="shared" si="1485"/>
        <v>0</v>
      </c>
    </row>
    <row r="835" spans="1:38" ht="15.6" hidden="1" thickBot="1">
      <c r="A835" s="91"/>
      <c r="B835" s="100"/>
      <c r="C835" s="92"/>
      <c r="D835" s="101">
        <v>2020</v>
      </c>
      <c r="E835" s="102"/>
      <c r="F835" s="124"/>
      <c r="G835" s="124"/>
      <c r="H835" s="124"/>
      <c r="I835" s="124"/>
      <c r="J835" s="124"/>
      <c r="K835" s="124"/>
      <c r="L835" s="124"/>
      <c r="M835" s="125"/>
      <c r="N835" s="125"/>
      <c r="O835" s="125"/>
      <c r="P835" s="126"/>
      <c r="Q835" s="103">
        <f>SUM(E835:P835)</f>
        <v>0</v>
      </c>
      <c r="R835" s="104">
        <f t="shared" si="1401"/>
        <v>0</v>
      </c>
      <c r="S835" s="105"/>
      <c r="T835" s="91"/>
      <c r="U835" s="100"/>
      <c r="V835" s="92"/>
      <c r="W835" s="101">
        <v>2020</v>
      </c>
      <c r="X835" s="102"/>
      <c r="Y835" s="124"/>
      <c r="Z835" s="124"/>
      <c r="AA835" s="124"/>
      <c r="AB835" s="124"/>
      <c r="AC835" s="124"/>
      <c r="AD835" s="124"/>
      <c r="AE835" s="124"/>
      <c r="AF835" s="125"/>
      <c r="AG835" s="125"/>
      <c r="AH835" s="125"/>
      <c r="AI835" s="126"/>
      <c r="AJ835" s="103">
        <f>SUM(X835:AI835)</f>
        <v>0</v>
      </c>
      <c r="AK835" s="104">
        <f t="shared" si="1485"/>
        <v>0</v>
      </c>
      <c r="AL835" s="105"/>
    </row>
    <row r="836" spans="1:38" ht="15.6" hidden="1" thickBot="1">
      <c r="A836" s="91"/>
      <c r="B836" s="164"/>
      <c r="C836" s="92"/>
      <c r="D836" s="101" t="s">
        <v>102</v>
      </c>
      <c r="E836" s="106" t="e">
        <f>E835/E834</f>
        <v>#DIV/0!</v>
      </c>
      <c r="F836" s="106" t="e">
        <f t="shared" ref="F836:R836" si="1486">F835/F834</f>
        <v>#DIV/0!</v>
      </c>
      <c r="G836" s="106" t="e">
        <f t="shared" si="1486"/>
        <v>#DIV/0!</v>
      </c>
      <c r="H836" s="106" t="e">
        <f t="shared" si="1486"/>
        <v>#DIV/0!</v>
      </c>
      <c r="I836" s="106" t="e">
        <f t="shared" si="1486"/>
        <v>#DIV/0!</v>
      </c>
      <c r="J836" s="106" t="e">
        <f t="shared" si="1486"/>
        <v>#DIV/0!</v>
      </c>
      <c r="K836" s="106" t="e">
        <f t="shared" si="1486"/>
        <v>#DIV/0!</v>
      </c>
      <c r="L836" s="106" t="e">
        <f t="shared" si="1486"/>
        <v>#DIV/0!</v>
      </c>
      <c r="M836" s="107" t="e">
        <f t="shared" si="1486"/>
        <v>#DIV/0!</v>
      </c>
      <c r="N836" s="107" t="e">
        <f t="shared" si="1486"/>
        <v>#DIV/0!</v>
      </c>
      <c r="O836" s="107" t="e">
        <f t="shared" si="1486"/>
        <v>#DIV/0!</v>
      </c>
      <c r="P836" s="108" t="e">
        <f t="shared" si="1486"/>
        <v>#DIV/0!</v>
      </c>
      <c r="Q836" s="109" t="e">
        <f t="shared" si="1486"/>
        <v>#DIV/0!</v>
      </c>
      <c r="R836" s="110" t="e">
        <f t="shared" si="1486"/>
        <v>#DIV/0!</v>
      </c>
      <c r="S836" s="105"/>
      <c r="T836" s="91"/>
      <c r="U836" s="164"/>
      <c r="V836" s="92"/>
      <c r="W836" s="101" t="s">
        <v>102</v>
      </c>
      <c r="X836" s="106" t="e">
        <f>X835/X834</f>
        <v>#DIV/0!</v>
      </c>
      <c r="Y836" s="106" t="e">
        <f t="shared" ref="Y836:AK836" si="1487">Y835/Y834</f>
        <v>#DIV/0!</v>
      </c>
      <c r="Z836" s="106" t="e">
        <f t="shared" si="1487"/>
        <v>#DIV/0!</v>
      </c>
      <c r="AA836" s="106" t="e">
        <f t="shared" si="1487"/>
        <v>#DIV/0!</v>
      </c>
      <c r="AB836" s="106" t="e">
        <f t="shared" si="1487"/>
        <v>#DIV/0!</v>
      </c>
      <c r="AC836" s="106" t="e">
        <f t="shared" si="1487"/>
        <v>#DIV/0!</v>
      </c>
      <c r="AD836" s="106" t="e">
        <f t="shared" si="1487"/>
        <v>#DIV/0!</v>
      </c>
      <c r="AE836" s="106" t="e">
        <f t="shared" si="1487"/>
        <v>#DIV/0!</v>
      </c>
      <c r="AF836" s="107" t="e">
        <f t="shared" si="1487"/>
        <v>#DIV/0!</v>
      </c>
      <c r="AG836" s="107" t="e">
        <f t="shared" si="1487"/>
        <v>#DIV/0!</v>
      </c>
      <c r="AH836" s="107" t="e">
        <f t="shared" si="1487"/>
        <v>#DIV/0!</v>
      </c>
      <c r="AI836" s="108" t="e">
        <f t="shared" si="1487"/>
        <v>#DIV/0!</v>
      </c>
      <c r="AJ836" s="109" t="e">
        <f t="shared" si="1487"/>
        <v>#DIV/0!</v>
      </c>
      <c r="AK836" s="110" t="e">
        <f t="shared" si="1487"/>
        <v>#DIV/0!</v>
      </c>
      <c r="AL836" s="105"/>
    </row>
    <row r="837" spans="1:38" ht="15.6" hidden="1" thickBot="1">
      <c r="A837" s="91"/>
      <c r="B837" s="164"/>
      <c r="C837" s="111"/>
      <c r="D837" s="112" t="s">
        <v>103</v>
      </c>
      <c r="E837" s="113" t="e">
        <f>E835/E833</f>
        <v>#DIV/0!</v>
      </c>
      <c r="F837" s="113" t="e">
        <f t="shared" ref="F837:R837" si="1488">F835/F833</f>
        <v>#DIV/0!</v>
      </c>
      <c r="G837" s="113" t="e">
        <f t="shared" si="1488"/>
        <v>#DIV/0!</v>
      </c>
      <c r="H837" s="113" t="e">
        <f t="shared" si="1488"/>
        <v>#DIV/0!</v>
      </c>
      <c r="I837" s="113" t="e">
        <f t="shared" si="1488"/>
        <v>#DIV/0!</v>
      </c>
      <c r="J837" s="113" t="e">
        <f t="shared" si="1488"/>
        <v>#DIV/0!</v>
      </c>
      <c r="K837" s="113" t="e">
        <f t="shared" si="1488"/>
        <v>#DIV/0!</v>
      </c>
      <c r="L837" s="113" t="e">
        <f t="shared" si="1488"/>
        <v>#DIV/0!</v>
      </c>
      <c r="M837" s="113" t="e">
        <f t="shared" si="1488"/>
        <v>#DIV/0!</v>
      </c>
      <c r="N837" s="113" t="e">
        <f t="shared" si="1488"/>
        <v>#DIV/0!</v>
      </c>
      <c r="O837" s="113" t="e">
        <f t="shared" si="1488"/>
        <v>#DIV/0!</v>
      </c>
      <c r="P837" s="114" t="e">
        <f t="shared" si="1488"/>
        <v>#DIV/0!</v>
      </c>
      <c r="Q837" s="115" t="e">
        <f t="shared" si="1488"/>
        <v>#DIV/0!</v>
      </c>
      <c r="R837" s="116" t="e">
        <f t="shared" si="1488"/>
        <v>#DIV/0!</v>
      </c>
      <c r="T837" s="91"/>
      <c r="U837" s="164"/>
      <c r="V837" s="111"/>
      <c r="W837" s="112" t="s">
        <v>103</v>
      </c>
      <c r="X837" s="113" t="e">
        <f>X835/X833</f>
        <v>#DIV/0!</v>
      </c>
      <c r="Y837" s="113" t="e">
        <f t="shared" ref="Y837:AK837" si="1489">Y835/Y833</f>
        <v>#DIV/0!</v>
      </c>
      <c r="Z837" s="113" t="e">
        <f t="shared" si="1489"/>
        <v>#DIV/0!</v>
      </c>
      <c r="AA837" s="113" t="e">
        <f t="shared" si="1489"/>
        <v>#DIV/0!</v>
      </c>
      <c r="AB837" s="113" t="e">
        <f t="shared" si="1489"/>
        <v>#DIV/0!</v>
      </c>
      <c r="AC837" s="113" t="e">
        <f t="shared" si="1489"/>
        <v>#DIV/0!</v>
      </c>
      <c r="AD837" s="113" t="e">
        <f t="shared" si="1489"/>
        <v>#DIV/0!</v>
      </c>
      <c r="AE837" s="113" t="e">
        <f t="shared" si="1489"/>
        <v>#DIV/0!</v>
      </c>
      <c r="AF837" s="113" t="e">
        <f t="shared" si="1489"/>
        <v>#DIV/0!</v>
      </c>
      <c r="AG837" s="113" t="e">
        <f t="shared" si="1489"/>
        <v>#DIV/0!</v>
      </c>
      <c r="AH837" s="113" t="e">
        <f t="shared" si="1489"/>
        <v>#DIV/0!</v>
      </c>
      <c r="AI837" s="114" t="e">
        <f t="shared" si="1489"/>
        <v>#DIV/0!</v>
      </c>
      <c r="AJ837" s="115" t="e">
        <f t="shared" si="1489"/>
        <v>#DIV/0!</v>
      </c>
      <c r="AK837" s="116" t="e">
        <f t="shared" si="1489"/>
        <v>#DIV/0!</v>
      </c>
    </row>
    <row r="838" spans="1:38" ht="15.6" hidden="1" thickBot="1">
      <c r="A838" s="91"/>
      <c r="B838" s="164"/>
      <c r="C838" s="86"/>
      <c r="D838" s="87">
        <v>2019</v>
      </c>
      <c r="E838" s="88"/>
      <c r="F838" s="121"/>
      <c r="G838" s="121"/>
      <c r="H838" s="121"/>
      <c r="I838" s="121"/>
      <c r="J838" s="121"/>
      <c r="K838" s="121"/>
      <c r="L838" s="121"/>
      <c r="M838" s="122"/>
      <c r="N838" s="122"/>
      <c r="O838" s="122"/>
      <c r="P838" s="123"/>
      <c r="Q838" s="89">
        <f t="shared" ref="Q838:Q840" si="1490">SUM(E838:P838)</f>
        <v>0</v>
      </c>
      <c r="R838" s="90">
        <f t="shared" ref="R838" si="1491">SUM(E838:M838)</f>
        <v>0</v>
      </c>
      <c r="T838" s="91"/>
      <c r="U838" s="164"/>
      <c r="V838" s="86">
        <f t="shared" ref="V838:V839" si="1492">C838</f>
        <v>0</v>
      </c>
      <c r="W838" s="87">
        <v>2019</v>
      </c>
      <c r="X838" s="88"/>
      <c r="Y838" s="121"/>
      <c r="Z838" s="121"/>
      <c r="AA838" s="121"/>
      <c r="AB838" s="121"/>
      <c r="AC838" s="121"/>
      <c r="AD838" s="121"/>
      <c r="AE838" s="121"/>
      <c r="AF838" s="122"/>
      <c r="AG838" s="122"/>
      <c r="AH838" s="122"/>
      <c r="AI838" s="123"/>
      <c r="AJ838" s="89">
        <f t="shared" ref="AJ838:AJ840" si="1493">SUM(X838:AI838)</f>
        <v>0</v>
      </c>
      <c r="AK838" s="90">
        <f t="shared" ref="AK838:AK840" si="1494">SUM(X838:AF838)</f>
        <v>0</v>
      </c>
    </row>
    <row r="839" spans="1:38" ht="15.6" hidden="1" thickBot="1">
      <c r="A839" s="91"/>
      <c r="B839" s="164"/>
      <c r="C839" s="92"/>
      <c r="D839" s="93" t="s">
        <v>92</v>
      </c>
      <c r="E839" s="94"/>
      <c r="F839" s="97"/>
      <c r="G839" s="97"/>
      <c r="H839" s="97"/>
      <c r="I839" s="97"/>
      <c r="J839" s="97"/>
      <c r="K839" s="97"/>
      <c r="L839" s="97"/>
      <c r="M839" s="98"/>
      <c r="N839" s="98"/>
      <c r="O839" s="98"/>
      <c r="P839" s="99"/>
      <c r="Q839" s="95">
        <f t="shared" si="1490"/>
        <v>0</v>
      </c>
      <c r="R839" s="96">
        <f t="shared" si="1401"/>
        <v>0</v>
      </c>
      <c r="T839" s="91"/>
      <c r="U839" s="164"/>
      <c r="V839" s="92">
        <f t="shared" si="1492"/>
        <v>0</v>
      </c>
      <c r="W839" s="93" t="s">
        <v>92</v>
      </c>
      <c r="X839" s="94"/>
      <c r="Y839" s="97"/>
      <c r="Z839" s="97"/>
      <c r="AA839" s="97"/>
      <c r="AB839" s="97"/>
      <c r="AC839" s="97"/>
      <c r="AD839" s="97"/>
      <c r="AE839" s="97"/>
      <c r="AF839" s="98"/>
      <c r="AG839" s="98"/>
      <c r="AH839" s="98"/>
      <c r="AI839" s="99"/>
      <c r="AJ839" s="95">
        <f t="shared" si="1493"/>
        <v>0</v>
      </c>
      <c r="AK839" s="96">
        <f t="shared" si="1494"/>
        <v>0</v>
      </c>
    </row>
    <row r="840" spans="1:38" ht="15.6" hidden="1" thickBot="1">
      <c r="A840" s="91"/>
      <c r="B840" s="100"/>
      <c r="C840" s="92"/>
      <c r="D840" s="101">
        <v>2020</v>
      </c>
      <c r="E840" s="102"/>
      <c r="F840" s="124"/>
      <c r="G840" s="124"/>
      <c r="H840" s="124"/>
      <c r="I840" s="124"/>
      <c r="J840" s="124"/>
      <c r="K840" s="124"/>
      <c r="L840" s="124"/>
      <c r="M840" s="125"/>
      <c r="N840" s="125"/>
      <c r="O840" s="125"/>
      <c r="P840" s="126"/>
      <c r="Q840" s="103">
        <f t="shared" si="1490"/>
        <v>0</v>
      </c>
      <c r="R840" s="104">
        <f t="shared" si="1401"/>
        <v>0</v>
      </c>
      <c r="S840" s="105"/>
      <c r="T840" s="91"/>
      <c r="U840" s="100"/>
      <c r="V840" s="92"/>
      <c r="W840" s="101">
        <v>2020</v>
      </c>
      <c r="X840" s="102"/>
      <c r="Y840" s="124"/>
      <c r="Z840" s="124"/>
      <c r="AA840" s="124"/>
      <c r="AB840" s="124"/>
      <c r="AC840" s="124"/>
      <c r="AD840" s="124"/>
      <c r="AE840" s="124"/>
      <c r="AF840" s="125"/>
      <c r="AG840" s="125"/>
      <c r="AH840" s="125"/>
      <c r="AI840" s="126"/>
      <c r="AJ840" s="103">
        <f t="shared" si="1493"/>
        <v>0</v>
      </c>
      <c r="AK840" s="104">
        <f t="shared" si="1494"/>
        <v>0</v>
      </c>
      <c r="AL840" s="105"/>
    </row>
    <row r="841" spans="1:38" ht="15.6" hidden="1" thickBot="1">
      <c r="A841" s="91"/>
      <c r="B841" s="100"/>
      <c r="C841" s="92"/>
      <c r="D841" s="101" t="s">
        <v>102</v>
      </c>
      <c r="E841" s="106" t="e">
        <f t="shared" ref="E841:R841" si="1495">E840/E839</f>
        <v>#DIV/0!</v>
      </c>
      <c r="F841" s="106" t="e">
        <f t="shared" si="1495"/>
        <v>#DIV/0!</v>
      </c>
      <c r="G841" s="106" t="e">
        <f t="shared" si="1495"/>
        <v>#DIV/0!</v>
      </c>
      <c r="H841" s="106" t="e">
        <f t="shared" si="1495"/>
        <v>#DIV/0!</v>
      </c>
      <c r="I841" s="106" t="e">
        <f t="shared" si="1495"/>
        <v>#DIV/0!</v>
      </c>
      <c r="J841" s="106" t="e">
        <f t="shared" si="1495"/>
        <v>#DIV/0!</v>
      </c>
      <c r="K841" s="106" t="e">
        <f t="shared" si="1495"/>
        <v>#DIV/0!</v>
      </c>
      <c r="L841" s="106" t="e">
        <f t="shared" si="1495"/>
        <v>#DIV/0!</v>
      </c>
      <c r="M841" s="107" t="e">
        <f t="shared" si="1495"/>
        <v>#DIV/0!</v>
      </c>
      <c r="N841" s="107" t="e">
        <f t="shared" si="1495"/>
        <v>#DIV/0!</v>
      </c>
      <c r="O841" s="107" t="e">
        <f t="shared" si="1495"/>
        <v>#DIV/0!</v>
      </c>
      <c r="P841" s="108" t="e">
        <f t="shared" si="1495"/>
        <v>#DIV/0!</v>
      </c>
      <c r="Q841" s="109" t="e">
        <f t="shared" si="1495"/>
        <v>#DIV/0!</v>
      </c>
      <c r="R841" s="110" t="e">
        <f t="shared" si="1495"/>
        <v>#DIV/0!</v>
      </c>
      <c r="S841" s="105"/>
      <c r="T841" s="91"/>
      <c r="U841" s="100"/>
      <c r="V841" s="92"/>
      <c r="W841" s="101" t="s">
        <v>102</v>
      </c>
      <c r="X841" s="106" t="e">
        <f t="shared" ref="X841:AK841" si="1496">X840/X839</f>
        <v>#DIV/0!</v>
      </c>
      <c r="Y841" s="106" t="e">
        <f t="shared" si="1496"/>
        <v>#DIV/0!</v>
      </c>
      <c r="Z841" s="106" t="e">
        <f t="shared" si="1496"/>
        <v>#DIV/0!</v>
      </c>
      <c r="AA841" s="106" t="e">
        <f t="shared" si="1496"/>
        <v>#DIV/0!</v>
      </c>
      <c r="AB841" s="106" t="e">
        <f t="shared" si="1496"/>
        <v>#DIV/0!</v>
      </c>
      <c r="AC841" s="106" t="e">
        <f t="shared" si="1496"/>
        <v>#DIV/0!</v>
      </c>
      <c r="AD841" s="106" t="e">
        <f t="shared" si="1496"/>
        <v>#DIV/0!</v>
      </c>
      <c r="AE841" s="106" t="e">
        <f t="shared" si="1496"/>
        <v>#DIV/0!</v>
      </c>
      <c r="AF841" s="107" t="e">
        <f t="shared" si="1496"/>
        <v>#DIV/0!</v>
      </c>
      <c r="AG841" s="107" t="e">
        <f t="shared" si="1496"/>
        <v>#DIV/0!</v>
      </c>
      <c r="AH841" s="107" t="e">
        <f t="shared" si="1496"/>
        <v>#DIV/0!</v>
      </c>
      <c r="AI841" s="108" t="e">
        <f t="shared" si="1496"/>
        <v>#DIV/0!</v>
      </c>
      <c r="AJ841" s="109" t="e">
        <f t="shared" si="1496"/>
        <v>#DIV/0!</v>
      </c>
      <c r="AK841" s="110" t="e">
        <f t="shared" si="1496"/>
        <v>#DIV/0!</v>
      </c>
      <c r="AL841" s="105"/>
    </row>
    <row r="842" spans="1:38" ht="15.6" hidden="1" thickBot="1">
      <c r="A842" s="91"/>
      <c r="B842" s="100"/>
      <c r="C842" s="111"/>
      <c r="D842" s="112" t="s">
        <v>103</v>
      </c>
      <c r="E842" s="113" t="e">
        <f t="shared" ref="E842:R842" si="1497">E840/E838</f>
        <v>#DIV/0!</v>
      </c>
      <c r="F842" s="113" t="e">
        <f t="shared" si="1497"/>
        <v>#DIV/0!</v>
      </c>
      <c r="G842" s="113" t="e">
        <f t="shared" si="1497"/>
        <v>#DIV/0!</v>
      </c>
      <c r="H842" s="113" t="e">
        <f t="shared" si="1497"/>
        <v>#DIV/0!</v>
      </c>
      <c r="I842" s="113" t="e">
        <f t="shared" si="1497"/>
        <v>#DIV/0!</v>
      </c>
      <c r="J842" s="113" t="e">
        <f t="shared" si="1497"/>
        <v>#DIV/0!</v>
      </c>
      <c r="K842" s="113" t="e">
        <f t="shared" si="1497"/>
        <v>#DIV/0!</v>
      </c>
      <c r="L842" s="113" t="e">
        <f t="shared" si="1497"/>
        <v>#DIV/0!</v>
      </c>
      <c r="M842" s="113" t="e">
        <f t="shared" si="1497"/>
        <v>#DIV/0!</v>
      </c>
      <c r="N842" s="113" t="e">
        <f t="shared" si="1497"/>
        <v>#DIV/0!</v>
      </c>
      <c r="O842" s="113" t="e">
        <f t="shared" si="1497"/>
        <v>#DIV/0!</v>
      </c>
      <c r="P842" s="114" t="e">
        <f t="shared" si="1497"/>
        <v>#DIV/0!</v>
      </c>
      <c r="Q842" s="115" t="e">
        <f t="shared" si="1497"/>
        <v>#DIV/0!</v>
      </c>
      <c r="R842" s="116" t="e">
        <f t="shared" si="1497"/>
        <v>#DIV/0!</v>
      </c>
      <c r="T842" s="91"/>
      <c r="U842" s="100"/>
      <c r="V842" s="111"/>
      <c r="W842" s="112" t="s">
        <v>103</v>
      </c>
      <c r="X842" s="113" t="e">
        <f t="shared" ref="X842:AK842" si="1498">X840/X838</f>
        <v>#DIV/0!</v>
      </c>
      <c r="Y842" s="113" t="e">
        <f t="shared" si="1498"/>
        <v>#DIV/0!</v>
      </c>
      <c r="Z842" s="113" t="e">
        <f t="shared" si="1498"/>
        <v>#DIV/0!</v>
      </c>
      <c r="AA842" s="113" t="e">
        <f t="shared" si="1498"/>
        <v>#DIV/0!</v>
      </c>
      <c r="AB842" s="113" t="e">
        <f t="shared" si="1498"/>
        <v>#DIV/0!</v>
      </c>
      <c r="AC842" s="113" t="e">
        <f t="shared" si="1498"/>
        <v>#DIV/0!</v>
      </c>
      <c r="AD842" s="113" t="e">
        <f t="shared" si="1498"/>
        <v>#DIV/0!</v>
      </c>
      <c r="AE842" s="113" t="e">
        <f t="shared" si="1498"/>
        <v>#DIV/0!</v>
      </c>
      <c r="AF842" s="113" t="e">
        <f t="shared" si="1498"/>
        <v>#DIV/0!</v>
      </c>
      <c r="AG842" s="113" t="e">
        <f t="shared" si="1498"/>
        <v>#DIV/0!</v>
      </c>
      <c r="AH842" s="113" t="e">
        <f t="shared" si="1498"/>
        <v>#DIV/0!</v>
      </c>
      <c r="AI842" s="114" t="e">
        <f t="shared" si="1498"/>
        <v>#DIV/0!</v>
      </c>
      <c r="AJ842" s="115" t="e">
        <f t="shared" si="1498"/>
        <v>#DIV/0!</v>
      </c>
      <c r="AK842" s="116" t="e">
        <f t="shared" si="1498"/>
        <v>#DIV/0!</v>
      </c>
    </row>
    <row r="843" spans="1:38" ht="15.6" hidden="1" thickBot="1">
      <c r="A843" s="91"/>
      <c r="B843" s="100"/>
      <c r="C843" s="86"/>
      <c r="D843" s="87">
        <v>2019</v>
      </c>
      <c r="E843" s="88"/>
      <c r="F843" s="121"/>
      <c r="G843" s="121"/>
      <c r="H843" s="121"/>
      <c r="I843" s="121"/>
      <c r="J843" s="121"/>
      <c r="K843" s="121"/>
      <c r="L843" s="121"/>
      <c r="M843" s="122"/>
      <c r="N843" s="122"/>
      <c r="O843" s="122"/>
      <c r="P843" s="123"/>
      <c r="Q843" s="89">
        <f t="shared" ref="Q843:Q845" si="1499">SUM(E843:P843)</f>
        <v>0</v>
      </c>
      <c r="R843" s="90">
        <f t="shared" ref="R843" si="1500">SUM(E843:M843)</f>
        <v>0</v>
      </c>
      <c r="T843" s="91"/>
      <c r="U843" s="100"/>
      <c r="V843" s="86">
        <f t="shared" ref="V843:V844" si="1501">C843</f>
        <v>0</v>
      </c>
      <c r="W843" s="87">
        <v>2019</v>
      </c>
      <c r="X843" s="88"/>
      <c r="Y843" s="121"/>
      <c r="Z843" s="121"/>
      <c r="AA843" s="121"/>
      <c r="AB843" s="121"/>
      <c r="AC843" s="121"/>
      <c r="AD843" s="121"/>
      <c r="AE843" s="121"/>
      <c r="AF843" s="122"/>
      <c r="AG843" s="122"/>
      <c r="AH843" s="122"/>
      <c r="AI843" s="123"/>
      <c r="AJ843" s="89">
        <f t="shared" ref="AJ843:AJ845" si="1502">SUM(X843:AI843)</f>
        <v>0</v>
      </c>
      <c r="AK843" s="90">
        <f t="shared" ref="AK843:AK845" si="1503">SUM(X843:AF843)</f>
        <v>0</v>
      </c>
    </row>
    <row r="844" spans="1:38" ht="15.6" hidden="1" thickBot="1">
      <c r="A844" s="91"/>
      <c r="B844" s="100"/>
      <c r="C844" s="92"/>
      <c r="D844" s="93" t="s">
        <v>92</v>
      </c>
      <c r="E844" s="94"/>
      <c r="F844" s="97"/>
      <c r="G844" s="97"/>
      <c r="H844" s="97"/>
      <c r="I844" s="97"/>
      <c r="J844" s="97"/>
      <c r="K844" s="97"/>
      <c r="L844" s="97"/>
      <c r="M844" s="98"/>
      <c r="N844" s="98"/>
      <c r="O844" s="98"/>
      <c r="P844" s="99"/>
      <c r="Q844" s="95">
        <f t="shared" si="1499"/>
        <v>0</v>
      </c>
      <c r="R844" s="96">
        <f t="shared" si="1401"/>
        <v>0</v>
      </c>
      <c r="T844" s="91"/>
      <c r="U844" s="100"/>
      <c r="V844" s="92">
        <f t="shared" si="1501"/>
        <v>0</v>
      </c>
      <c r="W844" s="93" t="s">
        <v>92</v>
      </c>
      <c r="X844" s="94"/>
      <c r="Y844" s="97"/>
      <c r="Z844" s="97"/>
      <c r="AA844" s="97"/>
      <c r="AB844" s="97"/>
      <c r="AC844" s="97"/>
      <c r="AD844" s="97"/>
      <c r="AE844" s="97"/>
      <c r="AF844" s="98"/>
      <c r="AG844" s="98"/>
      <c r="AH844" s="98"/>
      <c r="AI844" s="99"/>
      <c r="AJ844" s="95">
        <f t="shared" si="1502"/>
        <v>0</v>
      </c>
      <c r="AK844" s="96">
        <f t="shared" si="1503"/>
        <v>0</v>
      </c>
    </row>
    <row r="845" spans="1:38" ht="15.6" hidden="1" thickBot="1">
      <c r="A845" s="91"/>
      <c r="B845" s="100"/>
      <c r="C845" s="92"/>
      <c r="D845" s="101">
        <v>2020</v>
      </c>
      <c r="E845" s="102"/>
      <c r="F845" s="124"/>
      <c r="G845" s="124"/>
      <c r="H845" s="124"/>
      <c r="I845" s="124"/>
      <c r="J845" s="124"/>
      <c r="K845" s="124"/>
      <c r="L845" s="124"/>
      <c r="M845" s="125"/>
      <c r="N845" s="125"/>
      <c r="O845" s="125"/>
      <c r="P845" s="126"/>
      <c r="Q845" s="103">
        <f t="shared" si="1499"/>
        <v>0</v>
      </c>
      <c r="R845" s="104">
        <f t="shared" si="1401"/>
        <v>0</v>
      </c>
      <c r="S845" s="105"/>
      <c r="T845" s="91"/>
      <c r="U845" s="100"/>
      <c r="V845" s="92"/>
      <c r="W845" s="101">
        <v>2020</v>
      </c>
      <c r="X845" s="102"/>
      <c r="Y845" s="124"/>
      <c r="Z845" s="124"/>
      <c r="AA845" s="124"/>
      <c r="AB845" s="124"/>
      <c r="AC845" s="124"/>
      <c r="AD845" s="124"/>
      <c r="AE845" s="124"/>
      <c r="AF845" s="125"/>
      <c r="AG845" s="125"/>
      <c r="AH845" s="125"/>
      <c r="AI845" s="126"/>
      <c r="AJ845" s="103">
        <f t="shared" si="1502"/>
        <v>0</v>
      </c>
      <c r="AK845" s="104">
        <f t="shared" si="1503"/>
        <v>0</v>
      </c>
      <c r="AL845" s="105"/>
    </row>
    <row r="846" spans="1:38" ht="15.6" hidden="1" thickBot="1">
      <c r="A846" s="91"/>
      <c r="B846" s="100"/>
      <c r="C846" s="92"/>
      <c r="D846" s="101" t="s">
        <v>102</v>
      </c>
      <c r="E846" s="106" t="e">
        <f t="shared" ref="E846:R846" si="1504">E845/E844</f>
        <v>#DIV/0!</v>
      </c>
      <c r="F846" s="106" t="e">
        <f t="shared" si="1504"/>
        <v>#DIV/0!</v>
      </c>
      <c r="G846" s="106" t="e">
        <f t="shared" si="1504"/>
        <v>#DIV/0!</v>
      </c>
      <c r="H846" s="106" t="e">
        <f t="shared" si="1504"/>
        <v>#DIV/0!</v>
      </c>
      <c r="I846" s="106" t="e">
        <f t="shared" si="1504"/>
        <v>#DIV/0!</v>
      </c>
      <c r="J846" s="106" t="e">
        <f t="shared" si="1504"/>
        <v>#DIV/0!</v>
      </c>
      <c r="K846" s="106" t="e">
        <f t="shared" si="1504"/>
        <v>#DIV/0!</v>
      </c>
      <c r="L846" s="106" t="e">
        <f t="shared" si="1504"/>
        <v>#DIV/0!</v>
      </c>
      <c r="M846" s="107" t="e">
        <f t="shared" si="1504"/>
        <v>#DIV/0!</v>
      </c>
      <c r="N846" s="107" t="e">
        <f t="shared" si="1504"/>
        <v>#DIV/0!</v>
      </c>
      <c r="O846" s="107" t="e">
        <f t="shared" si="1504"/>
        <v>#DIV/0!</v>
      </c>
      <c r="P846" s="108" t="e">
        <f t="shared" si="1504"/>
        <v>#DIV/0!</v>
      </c>
      <c r="Q846" s="109" t="e">
        <f t="shared" si="1504"/>
        <v>#DIV/0!</v>
      </c>
      <c r="R846" s="110" t="e">
        <f t="shared" si="1504"/>
        <v>#DIV/0!</v>
      </c>
      <c r="S846" s="105"/>
      <c r="T846" s="91"/>
      <c r="U846" s="100"/>
      <c r="V846" s="92"/>
      <c r="W846" s="101" t="s">
        <v>102</v>
      </c>
      <c r="X846" s="106" t="e">
        <f t="shared" ref="X846:AK846" si="1505">X845/X844</f>
        <v>#DIV/0!</v>
      </c>
      <c r="Y846" s="106" t="e">
        <f t="shared" si="1505"/>
        <v>#DIV/0!</v>
      </c>
      <c r="Z846" s="106" t="e">
        <f t="shared" si="1505"/>
        <v>#DIV/0!</v>
      </c>
      <c r="AA846" s="106" t="e">
        <f t="shared" si="1505"/>
        <v>#DIV/0!</v>
      </c>
      <c r="AB846" s="106" t="e">
        <f t="shared" si="1505"/>
        <v>#DIV/0!</v>
      </c>
      <c r="AC846" s="106" t="e">
        <f t="shared" si="1505"/>
        <v>#DIV/0!</v>
      </c>
      <c r="AD846" s="106" t="e">
        <f t="shared" si="1505"/>
        <v>#DIV/0!</v>
      </c>
      <c r="AE846" s="106" t="e">
        <f t="shared" si="1505"/>
        <v>#DIV/0!</v>
      </c>
      <c r="AF846" s="107" t="e">
        <f t="shared" si="1505"/>
        <v>#DIV/0!</v>
      </c>
      <c r="AG846" s="107" t="e">
        <f t="shared" si="1505"/>
        <v>#DIV/0!</v>
      </c>
      <c r="AH846" s="107" t="e">
        <f t="shared" si="1505"/>
        <v>#DIV/0!</v>
      </c>
      <c r="AI846" s="108" t="e">
        <f t="shared" si="1505"/>
        <v>#DIV/0!</v>
      </c>
      <c r="AJ846" s="109" t="e">
        <f t="shared" si="1505"/>
        <v>#DIV/0!</v>
      </c>
      <c r="AK846" s="110" t="e">
        <f t="shared" si="1505"/>
        <v>#DIV/0!</v>
      </c>
      <c r="AL846" s="105"/>
    </row>
    <row r="847" spans="1:38" ht="15.6" hidden="1" thickBot="1">
      <c r="A847" s="91"/>
      <c r="B847" s="100"/>
      <c r="C847" s="111"/>
      <c r="D847" s="112" t="s">
        <v>103</v>
      </c>
      <c r="E847" s="113" t="e">
        <f t="shared" ref="E847:R847" si="1506">E845/E843</f>
        <v>#DIV/0!</v>
      </c>
      <c r="F847" s="113" t="e">
        <f t="shared" si="1506"/>
        <v>#DIV/0!</v>
      </c>
      <c r="G847" s="113" t="e">
        <f t="shared" si="1506"/>
        <v>#DIV/0!</v>
      </c>
      <c r="H847" s="113" t="e">
        <f t="shared" si="1506"/>
        <v>#DIV/0!</v>
      </c>
      <c r="I847" s="113" t="e">
        <f t="shared" si="1506"/>
        <v>#DIV/0!</v>
      </c>
      <c r="J847" s="113" t="e">
        <f t="shared" si="1506"/>
        <v>#DIV/0!</v>
      </c>
      <c r="K847" s="113" t="e">
        <f t="shared" si="1506"/>
        <v>#DIV/0!</v>
      </c>
      <c r="L847" s="113" t="e">
        <f t="shared" si="1506"/>
        <v>#DIV/0!</v>
      </c>
      <c r="M847" s="113" t="e">
        <f t="shared" si="1506"/>
        <v>#DIV/0!</v>
      </c>
      <c r="N847" s="113" t="e">
        <f t="shared" si="1506"/>
        <v>#DIV/0!</v>
      </c>
      <c r="O847" s="113" t="e">
        <f t="shared" si="1506"/>
        <v>#DIV/0!</v>
      </c>
      <c r="P847" s="114" t="e">
        <f t="shared" si="1506"/>
        <v>#DIV/0!</v>
      </c>
      <c r="Q847" s="115" t="e">
        <f t="shared" si="1506"/>
        <v>#DIV/0!</v>
      </c>
      <c r="R847" s="116" t="e">
        <f t="shared" si="1506"/>
        <v>#DIV/0!</v>
      </c>
      <c r="T847" s="91"/>
      <c r="U847" s="100"/>
      <c r="V847" s="111"/>
      <c r="W847" s="112" t="s">
        <v>103</v>
      </c>
      <c r="X847" s="113" t="e">
        <f t="shared" ref="X847:AK847" si="1507">X845/X843</f>
        <v>#DIV/0!</v>
      </c>
      <c r="Y847" s="113" t="e">
        <f t="shared" si="1507"/>
        <v>#DIV/0!</v>
      </c>
      <c r="Z847" s="113" t="e">
        <f t="shared" si="1507"/>
        <v>#DIV/0!</v>
      </c>
      <c r="AA847" s="113" t="e">
        <f t="shared" si="1507"/>
        <v>#DIV/0!</v>
      </c>
      <c r="AB847" s="113" t="e">
        <f t="shared" si="1507"/>
        <v>#DIV/0!</v>
      </c>
      <c r="AC847" s="113" t="e">
        <f t="shared" si="1507"/>
        <v>#DIV/0!</v>
      </c>
      <c r="AD847" s="113" t="e">
        <f t="shared" si="1507"/>
        <v>#DIV/0!</v>
      </c>
      <c r="AE847" s="113" t="e">
        <f t="shared" si="1507"/>
        <v>#DIV/0!</v>
      </c>
      <c r="AF847" s="113" t="e">
        <f t="shared" si="1507"/>
        <v>#DIV/0!</v>
      </c>
      <c r="AG847" s="113" t="e">
        <f t="shared" si="1507"/>
        <v>#DIV/0!</v>
      </c>
      <c r="AH847" s="113" t="e">
        <f t="shared" si="1507"/>
        <v>#DIV/0!</v>
      </c>
      <c r="AI847" s="114" t="e">
        <f t="shared" si="1507"/>
        <v>#DIV/0!</v>
      </c>
      <c r="AJ847" s="115" t="e">
        <f t="shared" si="1507"/>
        <v>#DIV/0!</v>
      </c>
      <c r="AK847" s="116" t="e">
        <f t="shared" si="1507"/>
        <v>#DIV/0!</v>
      </c>
    </row>
    <row r="848" spans="1:38" ht="15.6" hidden="1" thickBot="1">
      <c r="A848" s="91"/>
      <c r="B848" s="100"/>
      <c r="C848" s="86"/>
      <c r="D848" s="87">
        <v>2019</v>
      </c>
      <c r="E848" s="88"/>
      <c r="F848" s="121"/>
      <c r="G848" s="121"/>
      <c r="H848" s="121"/>
      <c r="I848" s="121"/>
      <c r="J848" s="121"/>
      <c r="K848" s="121"/>
      <c r="L848" s="121"/>
      <c r="M848" s="122"/>
      <c r="N848" s="122"/>
      <c r="O848" s="122"/>
      <c r="P848" s="123"/>
      <c r="Q848" s="89">
        <f t="shared" ref="Q848:Q850" si="1508">SUM(E848:P848)</f>
        <v>0</v>
      </c>
      <c r="R848" s="90">
        <f t="shared" ref="R848" si="1509">SUM(E848:M848)</f>
        <v>0</v>
      </c>
      <c r="T848" s="91"/>
      <c r="U848" s="100"/>
      <c r="V848" s="86">
        <f t="shared" ref="V848:V849" si="1510">C848</f>
        <v>0</v>
      </c>
      <c r="W848" s="87">
        <v>2019</v>
      </c>
      <c r="X848" s="88"/>
      <c r="Y848" s="121"/>
      <c r="Z848" s="121"/>
      <c r="AA848" s="121"/>
      <c r="AB848" s="121"/>
      <c r="AC848" s="121"/>
      <c r="AD848" s="121"/>
      <c r="AE848" s="121"/>
      <c r="AF848" s="122"/>
      <c r="AG848" s="122"/>
      <c r="AH848" s="122"/>
      <c r="AI848" s="123"/>
      <c r="AJ848" s="89">
        <f t="shared" ref="AJ848:AJ850" si="1511">SUM(X848:AI848)</f>
        <v>0</v>
      </c>
      <c r="AK848" s="90">
        <f t="shared" ref="AK848:AK850" si="1512">SUM(X848:AF848)</f>
        <v>0</v>
      </c>
    </row>
    <row r="849" spans="1:38" ht="15.6" hidden="1" thickBot="1">
      <c r="A849" s="91"/>
      <c r="B849" s="100"/>
      <c r="C849" s="92"/>
      <c r="D849" s="93" t="s">
        <v>92</v>
      </c>
      <c r="E849" s="94"/>
      <c r="F849" s="97"/>
      <c r="G849" s="97"/>
      <c r="H849" s="97"/>
      <c r="I849" s="97"/>
      <c r="J849" s="97"/>
      <c r="K849" s="97"/>
      <c r="L849" s="97"/>
      <c r="M849" s="98"/>
      <c r="N849" s="98"/>
      <c r="O849" s="98"/>
      <c r="P849" s="99"/>
      <c r="Q849" s="95">
        <f t="shared" si="1508"/>
        <v>0</v>
      </c>
      <c r="R849" s="96">
        <f t="shared" si="1401"/>
        <v>0</v>
      </c>
      <c r="T849" s="91"/>
      <c r="U849" s="100"/>
      <c r="V849" s="92">
        <f t="shared" si="1510"/>
        <v>0</v>
      </c>
      <c r="W849" s="93" t="s">
        <v>92</v>
      </c>
      <c r="X849" s="94"/>
      <c r="Y849" s="97"/>
      <c r="Z849" s="97"/>
      <c r="AA849" s="97"/>
      <c r="AB849" s="97"/>
      <c r="AC849" s="97"/>
      <c r="AD849" s="97"/>
      <c r="AE849" s="97"/>
      <c r="AF849" s="98"/>
      <c r="AG849" s="98"/>
      <c r="AH849" s="98"/>
      <c r="AI849" s="99"/>
      <c r="AJ849" s="95">
        <f t="shared" si="1511"/>
        <v>0</v>
      </c>
      <c r="AK849" s="96">
        <f t="shared" si="1512"/>
        <v>0</v>
      </c>
    </row>
    <row r="850" spans="1:38" ht="15.6" hidden="1" thickBot="1">
      <c r="A850" s="91"/>
      <c r="B850" s="100"/>
      <c r="C850" s="92"/>
      <c r="D850" s="101">
        <v>2020</v>
      </c>
      <c r="E850" s="102"/>
      <c r="F850" s="124"/>
      <c r="G850" s="124"/>
      <c r="H850" s="124"/>
      <c r="I850" s="124"/>
      <c r="J850" s="124"/>
      <c r="K850" s="124"/>
      <c r="L850" s="124"/>
      <c r="M850" s="125"/>
      <c r="N850" s="125"/>
      <c r="O850" s="125"/>
      <c r="P850" s="126"/>
      <c r="Q850" s="103">
        <f t="shared" si="1508"/>
        <v>0</v>
      </c>
      <c r="R850" s="104">
        <f t="shared" si="1401"/>
        <v>0</v>
      </c>
      <c r="S850" s="105"/>
      <c r="T850" s="91"/>
      <c r="U850" s="100"/>
      <c r="V850" s="92"/>
      <c r="W850" s="101">
        <v>2020</v>
      </c>
      <c r="X850" s="102"/>
      <c r="Y850" s="124"/>
      <c r="Z850" s="124"/>
      <c r="AA850" s="124"/>
      <c r="AB850" s="124"/>
      <c r="AC850" s="124"/>
      <c r="AD850" s="124"/>
      <c r="AE850" s="124"/>
      <c r="AF850" s="125"/>
      <c r="AG850" s="125"/>
      <c r="AH850" s="125"/>
      <c r="AI850" s="126"/>
      <c r="AJ850" s="103">
        <f t="shared" si="1511"/>
        <v>0</v>
      </c>
      <c r="AK850" s="104">
        <f t="shared" si="1512"/>
        <v>0</v>
      </c>
      <c r="AL850" s="105"/>
    </row>
    <row r="851" spans="1:38" ht="15.6" hidden="1" thickBot="1">
      <c r="A851" s="91"/>
      <c r="B851" s="100"/>
      <c r="C851" s="92"/>
      <c r="D851" s="101" t="s">
        <v>102</v>
      </c>
      <c r="E851" s="106" t="e">
        <f t="shared" ref="E851:R851" si="1513">E850/E849</f>
        <v>#DIV/0!</v>
      </c>
      <c r="F851" s="106" t="e">
        <f t="shared" si="1513"/>
        <v>#DIV/0!</v>
      </c>
      <c r="G851" s="106" t="e">
        <f t="shared" si="1513"/>
        <v>#DIV/0!</v>
      </c>
      <c r="H851" s="106" t="e">
        <f t="shared" si="1513"/>
        <v>#DIV/0!</v>
      </c>
      <c r="I851" s="106" t="e">
        <f t="shared" si="1513"/>
        <v>#DIV/0!</v>
      </c>
      <c r="J851" s="106" t="e">
        <f t="shared" si="1513"/>
        <v>#DIV/0!</v>
      </c>
      <c r="K851" s="106" t="e">
        <f t="shared" si="1513"/>
        <v>#DIV/0!</v>
      </c>
      <c r="L851" s="106" t="e">
        <f t="shared" si="1513"/>
        <v>#DIV/0!</v>
      </c>
      <c r="M851" s="107" t="e">
        <f t="shared" si="1513"/>
        <v>#DIV/0!</v>
      </c>
      <c r="N851" s="107" t="e">
        <f t="shared" si="1513"/>
        <v>#DIV/0!</v>
      </c>
      <c r="O851" s="107" t="e">
        <f t="shared" si="1513"/>
        <v>#DIV/0!</v>
      </c>
      <c r="P851" s="108" t="e">
        <f t="shared" si="1513"/>
        <v>#DIV/0!</v>
      </c>
      <c r="Q851" s="109" t="e">
        <f t="shared" si="1513"/>
        <v>#DIV/0!</v>
      </c>
      <c r="R851" s="110" t="e">
        <f t="shared" si="1513"/>
        <v>#DIV/0!</v>
      </c>
      <c r="S851" s="105"/>
      <c r="T851" s="91"/>
      <c r="U851" s="100"/>
      <c r="V851" s="92"/>
      <c r="W851" s="101" t="s">
        <v>102</v>
      </c>
      <c r="X851" s="106" t="e">
        <f t="shared" ref="X851:AK851" si="1514">X850/X849</f>
        <v>#DIV/0!</v>
      </c>
      <c r="Y851" s="106" t="e">
        <f t="shared" si="1514"/>
        <v>#DIV/0!</v>
      </c>
      <c r="Z851" s="106" t="e">
        <f t="shared" si="1514"/>
        <v>#DIV/0!</v>
      </c>
      <c r="AA851" s="106" t="e">
        <f t="shared" si="1514"/>
        <v>#DIV/0!</v>
      </c>
      <c r="AB851" s="106" t="e">
        <f t="shared" si="1514"/>
        <v>#DIV/0!</v>
      </c>
      <c r="AC851" s="106" t="e">
        <f t="shared" si="1514"/>
        <v>#DIV/0!</v>
      </c>
      <c r="AD851" s="106" t="e">
        <f t="shared" si="1514"/>
        <v>#DIV/0!</v>
      </c>
      <c r="AE851" s="106" t="e">
        <f t="shared" si="1514"/>
        <v>#DIV/0!</v>
      </c>
      <c r="AF851" s="107" t="e">
        <f t="shared" si="1514"/>
        <v>#DIV/0!</v>
      </c>
      <c r="AG851" s="107" t="e">
        <f t="shared" si="1514"/>
        <v>#DIV/0!</v>
      </c>
      <c r="AH851" s="107" t="e">
        <f t="shared" si="1514"/>
        <v>#DIV/0!</v>
      </c>
      <c r="AI851" s="108" t="e">
        <f t="shared" si="1514"/>
        <v>#DIV/0!</v>
      </c>
      <c r="AJ851" s="109" t="e">
        <f t="shared" si="1514"/>
        <v>#DIV/0!</v>
      </c>
      <c r="AK851" s="110" t="e">
        <f t="shared" si="1514"/>
        <v>#DIV/0!</v>
      </c>
      <c r="AL851" s="105"/>
    </row>
    <row r="852" spans="1:38" ht="15.6" hidden="1" thickBot="1">
      <c r="A852" s="91"/>
      <c r="B852" s="100"/>
      <c r="C852" s="111"/>
      <c r="D852" s="112" t="s">
        <v>103</v>
      </c>
      <c r="E852" s="113" t="e">
        <f t="shared" ref="E852:R852" si="1515">E850/E848</f>
        <v>#DIV/0!</v>
      </c>
      <c r="F852" s="113" t="e">
        <f t="shared" si="1515"/>
        <v>#DIV/0!</v>
      </c>
      <c r="G852" s="113" t="e">
        <f t="shared" si="1515"/>
        <v>#DIV/0!</v>
      </c>
      <c r="H852" s="113" t="e">
        <f t="shared" si="1515"/>
        <v>#DIV/0!</v>
      </c>
      <c r="I852" s="113" t="e">
        <f t="shared" si="1515"/>
        <v>#DIV/0!</v>
      </c>
      <c r="J852" s="113" t="e">
        <f t="shared" si="1515"/>
        <v>#DIV/0!</v>
      </c>
      <c r="K852" s="113" t="e">
        <f t="shared" si="1515"/>
        <v>#DIV/0!</v>
      </c>
      <c r="L852" s="113" t="e">
        <f t="shared" si="1515"/>
        <v>#DIV/0!</v>
      </c>
      <c r="M852" s="113" t="e">
        <f t="shared" si="1515"/>
        <v>#DIV/0!</v>
      </c>
      <c r="N852" s="113" t="e">
        <f t="shared" si="1515"/>
        <v>#DIV/0!</v>
      </c>
      <c r="O852" s="113" t="e">
        <f t="shared" si="1515"/>
        <v>#DIV/0!</v>
      </c>
      <c r="P852" s="114" t="e">
        <f t="shared" si="1515"/>
        <v>#DIV/0!</v>
      </c>
      <c r="Q852" s="115" t="e">
        <f t="shared" si="1515"/>
        <v>#DIV/0!</v>
      </c>
      <c r="R852" s="116" t="e">
        <f t="shared" si="1515"/>
        <v>#DIV/0!</v>
      </c>
      <c r="T852" s="91"/>
      <c r="U852" s="100"/>
      <c r="V852" s="111"/>
      <c r="W852" s="112" t="s">
        <v>103</v>
      </c>
      <c r="X852" s="113" t="e">
        <f t="shared" ref="X852:AK852" si="1516">X850/X848</f>
        <v>#DIV/0!</v>
      </c>
      <c r="Y852" s="113" t="e">
        <f t="shared" si="1516"/>
        <v>#DIV/0!</v>
      </c>
      <c r="Z852" s="113" t="e">
        <f t="shared" si="1516"/>
        <v>#DIV/0!</v>
      </c>
      <c r="AA852" s="113" t="e">
        <f t="shared" si="1516"/>
        <v>#DIV/0!</v>
      </c>
      <c r="AB852" s="113" t="e">
        <f t="shared" si="1516"/>
        <v>#DIV/0!</v>
      </c>
      <c r="AC852" s="113" t="e">
        <f t="shared" si="1516"/>
        <v>#DIV/0!</v>
      </c>
      <c r="AD852" s="113" t="e">
        <f t="shared" si="1516"/>
        <v>#DIV/0!</v>
      </c>
      <c r="AE852" s="113" t="e">
        <f t="shared" si="1516"/>
        <v>#DIV/0!</v>
      </c>
      <c r="AF852" s="113" t="e">
        <f t="shared" si="1516"/>
        <v>#DIV/0!</v>
      </c>
      <c r="AG852" s="113" t="e">
        <f t="shared" si="1516"/>
        <v>#DIV/0!</v>
      </c>
      <c r="AH852" s="113" t="e">
        <f t="shared" si="1516"/>
        <v>#DIV/0!</v>
      </c>
      <c r="AI852" s="114" t="e">
        <f t="shared" si="1516"/>
        <v>#DIV/0!</v>
      </c>
      <c r="AJ852" s="115" t="e">
        <f t="shared" si="1516"/>
        <v>#DIV/0!</v>
      </c>
      <c r="AK852" s="116" t="e">
        <f t="shared" si="1516"/>
        <v>#DIV/0!</v>
      </c>
    </row>
    <row r="853" spans="1:38" ht="15.6" hidden="1" thickBot="1">
      <c r="A853" s="91"/>
      <c r="B853" s="100"/>
      <c r="C853" s="86"/>
      <c r="D853" s="87">
        <v>2019</v>
      </c>
      <c r="E853" s="88"/>
      <c r="F853" s="121"/>
      <c r="G853" s="121"/>
      <c r="H853" s="121"/>
      <c r="I853" s="121"/>
      <c r="J853" s="121"/>
      <c r="K853" s="121"/>
      <c r="L853" s="121"/>
      <c r="M853" s="122"/>
      <c r="N853" s="122"/>
      <c r="O853" s="122"/>
      <c r="P853" s="123"/>
      <c r="Q853" s="89">
        <f t="shared" ref="Q853:Q855" si="1517">SUM(E853:P853)</f>
        <v>0</v>
      </c>
      <c r="R853" s="90">
        <f t="shared" ref="R853:R915" si="1518">SUM(E853:M853)</f>
        <v>0</v>
      </c>
      <c r="T853" s="91"/>
      <c r="U853" s="100"/>
      <c r="V853" s="86">
        <f t="shared" ref="V853:V854" si="1519">C853</f>
        <v>0</v>
      </c>
      <c r="W853" s="87">
        <v>2019</v>
      </c>
      <c r="X853" s="88"/>
      <c r="Y853" s="121"/>
      <c r="Z853" s="121"/>
      <c r="AA853" s="121"/>
      <c r="AB853" s="121"/>
      <c r="AC853" s="121"/>
      <c r="AD853" s="121"/>
      <c r="AE853" s="121"/>
      <c r="AF853" s="122"/>
      <c r="AG853" s="122"/>
      <c r="AH853" s="122"/>
      <c r="AI853" s="123"/>
      <c r="AJ853" s="89">
        <f t="shared" ref="AJ853:AJ855" si="1520">SUM(X853:AI853)</f>
        <v>0</v>
      </c>
      <c r="AK853" s="90">
        <f t="shared" ref="AK853:AK855" si="1521">SUM(X853:AF853)</f>
        <v>0</v>
      </c>
    </row>
    <row r="854" spans="1:38" ht="15.6" hidden="1" thickBot="1">
      <c r="A854" s="91"/>
      <c r="B854" s="100"/>
      <c r="C854" s="92"/>
      <c r="D854" s="93" t="s">
        <v>92</v>
      </c>
      <c r="E854" s="94"/>
      <c r="F854" s="97"/>
      <c r="G854" s="97"/>
      <c r="H854" s="97"/>
      <c r="I854" s="97"/>
      <c r="J854" s="97"/>
      <c r="K854" s="97"/>
      <c r="L854" s="97"/>
      <c r="M854" s="98"/>
      <c r="N854" s="98"/>
      <c r="O854" s="98"/>
      <c r="P854" s="99"/>
      <c r="Q854" s="95">
        <f t="shared" si="1517"/>
        <v>0</v>
      </c>
      <c r="R854" s="96">
        <f t="shared" si="1518"/>
        <v>0</v>
      </c>
      <c r="T854" s="91"/>
      <c r="U854" s="100"/>
      <c r="V854" s="92">
        <f t="shared" si="1519"/>
        <v>0</v>
      </c>
      <c r="W854" s="93" t="s">
        <v>92</v>
      </c>
      <c r="X854" s="94"/>
      <c r="Y854" s="97"/>
      <c r="Z854" s="97"/>
      <c r="AA854" s="97"/>
      <c r="AB854" s="97"/>
      <c r="AC854" s="97"/>
      <c r="AD854" s="97"/>
      <c r="AE854" s="97"/>
      <c r="AF854" s="98"/>
      <c r="AG854" s="98"/>
      <c r="AH854" s="98"/>
      <c r="AI854" s="99"/>
      <c r="AJ854" s="95">
        <f t="shared" si="1520"/>
        <v>0</v>
      </c>
      <c r="AK854" s="96">
        <f t="shared" si="1521"/>
        <v>0</v>
      </c>
    </row>
    <row r="855" spans="1:38" ht="15.6" hidden="1" thickBot="1">
      <c r="A855" s="91"/>
      <c r="B855" s="100"/>
      <c r="C855" s="92"/>
      <c r="D855" s="101">
        <v>2020</v>
      </c>
      <c r="E855" s="102"/>
      <c r="F855" s="124"/>
      <c r="G855" s="124"/>
      <c r="H855" s="124"/>
      <c r="I855" s="124"/>
      <c r="J855" s="124"/>
      <c r="K855" s="124"/>
      <c r="L855" s="124"/>
      <c r="M855" s="125"/>
      <c r="N855" s="125"/>
      <c r="O855" s="125"/>
      <c r="P855" s="126"/>
      <c r="Q855" s="103">
        <f t="shared" si="1517"/>
        <v>0</v>
      </c>
      <c r="R855" s="104">
        <f t="shared" si="1518"/>
        <v>0</v>
      </c>
      <c r="S855" s="105"/>
      <c r="T855" s="91"/>
      <c r="U855" s="100"/>
      <c r="V855" s="92"/>
      <c r="W855" s="101">
        <v>2020</v>
      </c>
      <c r="X855" s="102"/>
      <c r="Y855" s="124"/>
      <c r="Z855" s="124"/>
      <c r="AA855" s="124"/>
      <c r="AB855" s="124"/>
      <c r="AC855" s="124"/>
      <c r="AD855" s="124"/>
      <c r="AE855" s="124"/>
      <c r="AF855" s="125"/>
      <c r="AG855" s="125"/>
      <c r="AH855" s="125"/>
      <c r="AI855" s="126"/>
      <c r="AJ855" s="103">
        <f t="shared" si="1520"/>
        <v>0</v>
      </c>
      <c r="AK855" s="104">
        <f t="shared" si="1521"/>
        <v>0</v>
      </c>
      <c r="AL855" s="105"/>
    </row>
    <row r="856" spans="1:38" ht="15.6" hidden="1" thickBot="1">
      <c r="A856" s="91"/>
      <c r="B856" s="100"/>
      <c r="C856" s="92"/>
      <c r="D856" s="101" t="s">
        <v>102</v>
      </c>
      <c r="E856" s="106" t="e">
        <f t="shared" ref="E856:R856" si="1522">E855/E854</f>
        <v>#DIV/0!</v>
      </c>
      <c r="F856" s="106" t="e">
        <f t="shared" si="1522"/>
        <v>#DIV/0!</v>
      </c>
      <c r="G856" s="106" t="e">
        <f t="shared" si="1522"/>
        <v>#DIV/0!</v>
      </c>
      <c r="H856" s="106" t="e">
        <f t="shared" si="1522"/>
        <v>#DIV/0!</v>
      </c>
      <c r="I856" s="106" t="e">
        <f t="shared" si="1522"/>
        <v>#DIV/0!</v>
      </c>
      <c r="J856" s="106" t="e">
        <f t="shared" si="1522"/>
        <v>#DIV/0!</v>
      </c>
      <c r="K856" s="106" t="e">
        <f t="shared" si="1522"/>
        <v>#DIV/0!</v>
      </c>
      <c r="L856" s="106" t="e">
        <f t="shared" si="1522"/>
        <v>#DIV/0!</v>
      </c>
      <c r="M856" s="107" t="e">
        <f t="shared" si="1522"/>
        <v>#DIV/0!</v>
      </c>
      <c r="N856" s="107" t="e">
        <f t="shared" si="1522"/>
        <v>#DIV/0!</v>
      </c>
      <c r="O856" s="107" t="e">
        <f t="shared" si="1522"/>
        <v>#DIV/0!</v>
      </c>
      <c r="P856" s="108" t="e">
        <f t="shared" si="1522"/>
        <v>#DIV/0!</v>
      </c>
      <c r="Q856" s="109" t="e">
        <f t="shared" si="1522"/>
        <v>#DIV/0!</v>
      </c>
      <c r="R856" s="110" t="e">
        <f t="shared" si="1522"/>
        <v>#DIV/0!</v>
      </c>
      <c r="S856" s="105"/>
      <c r="T856" s="91"/>
      <c r="U856" s="100"/>
      <c r="V856" s="92"/>
      <c r="W856" s="101" t="s">
        <v>102</v>
      </c>
      <c r="X856" s="106" t="e">
        <f t="shared" ref="X856:AK856" si="1523">X855/X854</f>
        <v>#DIV/0!</v>
      </c>
      <c r="Y856" s="106" t="e">
        <f t="shared" si="1523"/>
        <v>#DIV/0!</v>
      </c>
      <c r="Z856" s="106" t="e">
        <f t="shared" si="1523"/>
        <v>#DIV/0!</v>
      </c>
      <c r="AA856" s="106" t="e">
        <f t="shared" si="1523"/>
        <v>#DIV/0!</v>
      </c>
      <c r="AB856" s="106" t="e">
        <f t="shared" si="1523"/>
        <v>#DIV/0!</v>
      </c>
      <c r="AC856" s="106" t="e">
        <f t="shared" si="1523"/>
        <v>#DIV/0!</v>
      </c>
      <c r="AD856" s="106" t="e">
        <f t="shared" si="1523"/>
        <v>#DIV/0!</v>
      </c>
      <c r="AE856" s="106" t="e">
        <f t="shared" si="1523"/>
        <v>#DIV/0!</v>
      </c>
      <c r="AF856" s="107" t="e">
        <f t="shared" si="1523"/>
        <v>#DIV/0!</v>
      </c>
      <c r="AG856" s="107" t="e">
        <f t="shared" si="1523"/>
        <v>#DIV/0!</v>
      </c>
      <c r="AH856" s="107" t="e">
        <f t="shared" si="1523"/>
        <v>#DIV/0!</v>
      </c>
      <c r="AI856" s="108" t="e">
        <f t="shared" si="1523"/>
        <v>#DIV/0!</v>
      </c>
      <c r="AJ856" s="109" t="e">
        <f t="shared" si="1523"/>
        <v>#DIV/0!</v>
      </c>
      <c r="AK856" s="110" t="e">
        <f t="shared" si="1523"/>
        <v>#DIV/0!</v>
      </c>
      <c r="AL856" s="105"/>
    </row>
    <row r="857" spans="1:38" ht="15.6" hidden="1" thickBot="1">
      <c r="A857" s="91"/>
      <c r="B857" s="100"/>
      <c r="C857" s="111"/>
      <c r="D857" s="112" t="s">
        <v>103</v>
      </c>
      <c r="E857" s="113" t="e">
        <f t="shared" ref="E857:R857" si="1524">E855/E853</f>
        <v>#DIV/0!</v>
      </c>
      <c r="F857" s="113" t="e">
        <f t="shared" si="1524"/>
        <v>#DIV/0!</v>
      </c>
      <c r="G857" s="113" t="e">
        <f t="shared" si="1524"/>
        <v>#DIV/0!</v>
      </c>
      <c r="H857" s="113" t="e">
        <f t="shared" si="1524"/>
        <v>#DIV/0!</v>
      </c>
      <c r="I857" s="113" t="e">
        <f t="shared" si="1524"/>
        <v>#DIV/0!</v>
      </c>
      <c r="J857" s="113" t="e">
        <f t="shared" si="1524"/>
        <v>#DIV/0!</v>
      </c>
      <c r="K857" s="113" t="e">
        <f t="shared" si="1524"/>
        <v>#DIV/0!</v>
      </c>
      <c r="L857" s="113" t="e">
        <f t="shared" si="1524"/>
        <v>#DIV/0!</v>
      </c>
      <c r="M857" s="113" t="e">
        <f t="shared" si="1524"/>
        <v>#DIV/0!</v>
      </c>
      <c r="N857" s="113" t="e">
        <f t="shared" si="1524"/>
        <v>#DIV/0!</v>
      </c>
      <c r="O857" s="113" t="e">
        <f t="shared" si="1524"/>
        <v>#DIV/0!</v>
      </c>
      <c r="P857" s="114" t="e">
        <f t="shared" si="1524"/>
        <v>#DIV/0!</v>
      </c>
      <c r="Q857" s="115" t="e">
        <f t="shared" si="1524"/>
        <v>#DIV/0!</v>
      </c>
      <c r="R857" s="116" t="e">
        <f t="shared" si="1524"/>
        <v>#DIV/0!</v>
      </c>
      <c r="T857" s="91"/>
      <c r="U857" s="100"/>
      <c r="V857" s="111"/>
      <c r="W857" s="112" t="s">
        <v>103</v>
      </c>
      <c r="X857" s="113" t="e">
        <f t="shared" ref="X857:AK857" si="1525">X855/X853</f>
        <v>#DIV/0!</v>
      </c>
      <c r="Y857" s="113" t="e">
        <f t="shared" si="1525"/>
        <v>#DIV/0!</v>
      </c>
      <c r="Z857" s="113" t="e">
        <f t="shared" si="1525"/>
        <v>#DIV/0!</v>
      </c>
      <c r="AA857" s="113" t="e">
        <f t="shared" si="1525"/>
        <v>#DIV/0!</v>
      </c>
      <c r="AB857" s="113" t="e">
        <f t="shared" si="1525"/>
        <v>#DIV/0!</v>
      </c>
      <c r="AC857" s="113" t="e">
        <f t="shared" si="1525"/>
        <v>#DIV/0!</v>
      </c>
      <c r="AD857" s="113" t="e">
        <f t="shared" si="1525"/>
        <v>#DIV/0!</v>
      </c>
      <c r="AE857" s="113" t="e">
        <f t="shared" si="1525"/>
        <v>#DIV/0!</v>
      </c>
      <c r="AF857" s="113" t="e">
        <f t="shared" si="1525"/>
        <v>#DIV/0!</v>
      </c>
      <c r="AG857" s="113" t="e">
        <f t="shared" si="1525"/>
        <v>#DIV/0!</v>
      </c>
      <c r="AH857" s="113" t="e">
        <f t="shared" si="1525"/>
        <v>#DIV/0!</v>
      </c>
      <c r="AI857" s="114" t="e">
        <f t="shared" si="1525"/>
        <v>#DIV/0!</v>
      </c>
      <c r="AJ857" s="115" t="e">
        <f t="shared" si="1525"/>
        <v>#DIV/0!</v>
      </c>
      <c r="AK857" s="116" t="e">
        <f t="shared" si="1525"/>
        <v>#DIV/0!</v>
      </c>
    </row>
    <row r="858" spans="1:38" ht="15.6" hidden="1" thickBot="1">
      <c r="A858" s="91"/>
      <c r="B858" s="100"/>
      <c r="C858" s="86"/>
      <c r="D858" s="87">
        <v>2019</v>
      </c>
      <c r="E858" s="88"/>
      <c r="F858" s="121"/>
      <c r="G858" s="121"/>
      <c r="H858" s="121"/>
      <c r="I858" s="121"/>
      <c r="J858" s="121"/>
      <c r="K858" s="121"/>
      <c r="L858" s="121"/>
      <c r="M858" s="122"/>
      <c r="N858" s="122"/>
      <c r="O858" s="122"/>
      <c r="P858" s="123"/>
      <c r="Q858" s="89">
        <f t="shared" ref="Q858:Q860" si="1526">SUM(E858:P858)</f>
        <v>0</v>
      </c>
      <c r="R858" s="90">
        <f t="shared" ref="R858" si="1527">SUM(E858:M858)</f>
        <v>0</v>
      </c>
      <c r="T858" s="91"/>
      <c r="U858" s="100"/>
      <c r="V858" s="86">
        <f t="shared" ref="V858:V859" si="1528">C858</f>
        <v>0</v>
      </c>
      <c r="W858" s="87">
        <v>2019</v>
      </c>
      <c r="X858" s="88"/>
      <c r="Y858" s="121"/>
      <c r="Z858" s="121"/>
      <c r="AA858" s="121"/>
      <c r="AB858" s="121"/>
      <c r="AC858" s="121"/>
      <c r="AD858" s="121"/>
      <c r="AE858" s="121"/>
      <c r="AF858" s="122"/>
      <c r="AG858" s="122"/>
      <c r="AH858" s="122"/>
      <c r="AI858" s="123"/>
      <c r="AJ858" s="89">
        <f t="shared" ref="AJ858:AJ860" si="1529">SUM(X858:AI858)</f>
        <v>0</v>
      </c>
      <c r="AK858" s="90">
        <f t="shared" ref="AK858:AK860" si="1530">SUM(X858:AF858)</f>
        <v>0</v>
      </c>
    </row>
    <row r="859" spans="1:38" ht="15.6" hidden="1" thickBot="1">
      <c r="A859" s="91"/>
      <c r="B859" s="100"/>
      <c r="C859" s="92"/>
      <c r="D859" s="93" t="s">
        <v>92</v>
      </c>
      <c r="E859" s="94"/>
      <c r="F859" s="97"/>
      <c r="G859" s="97"/>
      <c r="H859" s="97"/>
      <c r="I859" s="97"/>
      <c r="J859" s="97"/>
      <c r="K859" s="97"/>
      <c r="L859" s="97"/>
      <c r="M859" s="98"/>
      <c r="N859" s="98"/>
      <c r="O859" s="98"/>
      <c r="P859" s="99"/>
      <c r="Q859" s="95">
        <f t="shared" si="1526"/>
        <v>0</v>
      </c>
      <c r="R859" s="96">
        <f t="shared" si="1518"/>
        <v>0</v>
      </c>
      <c r="T859" s="91"/>
      <c r="U859" s="100"/>
      <c r="V859" s="92">
        <f t="shared" si="1528"/>
        <v>0</v>
      </c>
      <c r="W859" s="93" t="s">
        <v>92</v>
      </c>
      <c r="X859" s="94"/>
      <c r="Y859" s="97"/>
      <c r="Z859" s="97"/>
      <c r="AA859" s="97"/>
      <c r="AB859" s="97"/>
      <c r="AC859" s="97"/>
      <c r="AD859" s="97"/>
      <c r="AE859" s="97"/>
      <c r="AF859" s="98"/>
      <c r="AG859" s="98"/>
      <c r="AH859" s="98"/>
      <c r="AI859" s="99"/>
      <c r="AJ859" s="95">
        <f t="shared" si="1529"/>
        <v>0</v>
      </c>
      <c r="AK859" s="96">
        <f t="shared" si="1530"/>
        <v>0</v>
      </c>
    </row>
    <row r="860" spans="1:38" ht="15.6" hidden="1" thickBot="1">
      <c r="A860" s="91"/>
      <c r="B860" s="100"/>
      <c r="C860" s="92"/>
      <c r="D860" s="101">
        <v>2020</v>
      </c>
      <c r="E860" s="102"/>
      <c r="F860" s="124"/>
      <c r="G860" s="124"/>
      <c r="H860" s="124"/>
      <c r="I860" s="124"/>
      <c r="J860" s="124"/>
      <c r="K860" s="124"/>
      <c r="L860" s="124"/>
      <c r="M860" s="125"/>
      <c r="N860" s="125"/>
      <c r="O860" s="125"/>
      <c r="P860" s="126"/>
      <c r="Q860" s="103">
        <f t="shared" si="1526"/>
        <v>0</v>
      </c>
      <c r="R860" s="104">
        <f t="shared" si="1518"/>
        <v>0</v>
      </c>
      <c r="S860" s="105"/>
      <c r="T860" s="91"/>
      <c r="U860" s="100"/>
      <c r="V860" s="92"/>
      <c r="W860" s="101">
        <v>2020</v>
      </c>
      <c r="X860" s="102"/>
      <c r="Y860" s="124"/>
      <c r="Z860" s="124"/>
      <c r="AA860" s="124"/>
      <c r="AB860" s="124"/>
      <c r="AC860" s="124"/>
      <c r="AD860" s="124"/>
      <c r="AE860" s="124"/>
      <c r="AF860" s="125"/>
      <c r="AG860" s="125"/>
      <c r="AH860" s="125"/>
      <c r="AI860" s="126"/>
      <c r="AJ860" s="103">
        <f t="shared" si="1529"/>
        <v>0</v>
      </c>
      <c r="AK860" s="104">
        <f t="shared" si="1530"/>
        <v>0</v>
      </c>
      <c r="AL860" s="105"/>
    </row>
    <row r="861" spans="1:38" ht="15.6" hidden="1" thickBot="1">
      <c r="A861" s="91"/>
      <c r="B861" s="100"/>
      <c r="C861" s="92"/>
      <c r="D861" s="101" t="s">
        <v>102</v>
      </c>
      <c r="E861" s="106" t="e">
        <f t="shared" ref="E861:R861" si="1531">E860/E859</f>
        <v>#DIV/0!</v>
      </c>
      <c r="F861" s="106" t="e">
        <f t="shared" si="1531"/>
        <v>#DIV/0!</v>
      </c>
      <c r="G861" s="106" t="e">
        <f t="shared" si="1531"/>
        <v>#DIV/0!</v>
      </c>
      <c r="H861" s="106" t="e">
        <f t="shared" si="1531"/>
        <v>#DIV/0!</v>
      </c>
      <c r="I861" s="106" t="e">
        <f t="shared" si="1531"/>
        <v>#DIV/0!</v>
      </c>
      <c r="J861" s="106" t="e">
        <f t="shared" si="1531"/>
        <v>#DIV/0!</v>
      </c>
      <c r="K861" s="106" t="e">
        <f t="shared" si="1531"/>
        <v>#DIV/0!</v>
      </c>
      <c r="L861" s="106" t="e">
        <f t="shared" si="1531"/>
        <v>#DIV/0!</v>
      </c>
      <c r="M861" s="107" t="e">
        <f t="shared" si="1531"/>
        <v>#DIV/0!</v>
      </c>
      <c r="N861" s="107" t="e">
        <f t="shared" si="1531"/>
        <v>#DIV/0!</v>
      </c>
      <c r="O861" s="107" t="e">
        <f t="shared" si="1531"/>
        <v>#DIV/0!</v>
      </c>
      <c r="P861" s="108" t="e">
        <f t="shared" si="1531"/>
        <v>#DIV/0!</v>
      </c>
      <c r="Q861" s="109" t="e">
        <f t="shared" si="1531"/>
        <v>#DIV/0!</v>
      </c>
      <c r="R861" s="110" t="e">
        <f t="shared" si="1531"/>
        <v>#DIV/0!</v>
      </c>
      <c r="S861" s="105"/>
      <c r="T861" s="91"/>
      <c r="U861" s="100"/>
      <c r="V861" s="92"/>
      <c r="W861" s="101" t="s">
        <v>102</v>
      </c>
      <c r="X861" s="106" t="e">
        <f t="shared" ref="X861:AK861" si="1532">X860/X859</f>
        <v>#DIV/0!</v>
      </c>
      <c r="Y861" s="106" t="e">
        <f t="shared" si="1532"/>
        <v>#DIV/0!</v>
      </c>
      <c r="Z861" s="106" t="e">
        <f t="shared" si="1532"/>
        <v>#DIV/0!</v>
      </c>
      <c r="AA861" s="106" t="e">
        <f t="shared" si="1532"/>
        <v>#DIV/0!</v>
      </c>
      <c r="AB861" s="106" t="e">
        <f t="shared" si="1532"/>
        <v>#DIV/0!</v>
      </c>
      <c r="AC861" s="106" t="e">
        <f t="shared" si="1532"/>
        <v>#DIV/0!</v>
      </c>
      <c r="AD861" s="106" t="e">
        <f t="shared" si="1532"/>
        <v>#DIV/0!</v>
      </c>
      <c r="AE861" s="106" t="e">
        <f t="shared" si="1532"/>
        <v>#DIV/0!</v>
      </c>
      <c r="AF861" s="107" t="e">
        <f t="shared" si="1532"/>
        <v>#DIV/0!</v>
      </c>
      <c r="AG861" s="107" t="e">
        <f t="shared" si="1532"/>
        <v>#DIV/0!</v>
      </c>
      <c r="AH861" s="107" t="e">
        <f t="shared" si="1532"/>
        <v>#DIV/0!</v>
      </c>
      <c r="AI861" s="108" t="e">
        <f t="shared" si="1532"/>
        <v>#DIV/0!</v>
      </c>
      <c r="AJ861" s="109" t="e">
        <f t="shared" si="1532"/>
        <v>#DIV/0!</v>
      </c>
      <c r="AK861" s="110" t="e">
        <f t="shared" si="1532"/>
        <v>#DIV/0!</v>
      </c>
      <c r="AL861" s="105"/>
    </row>
    <row r="862" spans="1:38" ht="15.6" hidden="1" thickBot="1">
      <c r="A862" s="91"/>
      <c r="B862" s="100"/>
      <c r="C862" s="111"/>
      <c r="D862" s="112" t="s">
        <v>103</v>
      </c>
      <c r="E862" s="113" t="e">
        <f t="shared" ref="E862:R862" si="1533">E860/E858</f>
        <v>#DIV/0!</v>
      </c>
      <c r="F862" s="113" t="e">
        <f t="shared" si="1533"/>
        <v>#DIV/0!</v>
      </c>
      <c r="G862" s="113" t="e">
        <f t="shared" si="1533"/>
        <v>#DIV/0!</v>
      </c>
      <c r="H862" s="113" t="e">
        <f t="shared" si="1533"/>
        <v>#DIV/0!</v>
      </c>
      <c r="I862" s="113" t="e">
        <f t="shared" si="1533"/>
        <v>#DIV/0!</v>
      </c>
      <c r="J862" s="113" t="e">
        <f t="shared" si="1533"/>
        <v>#DIV/0!</v>
      </c>
      <c r="K862" s="113" t="e">
        <f t="shared" si="1533"/>
        <v>#DIV/0!</v>
      </c>
      <c r="L862" s="113" t="e">
        <f t="shared" si="1533"/>
        <v>#DIV/0!</v>
      </c>
      <c r="M862" s="113" t="e">
        <f t="shared" si="1533"/>
        <v>#DIV/0!</v>
      </c>
      <c r="N862" s="113" t="e">
        <f t="shared" si="1533"/>
        <v>#DIV/0!</v>
      </c>
      <c r="O862" s="113" t="e">
        <f t="shared" si="1533"/>
        <v>#DIV/0!</v>
      </c>
      <c r="P862" s="114" t="e">
        <f t="shared" si="1533"/>
        <v>#DIV/0!</v>
      </c>
      <c r="Q862" s="115" t="e">
        <f t="shared" si="1533"/>
        <v>#DIV/0!</v>
      </c>
      <c r="R862" s="116" t="e">
        <f t="shared" si="1533"/>
        <v>#DIV/0!</v>
      </c>
      <c r="T862" s="91"/>
      <c r="U862" s="100"/>
      <c r="V862" s="111"/>
      <c r="W862" s="112" t="s">
        <v>103</v>
      </c>
      <c r="X862" s="113" t="e">
        <f t="shared" ref="X862:AK862" si="1534">X860/X858</f>
        <v>#DIV/0!</v>
      </c>
      <c r="Y862" s="113" t="e">
        <f t="shared" si="1534"/>
        <v>#DIV/0!</v>
      </c>
      <c r="Z862" s="113" t="e">
        <f t="shared" si="1534"/>
        <v>#DIV/0!</v>
      </c>
      <c r="AA862" s="113" t="e">
        <f t="shared" si="1534"/>
        <v>#DIV/0!</v>
      </c>
      <c r="AB862" s="113" t="e">
        <f t="shared" si="1534"/>
        <v>#DIV/0!</v>
      </c>
      <c r="AC862" s="113" t="e">
        <f t="shared" si="1534"/>
        <v>#DIV/0!</v>
      </c>
      <c r="AD862" s="113" t="e">
        <f t="shared" si="1534"/>
        <v>#DIV/0!</v>
      </c>
      <c r="AE862" s="113" t="e">
        <f t="shared" si="1534"/>
        <v>#DIV/0!</v>
      </c>
      <c r="AF862" s="113" t="e">
        <f t="shared" si="1534"/>
        <v>#DIV/0!</v>
      </c>
      <c r="AG862" s="113" t="e">
        <f t="shared" si="1534"/>
        <v>#DIV/0!</v>
      </c>
      <c r="AH862" s="113" t="e">
        <f t="shared" si="1534"/>
        <v>#DIV/0!</v>
      </c>
      <c r="AI862" s="114" t="e">
        <f t="shared" si="1534"/>
        <v>#DIV/0!</v>
      </c>
      <c r="AJ862" s="115" t="e">
        <f t="shared" si="1534"/>
        <v>#DIV/0!</v>
      </c>
      <c r="AK862" s="116" t="e">
        <f t="shared" si="1534"/>
        <v>#DIV/0!</v>
      </c>
    </row>
    <row r="863" spans="1:38" ht="15.6" hidden="1" thickBot="1">
      <c r="A863" s="91"/>
      <c r="B863" s="100"/>
      <c r="C863" s="86"/>
      <c r="D863" s="87">
        <v>2019</v>
      </c>
      <c r="E863" s="88"/>
      <c r="F863" s="121"/>
      <c r="G863" s="121"/>
      <c r="H863" s="121"/>
      <c r="I863" s="121"/>
      <c r="J863" s="121"/>
      <c r="K863" s="121"/>
      <c r="L863" s="121"/>
      <c r="M863" s="122"/>
      <c r="N863" s="122"/>
      <c r="O863" s="122"/>
      <c r="P863" s="123"/>
      <c r="Q863" s="89">
        <f t="shared" ref="Q863:Q865" si="1535">SUM(E863:P863)</f>
        <v>0</v>
      </c>
      <c r="R863" s="90">
        <f t="shared" ref="R863" si="1536">SUM(E863:M863)</f>
        <v>0</v>
      </c>
      <c r="T863" s="91"/>
      <c r="U863" s="100"/>
      <c r="V863" s="86">
        <f t="shared" ref="V863:V864" si="1537">C863</f>
        <v>0</v>
      </c>
      <c r="W863" s="87">
        <v>2019</v>
      </c>
      <c r="X863" s="88"/>
      <c r="Y863" s="121"/>
      <c r="Z863" s="121"/>
      <c r="AA863" s="121"/>
      <c r="AB863" s="121"/>
      <c r="AC863" s="121"/>
      <c r="AD863" s="121"/>
      <c r="AE863" s="121"/>
      <c r="AF863" s="122"/>
      <c r="AG863" s="122"/>
      <c r="AH863" s="122"/>
      <c r="AI863" s="123"/>
      <c r="AJ863" s="89">
        <f t="shared" ref="AJ863:AJ865" si="1538">SUM(X863:AI863)</f>
        <v>0</v>
      </c>
      <c r="AK863" s="90">
        <f t="shared" ref="AK863:AK865" si="1539">SUM(X863:AF863)</f>
        <v>0</v>
      </c>
    </row>
    <row r="864" spans="1:38" ht="15.6" hidden="1" thickBot="1">
      <c r="A864" s="91"/>
      <c r="B864" s="100"/>
      <c r="C864" s="92"/>
      <c r="D864" s="93" t="s">
        <v>92</v>
      </c>
      <c r="E864" s="94"/>
      <c r="F864" s="97"/>
      <c r="G864" s="97"/>
      <c r="H864" s="97"/>
      <c r="I864" s="97"/>
      <c r="J864" s="97"/>
      <c r="K864" s="97"/>
      <c r="L864" s="97"/>
      <c r="M864" s="98"/>
      <c r="N864" s="98"/>
      <c r="O864" s="98"/>
      <c r="P864" s="99"/>
      <c r="Q864" s="95">
        <f t="shared" si="1535"/>
        <v>0</v>
      </c>
      <c r="R864" s="96">
        <f t="shared" si="1518"/>
        <v>0</v>
      </c>
      <c r="T864" s="91"/>
      <c r="U864" s="100"/>
      <c r="V864" s="92">
        <f t="shared" si="1537"/>
        <v>0</v>
      </c>
      <c r="W864" s="93" t="s">
        <v>92</v>
      </c>
      <c r="X864" s="94"/>
      <c r="Y864" s="97"/>
      <c r="Z864" s="97"/>
      <c r="AA864" s="97"/>
      <c r="AB864" s="97"/>
      <c r="AC864" s="97"/>
      <c r="AD864" s="97"/>
      <c r="AE864" s="97"/>
      <c r="AF864" s="98"/>
      <c r="AG864" s="98"/>
      <c r="AH864" s="98"/>
      <c r="AI864" s="99"/>
      <c r="AJ864" s="95">
        <f t="shared" si="1538"/>
        <v>0</v>
      </c>
      <c r="AK864" s="96">
        <f t="shared" si="1539"/>
        <v>0</v>
      </c>
    </row>
    <row r="865" spans="1:38" ht="15.6" hidden="1" thickBot="1">
      <c r="A865" s="91"/>
      <c r="B865" s="100"/>
      <c r="C865" s="92"/>
      <c r="D865" s="101">
        <v>2020</v>
      </c>
      <c r="E865" s="102"/>
      <c r="F865" s="124"/>
      <c r="G865" s="124"/>
      <c r="H865" s="124"/>
      <c r="I865" s="124"/>
      <c r="J865" s="124"/>
      <c r="K865" s="124"/>
      <c r="L865" s="124"/>
      <c r="M865" s="125"/>
      <c r="N865" s="125"/>
      <c r="O865" s="125"/>
      <c r="P865" s="126"/>
      <c r="Q865" s="103">
        <f t="shared" si="1535"/>
        <v>0</v>
      </c>
      <c r="R865" s="104">
        <f t="shared" si="1518"/>
        <v>0</v>
      </c>
      <c r="S865" s="105"/>
      <c r="T865" s="91"/>
      <c r="U865" s="100"/>
      <c r="V865" s="92"/>
      <c r="W865" s="101">
        <v>2020</v>
      </c>
      <c r="X865" s="102"/>
      <c r="Y865" s="124"/>
      <c r="Z865" s="124"/>
      <c r="AA865" s="124"/>
      <c r="AB865" s="124"/>
      <c r="AC865" s="124"/>
      <c r="AD865" s="124"/>
      <c r="AE865" s="124"/>
      <c r="AF865" s="125"/>
      <c r="AG865" s="125"/>
      <c r="AH865" s="125"/>
      <c r="AI865" s="126"/>
      <c r="AJ865" s="103">
        <f t="shared" si="1538"/>
        <v>0</v>
      </c>
      <c r="AK865" s="104">
        <f t="shared" si="1539"/>
        <v>0</v>
      </c>
      <c r="AL865" s="105"/>
    </row>
    <row r="866" spans="1:38" ht="15.6" hidden="1" thickBot="1">
      <c r="A866" s="91"/>
      <c r="B866" s="100"/>
      <c r="C866" s="92"/>
      <c r="D866" s="101" t="s">
        <v>102</v>
      </c>
      <c r="E866" s="106" t="e">
        <f t="shared" ref="E866:R866" si="1540">E865/E864</f>
        <v>#DIV/0!</v>
      </c>
      <c r="F866" s="106" t="e">
        <f t="shared" si="1540"/>
        <v>#DIV/0!</v>
      </c>
      <c r="G866" s="106" t="e">
        <f t="shared" si="1540"/>
        <v>#DIV/0!</v>
      </c>
      <c r="H866" s="106" t="e">
        <f t="shared" si="1540"/>
        <v>#DIV/0!</v>
      </c>
      <c r="I866" s="106" t="e">
        <f t="shared" si="1540"/>
        <v>#DIV/0!</v>
      </c>
      <c r="J866" s="106" t="e">
        <f t="shared" si="1540"/>
        <v>#DIV/0!</v>
      </c>
      <c r="K866" s="106" t="e">
        <f t="shared" si="1540"/>
        <v>#DIV/0!</v>
      </c>
      <c r="L866" s="106" t="e">
        <f t="shared" si="1540"/>
        <v>#DIV/0!</v>
      </c>
      <c r="M866" s="107" t="e">
        <f t="shared" si="1540"/>
        <v>#DIV/0!</v>
      </c>
      <c r="N866" s="107" t="e">
        <f t="shared" si="1540"/>
        <v>#DIV/0!</v>
      </c>
      <c r="O866" s="107" t="e">
        <f t="shared" si="1540"/>
        <v>#DIV/0!</v>
      </c>
      <c r="P866" s="108" t="e">
        <f t="shared" si="1540"/>
        <v>#DIV/0!</v>
      </c>
      <c r="Q866" s="109" t="e">
        <f t="shared" si="1540"/>
        <v>#DIV/0!</v>
      </c>
      <c r="R866" s="110" t="e">
        <f t="shared" si="1540"/>
        <v>#DIV/0!</v>
      </c>
      <c r="S866" s="105"/>
      <c r="T866" s="91"/>
      <c r="U866" s="100"/>
      <c r="V866" s="92"/>
      <c r="W866" s="101" t="s">
        <v>102</v>
      </c>
      <c r="X866" s="106" t="e">
        <f t="shared" ref="X866:AK866" si="1541">X865/X864</f>
        <v>#DIV/0!</v>
      </c>
      <c r="Y866" s="106" t="e">
        <f t="shared" si="1541"/>
        <v>#DIV/0!</v>
      </c>
      <c r="Z866" s="106" t="e">
        <f t="shared" si="1541"/>
        <v>#DIV/0!</v>
      </c>
      <c r="AA866" s="106" t="e">
        <f t="shared" si="1541"/>
        <v>#DIV/0!</v>
      </c>
      <c r="AB866" s="106" t="e">
        <f t="shared" si="1541"/>
        <v>#DIV/0!</v>
      </c>
      <c r="AC866" s="106" t="e">
        <f t="shared" si="1541"/>
        <v>#DIV/0!</v>
      </c>
      <c r="AD866" s="106" t="e">
        <f t="shared" si="1541"/>
        <v>#DIV/0!</v>
      </c>
      <c r="AE866" s="106" t="e">
        <f t="shared" si="1541"/>
        <v>#DIV/0!</v>
      </c>
      <c r="AF866" s="107" t="e">
        <f t="shared" si="1541"/>
        <v>#DIV/0!</v>
      </c>
      <c r="AG866" s="107" t="e">
        <f t="shared" si="1541"/>
        <v>#DIV/0!</v>
      </c>
      <c r="AH866" s="107" t="e">
        <f t="shared" si="1541"/>
        <v>#DIV/0!</v>
      </c>
      <c r="AI866" s="108" t="e">
        <f t="shared" si="1541"/>
        <v>#DIV/0!</v>
      </c>
      <c r="AJ866" s="109" t="e">
        <f t="shared" si="1541"/>
        <v>#DIV/0!</v>
      </c>
      <c r="AK866" s="110" t="e">
        <f t="shared" si="1541"/>
        <v>#DIV/0!</v>
      </c>
      <c r="AL866" s="105"/>
    </row>
    <row r="867" spans="1:38" ht="15.6" hidden="1" thickBot="1">
      <c r="A867" s="91"/>
      <c r="B867" s="100"/>
      <c r="C867" s="111"/>
      <c r="D867" s="112" t="s">
        <v>103</v>
      </c>
      <c r="E867" s="113" t="e">
        <f t="shared" ref="E867:R867" si="1542">E865/E863</f>
        <v>#DIV/0!</v>
      </c>
      <c r="F867" s="113" t="e">
        <f t="shared" si="1542"/>
        <v>#DIV/0!</v>
      </c>
      <c r="G867" s="113" t="e">
        <f t="shared" si="1542"/>
        <v>#DIV/0!</v>
      </c>
      <c r="H867" s="113" t="e">
        <f t="shared" si="1542"/>
        <v>#DIV/0!</v>
      </c>
      <c r="I867" s="113" t="e">
        <f t="shared" si="1542"/>
        <v>#DIV/0!</v>
      </c>
      <c r="J867" s="113" t="e">
        <f t="shared" si="1542"/>
        <v>#DIV/0!</v>
      </c>
      <c r="K867" s="113" t="e">
        <f t="shared" si="1542"/>
        <v>#DIV/0!</v>
      </c>
      <c r="L867" s="113" t="e">
        <f t="shared" si="1542"/>
        <v>#DIV/0!</v>
      </c>
      <c r="M867" s="113" t="e">
        <f t="shared" si="1542"/>
        <v>#DIV/0!</v>
      </c>
      <c r="N867" s="113" t="e">
        <f t="shared" si="1542"/>
        <v>#DIV/0!</v>
      </c>
      <c r="O867" s="113" t="e">
        <f t="shared" si="1542"/>
        <v>#DIV/0!</v>
      </c>
      <c r="P867" s="114" t="e">
        <f t="shared" si="1542"/>
        <v>#DIV/0!</v>
      </c>
      <c r="Q867" s="115" t="e">
        <f t="shared" si="1542"/>
        <v>#DIV/0!</v>
      </c>
      <c r="R867" s="116" t="e">
        <f t="shared" si="1542"/>
        <v>#DIV/0!</v>
      </c>
      <c r="T867" s="91"/>
      <c r="U867" s="100"/>
      <c r="V867" s="111"/>
      <c r="W867" s="112" t="s">
        <v>103</v>
      </c>
      <c r="X867" s="113" t="e">
        <f t="shared" ref="X867:AK867" si="1543">X865/X863</f>
        <v>#DIV/0!</v>
      </c>
      <c r="Y867" s="113" t="e">
        <f t="shared" si="1543"/>
        <v>#DIV/0!</v>
      </c>
      <c r="Z867" s="113" t="e">
        <f t="shared" si="1543"/>
        <v>#DIV/0!</v>
      </c>
      <c r="AA867" s="113" t="e">
        <f t="shared" si="1543"/>
        <v>#DIV/0!</v>
      </c>
      <c r="AB867" s="113" t="e">
        <f t="shared" si="1543"/>
        <v>#DIV/0!</v>
      </c>
      <c r="AC867" s="113" t="e">
        <f t="shared" si="1543"/>
        <v>#DIV/0!</v>
      </c>
      <c r="AD867" s="113" t="e">
        <f t="shared" si="1543"/>
        <v>#DIV/0!</v>
      </c>
      <c r="AE867" s="113" t="e">
        <f t="shared" si="1543"/>
        <v>#DIV/0!</v>
      </c>
      <c r="AF867" s="113" t="e">
        <f t="shared" si="1543"/>
        <v>#DIV/0!</v>
      </c>
      <c r="AG867" s="113" t="e">
        <f t="shared" si="1543"/>
        <v>#DIV/0!</v>
      </c>
      <c r="AH867" s="113" t="e">
        <f t="shared" si="1543"/>
        <v>#DIV/0!</v>
      </c>
      <c r="AI867" s="114" t="e">
        <f t="shared" si="1543"/>
        <v>#DIV/0!</v>
      </c>
      <c r="AJ867" s="115" t="e">
        <f t="shared" si="1543"/>
        <v>#DIV/0!</v>
      </c>
      <c r="AK867" s="116" t="e">
        <f t="shared" si="1543"/>
        <v>#DIV/0!</v>
      </c>
    </row>
    <row r="868" spans="1:38" ht="15.6" hidden="1" thickBot="1">
      <c r="A868" s="91"/>
      <c r="B868" s="100"/>
      <c r="C868" s="86"/>
      <c r="D868" s="87">
        <v>2019</v>
      </c>
      <c r="E868" s="88"/>
      <c r="F868" s="121"/>
      <c r="G868" s="121"/>
      <c r="H868" s="121"/>
      <c r="I868" s="121"/>
      <c r="J868" s="121"/>
      <c r="K868" s="121"/>
      <c r="L868" s="121"/>
      <c r="M868" s="122"/>
      <c r="N868" s="122"/>
      <c r="O868" s="122"/>
      <c r="P868" s="123"/>
      <c r="Q868" s="89">
        <f t="shared" ref="Q868:Q870" si="1544">SUM(E868:P868)</f>
        <v>0</v>
      </c>
      <c r="R868" s="90">
        <f t="shared" ref="R868" si="1545">SUM(E868:M868)</f>
        <v>0</v>
      </c>
      <c r="T868" s="91"/>
      <c r="U868" s="100"/>
      <c r="V868" s="86">
        <f t="shared" ref="V868:V869" si="1546">C868</f>
        <v>0</v>
      </c>
      <c r="W868" s="87">
        <v>2019</v>
      </c>
      <c r="X868" s="88"/>
      <c r="Y868" s="121"/>
      <c r="Z868" s="121"/>
      <c r="AA868" s="121"/>
      <c r="AB868" s="121"/>
      <c r="AC868" s="121"/>
      <c r="AD868" s="121"/>
      <c r="AE868" s="121"/>
      <c r="AF868" s="122"/>
      <c r="AG868" s="122"/>
      <c r="AH868" s="122"/>
      <c r="AI868" s="123"/>
      <c r="AJ868" s="89">
        <f t="shared" ref="AJ868:AJ870" si="1547">SUM(X868:AI868)</f>
        <v>0</v>
      </c>
      <c r="AK868" s="90">
        <f t="shared" ref="AK868:AK870" si="1548">SUM(X868:AF868)</f>
        <v>0</v>
      </c>
    </row>
    <row r="869" spans="1:38" ht="15.6" hidden="1" thickBot="1">
      <c r="A869" s="91"/>
      <c r="B869" s="100"/>
      <c r="C869" s="92"/>
      <c r="D869" s="93" t="s">
        <v>92</v>
      </c>
      <c r="E869" s="94"/>
      <c r="F869" s="97"/>
      <c r="G869" s="97"/>
      <c r="H869" s="97"/>
      <c r="I869" s="97"/>
      <c r="J869" s="97"/>
      <c r="K869" s="97"/>
      <c r="L869" s="97"/>
      <c r="M869" s="98"/>
      <c r="N869" s="98"/>
      <c r="O869" s="98"/>
      <c r="P869" s="99"/>
      <c r="Q869" s="95">
        <f t="shared" si="1544"/>
        <v>0</v>
      </c>
      <c r="R869" s="96">
        <f t="shared" si="1518"/>
        <v>0</v>
      </c>
      <c r="T869" s="91"/>
      <c r="U869" s="100"/>
      <c r="V869" s="92">
        <f t="shared" si="1546"/>
        <v>0</v>
      </c>
      <c r="W869" s="93" t="s">
        <v>92</v>
      </c>
      <c r="X869" s="94"/>
      <c r="Y869" s="97"/>
      <c r="Z869" s="97"/>
      <c r="AA869" s="97"/>
      <c r="AB869" s="97"/>
      <c r="AC869" s="97"/>
      <c r="AD869" s="97"/>
      <c r="AE869" s="97"/>
      <c r="AF869" s="98"/>
      <c r="AG869" s="98"/>
      <c r="AH869" s="98"/>
      <c r="AI869" s="99"/>
      <c r="AJ869" s="95">
        <f t="shared" si="1547"/>
        <v>0</v>
      </c>
      <c r="AK869" s="96">
        <f t="shared" si="1548"/>
        <v>0</v>
      </c>
    </row>
    <row r="870" spans="1:38" ht="15.6" hidden="1" thickBot="1">
      <c r="A870" s="91"/>
      <c r="B870" s="100"/>
      <c r="C870" s="92"/>
      <c r="D870" s="101">
        <v>2020</v>
      </c>
      <c r="E870" s="102"/>
      <c r="F870" s="124"/>
      <c r="G870" s="124"/>
      <c r="H870" s="124"/>
      <c r="I870" s="124"/>
      <c r="J870" s="124"/>
      <c r="K870" s="124"/>
      <c r="L870" s="124"/>
      <c r="M870" s="125"/>
      <c r="N870" s="125"/>
      <c r="O870" s="125"/>
      <c r="P870" s="126"/>
      <c r="Q870" s="103">
        <f t="shared" si="1544"/>
        <v>0</v>
      </c>
      <c r="R870" s="104">
        <f t="shared" si="1518"/>
        <v>0</v>
      </c>
      <c r="S870" s="105"/>
      <c r="T870" s="91"/>
      <c r="U870" s="100"/>
      <c r="V870" s="92"/>
      <c r="W870" s="101">
        <v>2020</v>
      </c>
      <c r="X870" s="102"/>
      <c r="Y870" s="124"/>
      <c r="Z870" s="124"/>
      <c r="AA870" s="124"/>
      <c r="AB870" s="124"/>
      <c r="AC870" s="124"/>
      <c r="AD870" s="124"/>
      <c r="AE870" s="124"/>
      <c r="AF870" s="125"/>
      <c r="AG870" s="125"/>
      <c r="AH870" s="125"/>
      <c r="AI870" s="126"/>
      <c r="AJ870" s="103">
        <f t="shared" si="1547"/>
        <v>0</v>
      </c>
      <c r="AK870" s="104">
        <f t="shared" si="1548"/>
        <v>0</v>
      </c>
      <c r="AL870" s="105"/>
    </row>
    <row r="871" spans="1:38" ht="15.6" hidden="1" thickBot="1">
      <c r="A871" s="91"/>
      <c r="B871" s="100"/>
      <c r="C871" s="92"/>
      <c r="D871" s="101" t="s">
        <v>102</v>
      </c>
      <c r="E871" s="106" t="e">
        <f t="shared" ref="E871:R871" si="1549">E870/E869</f>
        <v>#DIV/0!</v>
      </c>
      <c r="F871" s="106" t="e">
        <f t="shared" si="1549"/>
        <v>#DIV/0!</v>
      </c>
      <c r="G871" s="106" t="e">
        <f t="shared" si="1549"/>
        <v>#DIV/0!</v>
      </c>
      <c r="H871" s="106" t="e">
        <f t="shared" si="1549"/>
        <v>#DIV/0!</v>
      </c>
      <c r="I871" s="106" t="e">
        <f t="shared" si="1549"/>
        <v>#DIV/0!</v>
      </c>
      <c r="J871" s="106" t="e">
        <f t="shared" si="1549"/>
        <v>#DIV/0!</v>
      </c>
      <c r="K871" s="106" t="e">
        <f t="shared" si="1549"/>
        <v>#DIV/0!</v>
      </c>
      <c r="L871" s="106" t="e">
        <f t="shared" si="1549"/>
        <v>#DIV/0!</v>
      </c>
      <c r="M871" s="107" t="e">
        <f t="shared" si="1549"/>
        <v>#DIV/0!</v>
      </c>
      <c r="N871" s="107" t="e">
        <f t="shared" si="1549"/>
        <v>#DIV/0!</v>
      </c>
      <c r="O871" s="107" t="e">
        <f t="shared" si="1549"/>
        <v>#DIV/0!</v>
      </c>
      <c r="P871" s="108" t="e">
        <f t="shared" si="1549"/>
        <v>#DIV/0!</v>
      </c>
      <c r="Q871" s="109" t="e">
        <f t="shared" si="1549"/>
        <v>#DIV/0!</v>
      </c>
      <c r="R871" s="110" t="e">
        <f t="shared" si="1549"/>
        <v>#DIV/0!</v>
      </c>
      <c r="S871" s="105"/>
      <c r="T871" s="91"/>
      <c r="U871" s="100"/>
      <c r="V871" s="92"/>
      <c r="W871" s="101" t="s">
        <v>102</v>
      </c>
      <c r="X871" s="106" t="e">
        <f t="shared" ref="X871:AK871" si="1550">X870/X869</f>
        <v>#DIV/0!</v>
      </c>
      <c r="Y871" s="106" t="e">
        <f t="shared" si="1550"/>
        <v>#DIV/0!</v>
      </c>
      <c r="Z871" s="106" t="e">
        <f t="shared" si="1550"/>
        <v>#DIV/0!</v>
      </c>
      <c r="AA871" s="106" t="e">
        <f t="shared" si="1550"/>
        <v>#DIV/0!</v>
      </c>
      <c r="AB871" s="106" t="e">
        <f t="shared" si="1550"/>
        <v>#DIV/0!</v>
      </c>
      <c r="AC871" s="106" t="e">
        <f t="shared" si="1550"/>
        <v>#DIV/0!</v>
      </c>
      <c r="AD871" s="106" t="e">
        <f t="shared" si="1550"/>
        <v>#DIV/0!</v>
      </c>
      <c r="AE871" s="106" t="e">
        <f t="shared" si="1550"/>
        <v>#DIV/0!</v>
      </c>
      <c r="AF871" s="107" t="e">
        <f t="shared" si="1550"/>
        <v>#DIV/0!</v>
      </c>
      <c r="AG871" s="107" t="e">
        <f t="shared" si="1550"/>
        <v>#DIV/0!</v>
      </c>
      <c r="AH871" s="107" t="e">
        <f t="shared" si="1550"/>
        <v>#DIV/0!</v>
      </c>
      <c r="AI871" s="108" t="e">
        <f t="shared" si="1550"/>
        <v>#DIV/0!</v>
      </c>
      <c r="AJ871" s="109" t="e">
        <f t="shared" si="1550"/>
        <v>#DIV/0!</v>
      </c>
      <c r="AK871" s="110" t="e">
        <f t="shared" si="1550"/>
        <v>#DIV/0!</v>
      </c>
      <c r="AL871" s="105"/>
    </row>
    <row r="872" spans="1:38" ht="15.6" hidden="1" thickBot="1">
      <c r="A872" s="91"/>
      <c r="B872" s="100"/>
      <c r="C872" s="111"/>
      <c r="D872" s="112" t="s">
        <v>103</v>
      </c>
      <c r="E872" s="113" t="e">
        <f t="shared" ref="E872:R872" si="1551">E870/E868</f>
        <v>#DIV/0!</v>
      </c>
      <c r="F872" s="113" t="e">
        <f t="shared" si="1551"/>
        <v>#DIV/0!</v>
      </c>
      <c r="G872" s="113" t="e">
        <f t="shared" si="1551"/>
        <v>#DIV/0!</v>
      </c>
      <c r="H872" s="113" t="e">
        <f t="shared" si="1551"/>
        <v>#DIV/0!</v>
      </c>
      <c r="I872" s="113" t="e">
        <f t="shared" si="1551"/>
        <v>#DIV/0!</v>
      </c>
      <c r="J872" s="113" t="e">
        <f t="shared" si="1551"/>
        <v>#DIV/0!</v>
      </c>
      <c r="K872" s="113" t="e">
        <f t="shared" si="1551"/>
        <v>#DIV/0!</v>
      </c>
      <c r="L872" s="113" t="e">
        <f t="shared" si="1551"/>
        <v>#DIV/0!</v>
      </c>
      <c r="M872" s="113" t="e">
        <f t="shared" si="1551"/>
        <v>#DIV/0!</v>
      </c>
      <c r="N872" s="113" t="e">
        <f t="shared" si="1551"/>
        <v>#DIV/0!</v>
      </c>
      <c r="O872" s="113" t="e">
        <f t="shared" si="1551"/>
        <v>#DIV/0!</v>
      </c>
      <c r="P872" s="114" t="e">
        <f t="shared" si="1551"/>
        <v>#DIV/0!</v>
      </c>
      <c r="Q872" s="115" t="e">
        <f t="shared" si="1551"/>
        <v>#DIV/0!</v>
      </c>
      <c r="R872" s="116" t="e">
        <f t="shared" si="1551"/>
        <v>#DIV/0!</v>
      </c>
      <c r="T872" s="91"/>
      <c r="U872" s="100"/>
      <c r="V872" s="111"/>
      <c r="W872" s="112" t="s">
        <v>103</v>
      </c>
      <c r="X872" s="113" t="e">
        <f t="shared" ref="X872:AK872" si="1552">X870/X868</f>
        <v>#DIV/0!</v>
      </c>
      <c r="Y872" s="113" t="e">
        <f t="shared" si="1552"/>
        <v>#DIV/0!</v>
      </c>
      <c r="Z872" s="113" t="e">
        <f t="shared" si="1552"/>
        <v>#DIV/0!</v>
      </c>
      <c r="AA872" s="113" t="e">
        <f t="shared" si="1552"/>
        <v>#DIV/0!</v>
      </c>
      <c r="AB872" s="113" t="e">
        <f t="shared" si="1552"/>
        <v>#DIV/0!</v>
      </c>
      <c r="AC872" s="113" t="e">
        <f t="shared" si="1552"/>
        <v>#DIV/0!</v>
      </c>
      <c r="AD872" s="113" t="e">
        <f t="shared" si="1552"/>
        <v>#DIV/0!</v>
      </c>
      <c r="AE872" s="113" t="e">
        <f t="shared" si="1552"/>
        <v>#DIV/0!</v>
      </c>
      <c r="AF872" s="113" t="e">
        <f t="shared" si="1552"/>
        <v>#DIV/0!</v>
      </c>
      <c r="AG872" s="113" t="e">
        <f t="shared" si="1552"/>
        <v>#DIV/0!</v>
      </c>
      <c r="AH872" s="113" t="e">
        <f t="shared" si="1552"/>
        <v>#DIV/0!</v>
      </c>
      <c r="AI872" s="114" t="e">
        <f t="shared" si="1552"/>
        <v>#DIV/0!</v>
      </c>
      <c r="AJ872" s="115" t="e">
        <f t="shared" si="1552"/>
        <v>#DIV/0!</v>
      </c>
      <c r="AK872" s="116" t="e">
        <f t="shared" si="1552"/>
        <v>#DIV/0!</v>
      </c>
    </row>
    <row r="873" spans="1:38" ht="15.6" hidden="1" thickBot="1">
      <c r="A873" s="91"/>
      <c r="B873" s="100"/>
      <c r="C873" s="86"/>
      <c r="D873" s="87">
        <v>2019</v>
      </c>
      <c r="E873" s="88"/>
      <c r="F873" s="121"/>
      <c r="G873" s="121"/>
      <c r="H873" s="121"/>
      <c r="I873" s="121"/>
      <c r="J873" s="121"/>
      <c r="K873" s="121"/>
      <c r="L873" s="121"/>
      <c r="M873" s="122"/>
      <c r="N873" s="122"/>
      <c r="O873" s="122"/>
      <c r="P873" s="123"/>
      <c r="Q873" s="89">
        <f t="shared" ref="Q873:Q875" si="1553">SUM(E873:P873)</f>
        <v>0</v>
      </c>
      <c r="R873" s="90">
        <f t="shared" ref="R873" si="1554">SUM(E873:M873)</f>
        <v>0</v>
      </c>
      <c r="T873" s="91"/>
      <c r="U873" s="100"/>
      <c r="V873" s="86">
        <f t="shared" ref="V873:V874" si="1555">C873</f>
        <v>0</v>
      </c>
      <c r="W873" s="87">
        <v>2019</v>
      </c>
      <c r="X873" s="88"/>
      <c r="Y873" s="121"/>
      <c r="Z873" s="121"/>
      <c r="AA873" s="121"/>
      <c r="AB873" s="121"/>
      <c r="AC873" s="121"/>
      <c r="AD873" s="121"/>
      <c r="AE873" s="121"/>
      <c r="AF873" s="122"/>
      <c r="AG873" s="122"/>
      <c r="AH873" s="122"/>
      <c r="AI873" s="123"/>
      <c r="AJ873" s="89">
        <f t="shared" ref="AJ873:AJ875" si="1556">SUM(X873:AI873)</f>
        <v>0</v>
      </c>
      <c r="AK873" s="90">
        <f t="shared" ref="AK873:AK875" si="1557">SUM(X873:AF873)</f>
        <v>0</v>
      </c>
    </row>
    <row r="874" spans="1:38" ht="15.6" hidden="1" thickBot="1">
      <c r="A874" s="91"/>
      <c r="B874" s="100"/>
      <c r="C874" s="92"/>
      <c r="D874" s="93" t="s">
        <v>92</v>
      </c>
      <c r="E874" s="94"/>
      <c r="F874" s="97"/>
      <c r="G874" s="97"/>
      <c r="H874" s="97"/>
      <c r="I874" s="97"/>
      <c r="J874" s="97"/>
      <c r="K874" s="97"/>
      <c r="L874" s="97"/>
      <c r="M874" s="98"/>
      <c r="N874" s="98"/>
      <c r="O874" s="98"/>
      <c r="P874" s="99"/>
      <c r="Q874" s="95">
        <f t="shared" si="1553"/>
        <v>0</v>
      </c>
      <c r="R874" s="96">
        <f t="shared" si="1518"/>
        <v>0</v>
      </c>
      <c r="T874" s="91"/>
      <c r="U874" s="100"/>
      <c r="V874" s="92">
        <f t="shared" si="1555"/>
        <v>0</v>
      </c>
      <c r="W874" s="93" t="s">
        <v>92</v>
      </c>
      <c r="X874" s="94"/>
      <c r="Y874" s="97"/>
      <c r="Z874" s="97"/>
      <c r="AA874" s="97"/>
      <c r="AB874" s="97"/>
      <c r="AC874" s="97"/>
      <c r="AD874" s="97"/>
      <c r="AE874" s="97"/>
      <c r="AF874" s="98"/>
      <c r="AG874" s="98"/>
      <c r="AH874" s="98"/>
      <c r="AI874" s="99"/>
      <c r="AJ874" s="95">
        <f t="shared" si="1556"/>
        <v>0</v>
      </c>
      <c r="AK874" s="96">
        <f t="shared" si="1557"/>
        <v>0</v>
      </c>
    </row>
    <row r="875" spans="1:38" ht="15.6" hidden="1" thickBot="1">
      <c r="A875" s="91"/>
      <c r="B875" s="100"/>
      <c r="C875" s="92"/>
      <c r="D875" s="101">
        <v>2020</v>
      </c>
      <c r="E875" s="102"/>
      <c r="F875" s="124"/>
      <c r="G875" s="124"/>
      <c r="H875" s="124"/>
      <c r="I875" s="124"/>
      <c r="J875" s="124"/>
      <c r="K875" s="124"/>
      <c r="L875" s="124"/>
      <c r="M875" s="125"/>
      <c r="N875" s="125"/>
      <c r="O875" s="125"/>
      <c r="P875" s="126"/>
      <c r="Q875" s="103">
        <f t="shared" si="1553"/>
        <v>0</v>
      </c>
      <c r="R875" s="104">
        <f t="shared" si="1518"/>
        <v>0</v>
      </c>
      <c r="S875" s="105"/>
      <c r="T875" s="91"/>
      <c r="U875" s="100"/>
      <c r="V875" s="92"/>
      <c r="W875" s="101">
        <v>2020</v>
      </c>
      <c r="X875" s="102"/>
      <c r="Y875" s="124"/>
      <c r="Z875" s="124"/>
      <c r="AA875" s="124"/>
      <c r="AB875" s="124"/>
      <c r="AC875" s="124"/>
      <c r="AD875" s="124"/>
      <c r="AE875" s="124"/>
      <c r="AF875" s="125"/>
      <c r="AG875" s="125"/>
      <c r="AH875" s="125"/>
      <c r="AI875" s="126"/>
      <c r="AJ875" s="103">
        <f t="shared" si="1556"/>
        <v>0</v>
      </c>
      <c r="AK875" s="104">
        <f t="shared" si="1557"/>
        <v>0</v>
      </c>
      <c r="AL875" s="105"/>
    </row>
    <row r="876" spans="1:38" ht="15.6" hidden="1" thickBot="1">
      <c r="A876" s="91"/>
      <c r="B876" s="100"/>
      <c r="C876" s="92"/>
      <c r="D876" s="101" t="s">
        <v>102</v>
      </c>
      <c r="E876" s="106" t="e">
        <f t="shared" ref="E876:R876" si="1558">E875/E874</f>
        <v>#DIV/0!</v>
      </c>
      <c r="F876" s="106" t="e">
        <f t="shared" si="1558"/>
        <v>#DIV/0!</v>
      </c>
      <c r="G876" s="106" t="e">
        <f t="shared" si="1558"/>
        <v>#DIV/0!</v>
      </c>
      <c r="H876" s="106" t="e">
        <f t="shared" si="1558"/>
        <v>#DIV/0!</v>
      </c>
      <c r="I876" s="106" t="e">
        <f t="shared" si="1558"/>
        <v>#DIV/0!</v>
      </c>
      <c r="J876" s="106" t="e">
        <f t="shared" si="1558"/>
        <v>#DIV/0!</v>
      </c>
      <c r="K876" s="106" t="e">
        <f t="shared" si="1558"/>
        <v>#DIV/0!</v>
      </c>
      <c r="L876" s="106" t="e">
        <f t="shared" si="1558"/>
        <v>#DIV/0!</v>
      </c>
      <c r="M876" s="107" t="e">
        <f t="shared" si="1558"/>
        <v>#DIV/0!</v>
      </c>
      <c r="N876" s="107" t="e">
        <f t="shared" si="1558"/>
        <v>#DIV/0!</v>
      </c>
      <c r="O876" s="107" t="e">
        <f t="shared" si="1558"/>
        <v>#DIV/0!</v>
      </c>
      <c r="P876" s="108" t="e">
        <f t="shared" si="1558"/>
        <v>#DIV/0!</v>
      </c>
      <c r="Q876" s="109" t="e">
        <f t="shared" si="1558"/>
        <v>#DIV/0!</v>
      </c>
      <c r="R876" s="110" t="e">
        <f t="shared" si="1558"/>
        <v>#DIV/0!</v>
      </c>
      <c r="S876" s="105"/>
      <c r="T876" s="91"/>
      <c r="U876" s="100"/>
      <c r="V876" s="92"/>
      <c r="W876" s="101" t="s">
        <v>102</v>
      </c>
      <c r="X876" s="106" t="e">
        <f t="shared" ref="X876:AK876" si="1559">X875/X874</f>
        <v>#DIV/0!</v>
      </c>
      <c r="Y876" s="106" t="e">
        <f t="shared" si="1559"/>
        <v>#DIV/0!</v>
      </c>
      <c r="Z876" s="106" t="e">
        <f t="shared" si="1559"/>
        <v>#DIV/0!</v>
      </c>
      <c r="AA876" s="106" t="e">
        <f t="shared" si="1559"/>
        <v>#DIV/0!</v>
      </c>
      <c r="AB876" s="106" t="e">
        <f t="shared" si="1559"/>
        <v>#DIV/0!</v>
      </c>
      <c r="AC876" s="106" t="e">
        <f t="shared" si="1559"/>
        <v>#DIV/0!</v>
      </c>
      <c r="AD876" s="106" t="e">
        <f t="shared" si="1559"/>
        <v>#DIV/0!</v>
      </c>
      <c r="AE876" s="106" t="e">
        <f t="shared" si="1559"/>
        <v>#DIV/0!</v>
      </c>
      <c r="AF876" s="107" t="e">
        <f t="shared" si="1559"/>
        <v>#DIV/0!</v>
      </c>
      <c r="AG876" s="107" t="e">
        <f t="shared" si="1559"/>
        <v>#DIV/0!</v>
      </c>
      <c r="AH876" s="107" t="e">
        <f t="shared" si="1559"/>
        <v>#DIV/0!</v>
      </c>
      <c r="AI876" s="108" t="e">
        <f t="shared" si="1559"/>
        <v>#DIV/0!</v>
      </c>
      <c r="AJ876" s="109" t="e">
        <f t="shared" si="1559"/>
        <v>#DIV/0!</v>
      </c>
      <c r="AK876" s="110" t="e">
        <f t="shared" si="1559"/>
        <v>#DIV/0!</v>
      </c>
      <c r="AL876" s="105"/>
    </row>
    <row r="877" spans="1:38" ht="15.6" hidden="1" thickBot="1">
      <c r="A877" s="91"/>
      <c r="B877" s="100"/>
      <c r="C877" s="111"/>
      <c r="D877" s="112" t="s">
        <v>103</v>
      </c>
      <c r="E877" s="113" t="e">
        <f t="shared" ref="E877:R877" si="1560">E875/E873</f>
        <v>#DIV/0!</v>
      </c>
      <c r="F877" s="113" t="e">
        <f t="shared" si="1560"/>
        <v>#DIV/0!</v>
      </c>
      <c r="G877" s="113" t="e">
        <f t="shared" si="1560"/>
        <v>#DIV/0!</v>
      </c>
      <c r="H877" s="113" t="e">
        <f t="shared" si="1560"/>
        <v>#DIV/0!</v>
      </c>
      <c r="I877" s="113" t="e">
        <f t="shared" si="1560"/>
        <v>#DIV/0!</v>
      </c>
      <c r="J877" s="113" t="e">
        <f t="shared" si="1560"/>
        <v>#DIV/0!</v>
      </c>
      <c r="K877" s="113" t="e">
        <f t="shared" si="1560"/>
        <v>#DIV/0!</v>
      </c>
      <c r="L877" s="113" t="e">
        <f t="shared" si="1560"/>
        <v>#DIV/0!</v>
      </c>
      <c r="M877" s="113" t="e">
        <f t="shared" si="1560"/>
        <v>#DIV/0!</v>
      </c>
      <c r="N877" s="113" t="e">
        <f t="shared" si="1560"/>
        <v>#DIV/0!</v>
      </c>
      <c r="O877" s="113" t="e">
        <f t="shared" si="1560"/>
        <v>#DIV/0!</v>
      </c>
      <c r="P877" s="114" t="e">
        <f t="shared" si="1560"/>
        <v>#DIV/0!</v>
      </c>
      <c r="Q877" s="115" t="e">
        <f t="shared" si="1560"/>
        <v>#DIV/0!</v>
      </c>
      <c r="R877" s="116" t="e">
        <f t="shared" si="1560"/>
        <v>#DIV/0!</v>
      </c>
      <c r="T877" s="91"/>
      <c r="U877" s="100"/>
      <c r="V877" s="111"/>
      <c r="W877" s="112" t="s">
        <v>103</v>
      </c>
      <c r="X877" s="113" t="e">
        <f t="shared" ref="X877:AK877" si="1561">X875/X873</f>
        <v>#DIV/0!</v>
      </c>
      <c r="Y877" s="113" t="e">
        <f t="shared" si="1561"/>
        <v>#DIV/0!</v>
      </c>
      <c r="Z877" s="113" t="e">
        <f t="shared" si="1561"/>
        <v>#DIV/0!</v>
      </c>
      <c r="AA877" s="113" t="e">
        <f t="shared" si="1561"/>
        <v>#DIV/0!</v>
      </c>
      <c r="AB877" s="113" t="e">
        <f t="shared" si="1561"/>
        <v>#DIV/0!</v>
      </c>
      <c r="AC877" s="113" t="e">
        <f t="shared" si="1561"/>
        <v>#DIV/0!</v>
      </c>
      <c r="AD877" s="113" t="e">
        <f t="shared" si="1561"/>
        <v>#DIV/0!</v>
      </c>
      <c r="AE877" s="113" t="e">
        <f t="shared" si="1561"/>
        <v>#DIV/0!</v>
      </c>
      <c r="AF877" s="113" t="e">
        <f t="shared" si="1561"/>
        <v>#DIV/0!</v>
      </c>
      <c r="AG877" s="113" t="e">
        <f t="shared" si="1561"/>
        <v>#DIV/0!</v>
      </c>
      <c r="AH877" s="113" t="e">
        <f t="shared" si="1561"/>
        <v>#DIV/0!</v>
      </c>
      <c r="AI877" s="114" t="e">
        <f t="shared" si="1561"/>
        <v>#DIV/0!</v>
      </c>
      <c r="AJ877" s="115" t="e">
        <f t="shared" si="1561"/>
        <v>#DIV/0!</v>
      </c>
      <c r="AK877" s="116" t="e">
        <f t="shared" si="1561"/>
        <v>#DIV/0!</v>
      </c>
    </row>
    <row r="878" spans="1:38" ht="15.6" hidden="1" thickBot="1">
      <c r="A878" s="91"/>
      <c r="B878" s="100"/>
      <c r="C878" s="86"/>
      <c r="D878" s="87">
        <v>2019</v>
      </c>
      <c r="E878" s="88"/>
      <c r="F878" s="121"/>
      <c r="G878" s="121"/>
      <c r="H878" s="121"/>
      <c r="I878" s="121"/>
      <c r="J878" s="121"/>
      <c r="K878" s="121"/>
      <c r="L878" s="121"/>
      <c r="M878" s="122"/>
      <c r="N878" s="122"/>
      <c r="O878" s="122"/>
      <c r="P878" s="123"/>
      <c r="Q878" s="89">
        <f t="shared" ref="Q878:Q880" si="1562">SUM(E878:P878)</f>
        <v>0</v>
      </c>
      <c r="R878" s="90">
        <f t="shared" ref="R878" si="1563">SUM(E878:M878)</f>
        <v>0</v>
      </c>
      <c r="T878" s="91"/>
      <c r="U878" s="100"/>
      <c r="V878" s="86">
        <f t="shared" ref="V878:V879" si="1564">C878</f>
        <v>0</v>
      </c>
      <c r="W878" s="87">
        <v>2019</v>
      </c>
      <c r="X878" s="88"/>
      <c r="Y878" s="121"/>
      <c r="Z878" s="121"/>
      <c r="AA878" s="121"/>
      <c r="AB878" s="121"/>
      <c r="AC878" s="121"/>
      <c r="AD878" s="121"/>
      <c r="AE878" s="121"/>
      <c r="AF878" s="122"/>
      <c r="AG878" s="122"/>
      <c r="AH878" s="122"/>
      <c r="AI878" s="123"/>
      <c r="AJ878" s="89">
        <f t="shared" ref="AJ878:AJ880" si="1565">SUM(X878:AI878)</f>
        <v>0</v>
      </c>
      <c r="AK878" s="90">
        <f t="shared" ref="AK878:AK880" si="1566">SUM(X878:AF878)</f>
        <v>0</v>
      </c>
    </row>
    <row r="879" spans="1:38" ht="15.6" hidden="1" thickBot="1">
      <c r="A879" s="91"/>
      <c r="B879" s="100"/>
      <c r="C879" s="92"/>
      <c r="D879" s="93" t="s">
        <v>92</v>
      </c>
      <c r="E879" s="94"/>
      <c r="F879" s="97"/>
      <c r="G879" s="97"/>
      <c r="H879" s="97"/>
      <c r="I879" s="97"/>
      <c r="J879" s="97"/>
      <c r="K879" s="97"/>
      <c r="L879" s="97"/>
      <c r="M879" s="98"/>
      <c r="N879" s="98"/>
      <c r="O879" s="98"/>
      <c r="P879" s="99"/>
      <c r="Q879" s="95">
        <f t="shared" si="1562"/>
        <v>0</v>
      </c>
      <c r="R879" s="96">
        <f t="shared" si="1518"/>
        <v>0</v>
      </c>
      <c r="T879" s="91"/>
      <c r="U879" s="100"/>
      <c r="V879" s="92">
        <f t="shared" si="1564"/>
        <v>0</v>
      </c>
      <c r="W879" s="93" t="s">
        <v>92</v>
      </c>
      <c r="X879" s="94"/>
      <c r="Y879" s="97"/>
      <c r="Z879" s="97"/>
      <c r="AA879" s="97"/>
      <c r="AB879" s="97"/>
      <c r="AC879" s="97"/>
      <c r="AD879" s="97"/>
      <c r="AE879" s="97"/>
      <c r="AF879" s="98"/>
      <c r="AG879" s="98"/>
      <c r="AH879" s="98"/>
      <c r="AI879" s="99"/>
      <c r="AJ879" s="95">
        <f t="shared" si="1565"/>
        <v>0</v>
      </c>
      <c r="AK879" s="96">
        <f t="shared" si="1566"/>
        <v>0</v>
      </c>
    </row>
    <row r="880" spans="1:38" ht="15.6" hidden="1" thickBot="1">
      <c r="A880" s="91"/>
      <c r="B880" s="100"/>
      <c r="C880" s="92"/>
      <c r="D880" s="101">
        <v>2020</v>
      </c>
      <c r="E880" s="102"/>
      <c r="F880" s="124"/>
      <c r="G880" s="124"/>
      <c r="H880" s="124"/>
      <c r="I880" s="124"/>
      <c r="J880" s="124"/>
      <c r="K880" s="124"/>
      <c r="L880" s="124"/>
      <c r="M880" s="125"/>
      <c r="N880" s="125"/>
      <c r="O880" s="125"/>
      <c r="P880" s="126"/>
      <c r="Q880" s="103">
        <f t="shared" si="1562"/>
        <v>0</v>
      </c>
      <c r="R880" s="104">
        <f t="shared" si="1518"/>
        <v>0</v>
      </c>
      <c r="S880" s="105"/>
      <c r="T880" s="91"/>
      <c r="U880" s="100"/>
      <c r="V880" s="92"/>
      <c r="W880" s="101">
        <v>2020</v>
      </c>
      <c r="X880" s="102"/>
      <c r="Y880" s="124"/>
      <c r="Z880" s="124"/>
      <c r="AA880" s="124"/>
      <c r="AB880" s="124"/>
      <c r="AC880" s="124"/>
      <c r="AD880" s="124"/>
      <c r="AE880" s="124"/>
      <c r="AF880" s="125"/>
      <c r="AG880" s="125"/>
      <c r="AH880" s="125"/>
      <c r="AI880" s="126"/>
      <c r="AJ880" s="103">
        <f t="shared" si="1565"/>
        <v>0</v>
      </c>
      <c r="AK880" s="104">
        <f t="shared" si="1566"/>
        <v>0</v>
      </c>
      <c r="AL880" s="105"/>
    </row>
    <row r="881" spans="1:38" ht="15.6" hidden="1" thickBot="1">
      <c r="A881" s="91"/>
      <c r="B881" s="100"/>
      <c r="C881" s="92"/>
      <c r="D881" s="101" t="s">
        <v>102</v>
      </c>
      <c r="E881" s="106" t="e">
        <f t="shared" ref="E881:R881" si="1567">E880/E879</f>
        <v>#DIV/0!</v>
      </c>
      <c r="F881" s="106" t="e">
        <f t="shared" si="1567"/>
        <v>#DIV/0!</v>
      </c>
      <c r="G881" s="106" t="e">
        <f t="shared" si="1567"/>
        <v>#DIV/0!</v>
      </c>
      <c r="H881" s="106" t="e">
        <f t="shared" si="1567"/>
        <v>#DIV/0!</v>
      </c>
      <c r="I881" s="106" t="e">
        <f t="shared" si="1567"/>
        <v>#DIV/0!</v>
      </c>
      <c r="J881" s="106" t="e">
        <f t="shared" si="1567"/>
        <v>#DIV/0!</v>
      </c>
      <c r="K881" s="106" t="e">
        <f t="shared" si="1567"/>
        <v>#DIV/0!</v>
      </c>
      <c r="L881" s="106" t="e">
        <f t="shared" si="1567"/>
        <v>#DIV/0!</v>
      </c>
      <c r="M881" s="107" t="e">
        <f t="shared" si="1567"/>
        <v>#DIV/0!</v>
      </c>
      <c r="N881" s="107" t="e">
        <f t="shared" si="1567"/>
        <v>#DIV/0!</v>
      </c>
      <c r="O881" s="107" t="e">
        <f t="shared" si="1567"/>
        <v>#DIV/0!</v>
      </c>
      <c r="P881" s="108" t="e">
        <f t="shared" si="1567"/>
        <v>#DIV/0!</v>
      </c>
      <c r="Q881" s="109" t="e">
        <f t="shared" si="1567"/>
        <v>#DIV/0!</v>
      </c>
      <c r="R881" s="110" t="e">
        <f t="shared" si="1567"/>
        <v>#DIV/0!</v>
      </c>
      <c r="S881" s="105"/>
      <c r="T881" s="91"/>
      <c r="U881" s="100"/>
      <c r="V881" s="92"/>
      <c r="W881" s="101" t="s">
        <v>102</v>
      </c>
      <c r="X881" s="106" t="e">
        <f t="shared" ref="X881:AK881" si="1568">X880/X879</f>
        <v>#DIV/0!</v>
      </c>
      <c r="Y881" s="106" t="e">
        <f t="shared" si="1568"/>
        <v>#DIV/0!</v>
      </c>
      <c r="Z881" s="106" t="e">
        <f t="shared" si="1568"/>
        <v>#DIV/0!</v>
      </c>
      <c r="AA881" s="106" t="e">
        <f t="shared" si="1568"/>
        <v>#DIV/0!</v>
      </c>
      <c r="AB881" s="106" t="e">
        <f t="shared" si="1568"/>
        <v>#DIV/0!</v>
      </c>
      <c r="AC881" s="106" t="e">
        <f t="shared" si="1568"/>
        <v>#DIV/0!</v>
      </c>
      <c r="AD881" s="106" t="e">
        <f t="shared" si="1568"/>
        <v>#DIV/0!</v>
      </c>
      <c r="AE881" s="106" t="e">
        <f t="shared" si="1568"/>
        <v>#DIV/0!</v>
      </c>
      <c r="AF881" s="107" t="e">
        <f t="shared" si="1568"/>
        <v>#DIV/0!</v>
      </c>
      <c r="AG881" s="107" t="e">
        <f t="shared" si="1568"/>
        <v>#DIV/0!</v>
      </c>
      <c r="AH881" s="107" t="e">
        <f t="shared" si="1568"/>
        <v>#DIV/0!</v>
      </c>
      <c r="AI881" s="108" t="e">
        <f t="shared" si="1568"/>
        <v>#DIV/0!</v>
      </c>
      <c r="AJ881" s="109" t="e">
        <f t="shared" si="1568"/>
        <v>#DIV/0!</v>
      </c>
      <c r="AK881" s="110" t="e">
        <f t="shared" si="1568"/>
        <v>#DIV/0!</v>
      </c>
      <c r="AL881" s="105"/>
    </row>
    <row r="882" spans="1:38" ht="15.6" hidden="1" thickBot="1">
      <c r="A882" s="91"/>
      <c r="B882" s="100"/>
      <c r="C882" s="111"/>
      <c r="D882" s="112" t="s">
        <v>103</v>
      </c>
      <c r="E882" s="113" t="e">
        <f t="shared" ref="E882:R882" si="1569">E880/E878</f>
        <v>#DIV/0!</v>
      </c>
      <c r="F882" s="113" t="e">
        <f t="shared" si="1569"/>
        <v>#DIV/0!</v>
      </c>
      <c r="G882" s="113" t="e">
        <f t="shared" si="1569"/>
        <v>#DIV/0!</v>
      </c>
      <c r="H882" s="113" t="e">
        <f t="shared" si="1569"/>
        <v>#DIV/0!</v>
      </c>
      <c r="I882" s="113" t="e">
        <f t="shared" si="1569"/>
        <v>#DIV/0!</v>
      </c>
      <c r="J882" s="113" t="e">
        <f t="shared" si="1569"/>
        <v>#DIV/0!</v>
      </c>
      <c r="K882" s="113" t="e">
        <f t="shared" si="1569"/>
        <v>#DIV/0!</v>
      </c>
      <c r="L882" s="113" t="e">
        <f t="shared" si="1569"/>
        <v>#DIV/0!</v>
      </c>
      <c r="M882" s="113" t="e">
        <f t="shared" si="1569"/>
        <v>#DIV/0!</v>
      </c>
      <c r="N882" s="113" t="e">
        <f t="shared" si="1569"/>
        <v>#DIV/0!</v>
      </c>
      <c r="O882" s="113" t="e">
        <f t="shared" si="1569"/>
        <v>#DIV/0!</v>
      </c>
      <c r="P882" s="114" t="e">
        <f t="shared" si="1569"/>
        <v>#DIV/0!</v>
      </c>
      <c r="Q882" s="115" t="e">
        <f t="shared" si="1569"/>
        <v>#DIV/0!</v>
      </c>
      <c r="R882" s="116" t="e">
        <f t="shared" si="1569"/>
        <v>#DIV/0!</v>
      </c>
      <c r="T882" s="91"/>
      <c r="U882" s="100"/>
      <c r="V882" s="111"/>
      <c r="W882" s="112" t="s">
        <v>103</v>
      </c>
      <c r="X882" s="113" t="e">
        <f t="shared" ref="X882:AK882" si="1570">X880/X878</f>
        <v>#DIV/0!</v>
      </c>
      <c r="Y882" s="113" t="e">
        <f t="shared" si="1570"/>
        <v>#DIV/0!</v>
      </c>
      <c r="Z882" s="113" t="e">
        <f t="shared" si="1570"/>
        <v>#DIV/0!</v>
      </c>
      <c r="AA882" s="113" t="e">
        <f t="shared" si="1570"/>
        <v>#DIV/0!</v>
      </c>
      <c r="AB882" s="113" t="e">
        <f t="shared" si="1570"/>
        <v>#DIV/0!</v>
      </c>
      <c r="AC882" s="113" t="e">
        <f t="shared" si="1570"/>
        <v>#DIV/0!</v>
      </c>
      <c r="AD882" s="113" t="e">
        <f t="shared" si="1570"/>
        <v>#DIV/0!</v>
      </c>
      <c r="AE882" s="113" t="e">
        <f t="shared" si="1570"/>
        <v>#DIV/0!</v>
      </c>
      <c r="AF882" s="113" t="e">
        <f t="shared" si="1570"/>
        <v>#DIV/0!</v>
      </c>
      <c r="AG882" s="113" t="e">
        <f t="shared" si="1570"/>
        <v>#DIV/0!</v>
      </c>
      <c r="AH882" s="113" t="e">
        <f t="shared" si="1570"/>
        <v>#DIV/0!</v>
      </c>
      <c r="AI882" s="114" t="e">
        <f t="shared" si="1570"/>
        <v>#DIV/0!</v>
      </c>
      <c r="AJ882" s="115" t="e">
        <f t="shared" si="1570"/>
        <v>#DIV/0!</v>
      </c>
      <c r="AK882" s="116" t="e">
        <f t="shared" si="1570"/>
        <v>#DIV/0!</v>
      </c>
    </row>
    <row r="883" spans="1:38" ht="15.6" hidden="1" thickBot="1">
      <c r="A883" s="91"/>
      <c r="B883" s="100"/>
      <c r="C883" s="86"/>
      <c r="D883" s="87">
        <v>2019</v>
      </c>
      <c r="E883" s="88"/>
      <c r="F883" s="121"/>
      <c r="G883" s="121"/>
      <c r="H883" s="121"/>
      <c r="I883" s="121"/>
      <c r="J883" s="121"/>
      <c r="K883" s="121"/>
      <c r="L883" s="121"/>
      <c r="M883" s="122"/>
      <c r="N883" s="122"/>
      <c r="O883" s="122"/>
      <c r="P883" s="123"/>
      <c r="Q883" s="89">
        <f t="shared" ref="Q883:Q885" si="1571">SUM(E883:P883)</f>
        <v>0</v>
      </c>
      <c r="R883" s="90">
        <f t="shared" ref="R883" si="1572">SUM(E883:M883)</f>
        <v>0</v>
      </c>
      <c r="T883" s="91"/>
      <c r="U883" s="100"/>
      <c r="V883" s="86">
        <f t="shared" ref="V883:V884" si="1573">C883</f>
        <v>0</v>
      </c>
      <c r="W883" s="87">
        <v>2019</v>
      </c>
      <c r="X883" s="88"/>
      <c r="Y883" s="121"/>
      <c r="Z883" s="121"/>
      <c r="AA883" s="121"/>
      <c r="AB883" s="121"/>
      <c r="AC883" s="121"/>
      <c r="AD883" s="121"/>
      <c r="AE883" s="121"/>
      <c r="AF883" s="122"/>
      <c r="AG883" s="122"/>
      <c r="AH883" s="122"/>
      <c r="AI883" s="123"/>
      <c r="AJ883" s="89">
        <f t="shared" ref="AJ883:AJ885" si="1574">SUM(X883:AI883)</f>
        <v>0</v>
      </c>
      <c r="AK883" s="90">
        <f t="shared" ref="AK883:AK885" si="1575">SUM(X883:AF883)</f>
        <v>0</v>
      </c>
    </row>
    <row r="884" spans="1:38" ht="15.6" hidden="1" thickBot="1">
      <c r="A884" s="91"/>
      <c r="B884" s="100"/>
      <c r="C884" s="92"/>
      <c r="D884" s="93" t="s">
        <v>92</v>
      </c>
      <c r="E884" s="94"/>
      <c r="F884" s="97"/>
      <c r="G884" s="97"/>
      <c r="H884" s="97"/>
      <c r="I884" s="97"/>
      <c r="J884" s="97"/>
      <c r="K884" s="97"/>
      <c r="L884" s="97"/>
      <c r="M884" s="98"/>
      <c r="N884" s="98"/>
      <c r="O884" s="98"/>
      <c r="P884" s="99"/>
      <c r="Q884" s="95">
        <f t="shared" si="1571"/>
        <v>0</v>
      </c>
      <c r="R884" s="96">
        <f t="shared" si="1518"/>
        <v>0</v>
      </c>
      <c r="T884" s="91"/>
      <c r="U884" s="100"/>
      <c r="V884" s="92">
        <f t="shared" si="1573"/>
        <v>0</v>
      </c>
      <c r="W884" s="93" t="s">
        <v>92</v>
      </c>
      <c r="X884" s="94"/>
      <c r="Y884" s="97"/>
      <c r="Z884" s="97"/>
      <c r="AA884" s="97"/>
      <c r="AB884" s="97"/>
      <c r="AC884" s="97"/>
      <c r="AD884" s="97"/>
      <c r="AE884" s="97"/>
      <c r="AF884" s="98"/>
      <c r="AG884" s="98"/>
      <c r="AH884" s="98"/>
      <c r="AI884" s="99"/>
      <c r="AJ884" s="95">
        <f t="shared" si="1574"/>
        <v>0</v>
      </c>
      <c r="AK884" s="96">
        <f t="shared" si="1575"/>
        <v>0</v>
      </c>
    </row>
    <row r="885" spans="1:38" ht="15.6" hidden="1" thickBot="1">
      <c r="A885" s="91"/>
      <c r="B885" s="100"/>
      <c r="C885" s="92"/>
      <c r="D885" s="101">
        <v>2020</v>
      </c>
      <c r="E885" s="102"/>
      <c r="F885" s="124"/>
      <c r="G885" s="124"/>
      <c r="H885" s="124"/>
      <c r="I885" s="124"/>
      <c r="J885" s="124"/>
      <c r="K885" s="124"/>
      <c r="L885" s="124"/>
      <c r="M885" s="125"/>
      <c r="N885" s="125"/>
      <c r="O885" s="125"/>
      <c r="P885" s="126"/>
      <c r="Q885" s="103">
        <f t="shared" si="1571"/>
        <v>0</v>
      </c>
      <c r="R885" s="104">
        <f t="shared" si="1518"/>
        <v>0</v>
      </c>
      <c r="S885" s="105"/>
      <c r="T885" s="91"/>
      <c r="U885" s="100"/>
      <c r="V885" s="92"/>
      <c r="W885" s="101">
        <v>2020</v>
      </c>
      <c r="X885" s="102"/>
      <c r="Y885" s="124"/>
      <c r="Z885" s="124"/>
      <c r="AA885" s="124"/>
      <c r="AB885" s="124"/>
      <c r="AC885" s="124"/>
      <c r="AD885" s="124"/>
      <c r="AE885" s="124"/>
      <c r="AF885" s="125"/>
      <c r="AG885" s="125"/>
      <c r="AH885" s="125"/>
      <c r="AI885" s="126"/>
      <c r="AJ885" s="103">
        <f t="shared" si="1574"/>
        <v>0</v>
      </c>
      <c r="AK885" s="104">
        <f t="shared" si="1575"/>
        <v>0</v>
      </c>
      <c r="AL885" s="105"/>
    </row>
    <row r="886" spans="1:38" ht="15.6" hidden="1" thickBot="1">
      <c r="A886" s="91"/>
      <c r="B886" s="100"/>
      <c r="C886" s="92"/>
      <c r="D886" s="101" t="s">
        <v>102</v>
      </c>
      <c r="E886" s="106" t="e">
        <f t="shared" ref="E886:R886" si="1576">E885/E884</f>
        <v>#DIV/0!</v>
      </c>
      <c r="F886" s="106" t="e">
        <f t="shared" si="1576"/>
        <v>#DIV/0!</v>
      </c>
      <c r="G886" s="106" t="e">
        <f t="shared" si="1576"/>
        <v>#DIV/0!</v>
      </c>
      <c r="H886" s="106" t="e">
        <f t="shared" si="1576"/>
        <v>#DIV/0!</v>
      </c>
      <c r="I886" s="106" t="e">
        <f t="shared" si="1576"/>
        <v>#DIV/0!</v>
      </c>
      <c r="J886" s="106" t="e">
        <f t="shared" si="1576"/>
        <v>#DIV/0!</v>
      </c>
      <c r="K886" s="106" t="e">
        <f t="shared" si="1576"/>
        <v>#DIV/0!</v>
      </c>
      <c r="L886" s="106" t="e">
        <f t="shared" si="1576"/>
        <v>#DIV/0!</v>
      </c>
      <c r="M886" s="107" t="e">
        <f t="shared" si="1576"/>
        <v>#DIV/0!</v>
      </c>
      <c r="N886" s="107" t="e">
        <f t="shared" si="1576"/>
        <v>#DIV/0!</v>
      </c>
      <c r="O886" s="107" t="e">
        <f t="shared" si="1576"/>
        <v>#DIV/0!</v>
      </c>
      <c r="P886" s="108" t="e">
        <f t="shared" si="1576"/>
        <v>#DIV/0!</v>
      </c>
      <c r="Q886" s="109" t="e">
        <f t="shared" si="1576"/>
        <v>#DIV/0!</v>
      </c>
      <c r="R886" s="110" t="e">
        <f t="shared" si="1576"/>
        <v>#DIV/0!</v>
      </c>
      <c r="S886" s="105"/>
      <c r="T886" s="91"/>
      <c r="U886" s="100"/>
      <c r="V886" s="92"/>
      <c r="W886" s="101" t="s">
        <v>102</v>
      </c>
      <c r="X886" s="106" t="e">
        <f t="shared" ref="X886:AK886" si="1577">X885/X884</f>
        <v>#DIV/0!</v>
      </c>
      <c r="Y886" s="106" t="e">
        <f t="shared" si="1577"/>
        <v>#DIV/0!</v>
      </c>
      <c r="Z886" s="106" t="e">
        <f t="shared" si="1577"/>
        <v>#DIV/0!</v>
      </c>
      <c r="AA886" s="106" t="e">
        <f t="shared" si="1577"/>
        <v>#DIV/0!</v>
      </c>
      <c r="AB886" s="106" t="e">
        <f t="shared" si="1577"/>
        <v>#DIV/0!</v>
      </c>
      <c r="AC886" s="106" t="e">
        <f t="shared" si="1577"/>
        <v>#DIV/0!</v>
      </c>
      <c r="AD886" s="106" t="e">
        <f t="shared" si="1577"/>
        <v>#DIV/0!</v>
      </c>
      <c r="AE886" s="106" t="e">
        <f t="shared" si="1577"/>
        <v>#DIV/0!</v>
      </c>
      <c r="AF886" s="107" t="e">
        <f t="shared" si="1577"/>
        <v>#DIV/0!</v>
      </c>
      <c r="AG886" s="107" t="e">
        <f t="shared" si="1577"/>
        <v>#DIV/0!</v>
      </c>
      <c r="AH886" s="107" t="e">
        <f t="shared" si="1577"/>
        <v>#DIV/0!</v>
      </c>
      <c r="AI886" s="108" t="e">
        <f t="shared" si="1577"/>
        <v>#DIV/0!</v>
      </c>
      <c r="AJ886" s="109" t="e">
        <f t="shared" si="1577"/>
        <v>#DIV/0!</v>
      </c>
      <c r="AK886" s="110" t="e">
        <f t="shared" si="1577"/>
        <v>#DIV/0!</v>
      </c>
      <c r="AL886" s="105"/>
    </row>
    <row r="887" spans="1:38" ht="15.6" hidden="1" thickBot="1">
      <c r="A887" s="91"/>
      <c r="B887" s="100"/>
      <c r="C887" s="111"/>
      <c r="D887" s="112" t="s">
        <v>103</v>
      </c>
      <c r="E887" s="113" t="e">
        <f t="shared" ref="E887:R887" si="1578">E885/E883</f>
        <v>#DIV/0!</v>
      </c>
      <c r="F887" s="113" t="e">
        <f t="shared" si="1578"/>
        <v>#DIV/0!</v>
      </c>
      <c r="G887" s="113" t="e">
        <f t="shared" si="1578"/>
        <v>#DIV/0!</v>
      </c>
      <c r="H887" s="113" t="e">
        <f t="shared" si="1578"/>
        <v>#DIV/0!</v>
      </c>
      <c r="I887" s="113" t="e">
        <f t="shared" si="1578"/>
        <v>#DIV/0!</v>
      </c>
      <c r="J887" s="113" t="e">
        <f t="shared" si="1578"/>
        <v>#DIV/0!</v>
      </c>
      <c r="K887" s="113" t="e">
        <f t="shared" si="1578"/>
        <v>#DIV/0!</v>
      </c>
      <c r="L887" s="113" t="e">
        <f t="shared" si="1578"/>
        <v>#DIV/0!</v>
      </c>
      <c r="M887" s="113" t="e">
        <f t="shared" si="1578"/>
        <v>#DIV/0!</v>
      </c>
      <c r="N887" s="113" t="e">
        <f t="shared" si="1578"/>
        <v>#DIV/0!</v>
      </c>
      <c r="O887" s="113" t="e">
        <f t="shared" si="1578"/>
        <v>#DIV/0!</v>
      </c>
      <c r="P887" s="114" t="e">
        <f t="shared" si="1578"/>
        <v>#DIV/0!</v>
      </c>
      <c r="Q887" s="115" t="e">
        <f t="shared" si="1578"/>
        <v>#DIV/0!</v>
      </c>
      <c r="R887" s="116" t="e">
        <f t="shared" si="1578"/>
        <v>#DIV/0!</v>
      </c>
      <c r="T887" s="91"/>
      <c r="U887" s="100"/>
      <c r="V887" s="111"/>
      <c r="W887" s="112" t="s">
        <v>103</v>
      </c>
      <c r="X887" s="113" t="e">
        <f t="shared" ref="X887:AK887" si="1579">X885/X883</f>
        <v>#DIV/0!</v>
      </c>
      <c r="Y887" s="113" t="e">
        <f t="shared" si="1579"/>
        <v>#DIV/0!</v>
      </c>
      <c r="Z887" s="113" t="e">
        <f t="shared" si="1579"/>
        <v>#DIV/0!</v>
      </c>
      <c r="AA887" s="113" t="e">
        <f t="shared" si="1579"/>
        <v>#DIV/0!</v>
      </c>
      <c r="AB887" s="113" t="e">
        <f t="shared" si="1579"/>
        <v>#DIV/0!</v>
      </c>
      <c r="AC887" s="113" t="e">
        <f t="shared" si="1579"/>
        <v>#DIV/0!</v>
      </c>
      <c r="AD887" s="113" t="e">
        <f t="shared" si="1579"/>
        <v>#DIV/0!</v>
      </c>
      <c r="AE887" s="113" t="e">
        <f t="shared" si="1579"/>
        <v>#DIV/0!</v>
      </c>
      <c r="AF887" s="113" t="e">
        <f t="shared" si="1579"/>
        <v>#DIV/0!</v>
      </c>
      <c r="AG887" s="113" t="e">
        <f t="shared" si="1579"/>
        <v>#DIV/0!</v>
      </c>
      <c r="AH887" s="113" t="e">
        <f t="shared" si="1579"/>
        <v>#DIV/0!</v>
      </c>
      <c r="AI887" s="114" t="e">
        <f t="shared" si="1579"/>
        <v>#DIV/0!</v>
      </c>
      <c r="AJ887" s="115" t="e">
        <f t="shared" si="1579"/>
        <v>#DIV/0!</v>
      </c>
      <c r="AK887" s="116" t="e">
        <f t="shared" si="1579"/>
        <v>#DIV/0!</v>
      </c>
    </row>
    <row r="888" spans="1:38" ht="15.6" hidden="1" thickBot="1">
      <c r="A888" s="91"/>
      <c r="B888" s="100"/>
      <c r="C888" s="86"/>
      <c r="D888" s="87">
        <v>2019</v>
      </c>
      <c r="E888" s="88"/>
      <c r="F888" s="121"/>
      <c r="G888" s="121"/>
      <c r="H888" s="121"/>
      <c r="I888" s="121"/>
      <c r="J888" s="121"/>
      <c r="K888" s="121"/>
      <c r="L888" s="121"/>
      <c r="M888" s="122"/>
      <c r="N888" s="122"/>
      <c r="O888" s="122"/>
      <c r="P888" s="123"/>
      <c r="Q888" s="89">
        <f t="shared" ref="Q888:Q890" si="1580">SUM(E888:P888)</f>
        <v>0</v>
      </c>
      <c r="R888" s="90">
        <f t="shared" ref="R888" si="1581">SUM(E888:M888)</f>
        <v>0</v>
      </c>
      <c r="T888" s="91"/>
      <c r="U888" s="100"/>
      <c r="V888" s="86">
        <f t="shared" ref="V888:V889" si="1582">C888</f>
        <v>0</v>
      </c>
      <c r="W888" s="87">
        <v>2019</v>
      </c>
      <c r="X888" s="88"/>
      <c r="Y888" s="121"/>
      <c r="Z888" s="121"/>
      <c r="AA888" s="121"/>
      <c r="AB888" s="121"/>
      <c r="AC888" s="121"/>
      <c r="AD888" s="121"/>
      <c r="AE888" s="121"/>
      <c r="AF888" s="122"/>
      <c r="AG888" s="122"/>
      <c r="AH888" s="122"/>
      <c r="AI888" s="123"/>
      <c r="AJ888" s="89">
        <f t="shared" ref="AJ888:AJ890" si="1583">SUM(X888:AI888)</f>
        <v>0</v>
      </c>
      <c r="AK888" s="90">
        <f t="shared" ref="AK888:AK890" si="1584">SUM(X888:AF888)</f>
        <v>0</v>
      </c>
    </row>
    <row r="889" spans="1:38" ht="15.6" hidden="1" thickBot="1">
      <c r="A889" s="91"/>
      <c r="B889" s="100"/>
      <c r="C889" s="92"/>
      <c r="D889" s="93" t="s">
        <v>92</v>
      </c>
      <c r="E889" s="94"/>
      <c r="F889" s="97"/>
      <c r="G889" s="97"/>
      <c r="H889" s="97"/>
      <c r="I889" s="97"/>
      <c r="J889" s="97"/>
      <c r="K889" s="97"/>
      <c r="L889" s="97"/>
      <c r="M889" s="98"/>
      <c r="N889" s="98"/>
      <c r="O889" s="98"/>
      <c r="P889" s="99"/>
      <c r="Q889" s="95">
        <f t="shared" si="1580"/>
        <v>0</v>
      </c>
      <c r="R889" s="96">
        <f t="shared" si="1518"/>
        <v>0</v>
      </c>
      <c r="T889" s="91"/>
      <c r="U889" s="100"/>
      <c r="V889" s="92">
        <f t="shared" si="1582"/>
        <v>0</v>
      </c>
      <c r="W889" s="93" t="s">
        <v>92</v>
      </c>
      <c r="X889" s="94"/>
      <c r="Y889" s="97"/>
      <c r="Z889" s="97"/>
      <c r="AA889" s="97"/>
      <c r="AB889" s="97"/>
      <c r="AC889" s="97"/>
      <c r="AD889" s="97"/>
      <c r="AE889" s="97"/>
      <c r="AF889" s="98"/>
      <c r="AG889" s="98"/>
      <c r="AH889" s="98"/>
      <c r="AI889" s="99"/>
      <c r="AJ889" s="95">
        <f t="shared" si="1583"/>
        <v>0</v>
      </c>
      <c r="AK889" s="96">
        <f t="shared" si="1584"/>
        <v>0</v>
      </c>
    </row>
    <row r="890" spans="1:38" ht="15.6" hidden="1" thickBot="1">
      <c r="A890" s="91"/>
      <c r="B890" s="100"/>
      <c r="C890" s="92"/>
      <c r="D890" s="101">
        <v>2020</v>
      </c>
      <c r="E890" s="102"/>
      <c r="F890" s="124"/>
      <c r="G890" s="124"/>
      <c r="H890" s="124"/>
      <c r="I890" s="124"/>
      <c r="J890" s="124"/>
      <c r="K890" s="124"/>
      <c r="L890" s="124"/>
      <c r="M890" s="125"/>
      <c r="N890" s="125"/>
      <c r="O890" s="125"/>
      <c r="P890" s="126"/>
      <c r="Q890" s="103">
        <f t="shared" si="1580"/>
        <v>0</v>
      </c>
      <c r="R890" s="104">
        <f t="shared" si="1518"/>
        <v>0</v>
      </c>
      <c r="S890" s="105"/>
      <c r="T890" s="91"/>
      <c r="U890" s="100"/>
      <c r="V890" s="92"/>
      <c r="W890" s="101">
        <v>2020</v>
      </c>
      <c r="X890" s="102"/>
      <c r="Y890" s="124"/>
      <c r="Z890" s="124"/>
      <c r="AA890" s="124"/>
      <c r="AB890" s="124"/>
      <c r="AC890" s="124"/>
      <c r="AD890" s="124"/>
      <c r="AE890" s="124"/>
      <c r="AF890" s="125"/>
      <c r="AG890" s="125"/>
      <c r="AH890" s="125"/>
      <c r="AI890" s="126"/>
      <c r="AJ890" s="103">
        <f t="shared" si="1583"/>
        <v>0</v>
      </c>
      <c r="AK890" s="104">
        <f t="shared" si="1584"/>
        <v>0</v>
      </c>
      <c r="AL890" s="105"/>
    </row>
    <row r="891" spans="1:38" ht="15.6" hidden="1" thickBot="1">
      <c r="A891" s="91"/>
      <c r="B891" s="100"/>
      <c r="C891" s="92"/>
      <c r="D891" s="101" t="s">
        <v>102</v>
      </c>
      <c r="E891" s="106" t="e">
        <f t="shared" ref="E891:R891" si="1585">E890/E889</f>
        <v>#DIV/0!</v>
      </c>
      <c r="F891" s="106" t="e">
        <f t="shared" si="1585"/>
        <v>#DIV/0!</v>
      </c>
      <c r="G891" s="106" t="e">
        <f t="shared" si="1585"/>
        <v>#DIV/0!</v>
      </c>
      <c r="H891" s="106" t="e">
        <f t="shared" si="1585"/>
        <v>#DIV/0!</v>
      </c>
      <c r="I891" s="106" t="e">
        <f t="shared" si="1585"/>
        <v>#DIV/0!</v>
      </c>
      <c r="J891" s="106" t="e">
        <f t="shared" si="1585"/>
        <v>#DIV/0!</v>
      </c>
      <c r="K891" s="106" t="e">
        <f t="shared" si="1585"/>
        <v>#DIV/0!</v>
      </c>
      <c r="L891" s="106" t="e">
        <f t="shared" si="1585"/>
        <v>#DIV/0!</v>
      </c>
      <c r="M891" s="107" t="e">
        <f t="shared" si="1585"/>
        <v>#DIV/0!</v>
      </c>
      <c r="N891" s="107" t="e">
        <f t="shared" si="1585"/>
        <v>#DIV/0!</v>
      </c>
      <c r="O891" s="107" t="e">
        <f t="shared" si="1585"/>
        <v>#DIV/0!</v>
      </c>
      <c r="P891" s="108" t="e">
        <f t="shared" si="1585"/>
        <v>#DIV/0!</v>
      </c>
      <c r="Q891" s="109" t="e">
        <f t="shared" si="1585"/>
        <v>#DIV/0!</v>
      </c>
      <c r="R891" s="110" t="e">
        <f t="shared" si="1585"/>
        <v>#DIV/0!</v>
      </c>
      <c r="S891" s="105"/>
      <c r="T891" s="91"/>
      <c r="U891" s="100"/>
      <c r="V891" s="92"/>
      <c r="W891" s="101" t="s">
        <v>102</v>
      </c>
      <c r="X891" s="106" t="e">
        <f t="shared" ref="X891:AK891" si="1586">X890/X889</f>
        <v>#DIV/0!</v>
      </c>
      <c r="Y891" s="106" t="e">
        <f t="shared" si="1586"/>
        <v>#DIV/0!</v>
      </c>
      <c r="Z891" s="106" t="e">
        <f t="shared" si="1586"/>
        <v>#DIV/0!</v>
      </c>
      <c r="AA891" s="106" t="e">
        <f t="shared" si="1586"/>
        <v>#DIV/0!</v>
      </c>
      <c r="AB891" s="106" t="e">
        <f t="shared" si="1586"/>
        <v>#DIV/0!</v>
      </c>
      <c r="AC891" s="106" t="e">
        <f t="shared" si="1586"/>
        <v>#DIV/0!</v>
      </c>
      <c r="AD891" s="106" t="e">
        <f t="shared" si="1586"/>
        <v>#DIV/0!</v>
      </c>
      <c r="AE891" s="106" t="e">
        <f t="shared" si="1586"/>
        <v>#DIV/0!</v>
      </c>
      <c r="AF891" s="107" t="e">
        <f t="shared" si="1586"/>
        <v>#DIV/0!</v>
      </c>
      <c r="AG891" s="107" t="e">
        <f t="shared" si="1586"/>
        <v>#DIV/0!</v>
      </c>
      <c r="AH891" s="107" t="e">
        <f t="shared" si="1586"/>
        <v>#DIV/0!</v>
      </c>
      <c r="AI891" s="108" t="e">
        <f t="shared" si="1586"/>
        <v>#DIV/0!</v>
      </c>
      <c r="AJ891" s="109" t="e">
        <f t="shared" si="1586"/>
        <v>#DIV/0!</v>
      </c>
      <c r="AK891" s="110" t="e">
        <f t="shared" si="1586"/>
        <v>#DIV/0!</v>
      </c>
      <c r="AL891" s="105"/>
    </row>
    <row r="892" spans="1:38" ht="15.6" hidden="1" thickBot="1">
      <c r="A892" s="91"/>
      <c r="B892" s="100"/>
      <c r="C892" s="111"/>
      <c r="D892" s="112" t="s">
        <v>103</v>
      </c>
      <c r="E892" s="113" t="e">
        <f t="shared" ref="E892:R892" si="1587">E890/E888</f>
        <v>#DIV/0!</v>
      </c>
      <c r="F892" s="113" t="e">
        <f t="shared" si="1587"/>
        <v>#DIV/0!</v>
      </c>
      <c r="G892" s="113" t="e">
        <f t="shared" si="1587"/>
        <v>#DIV/0!</v>
      </c>
      <c r="H892" s="113" t="e">
        <f t="shared" si="1587"/>
        <v>#DIV/0!</v>
      </c>
      <c r="I892" s="113" t="e">
        <f t="shared" si="1587"/>
        <v>#DIV/0!</v>
      </c>
      <c r="J892" s="113" t="e">
        <f t="shared" si="1587"/>
        <v>#DIV/0!</v>
      </c>
      <c r="K892" s="113" t="e">
        <f t="shared" si="1587"/>
        <v>#DIV/0!</v>
      </c>
      <c r="L892" s="113" t="e">
        <f t="shared" si="1587"/>
        <v>#DIV/0!</v>
      </c>
      <c r="M892" s="113" t="e">
        <f t="shared" si="1587"/>
        <v>#DIV/0!</v>
      </c>
      <c r="N892" s="113" t="e">
        <f t="shared" si="1587"/>
        <v>#DIV/0!</v>
      </c>
      <c r="O892" s="113" t="e">
        <f t="shared" si="1587"/>
        <v>#DIV/0!</v>
      </c>
      <c r="P892" s="114" t="e">
        <f t="shared" si="1587"/>
        <v>#DIV/0!</v>
      </c>
      <c r="Q892" s="115" t="e">
        <f t="shared" si="1587"/>
        <v>#DIV/0!</v>
      </c>
      <c r="R892" s="116" t="e">
        <f t="shared" si="1587"/>
        <v>#DIV/0!</v>
      </c>
      <c r="T892" s="91"/>
      <c r="U892" s="100"/>
      <c r="V892" s="111"/>
      <c r="W892" s="112" t="s">
        <v>103</v>
      </c>
      <c r="X892" s="113" t="e">
        <f t="shared" ref="X892:AK892" si="1588">X890/X888</f>
        <v>#DIV/0!</v>
      </c>
      <c r="Y892" s="113" t="e">
        <f t="shared" si="1588"/>
        <v>#DIV/0!</v>
      </c>
      <c r="Z892" s="113" t="e">
        <f t="shared" si="1588"/>
        <v>#DIV/0!</v>
      </c>
      <c r="AA892" s="113" t="e">
        <f t="shared" si="1588"/>
        <v>#DIV/0!</v>
      </c>
      <c r="AB892" s="113" t="e">
        <f t="shared" si="1588"/>
        <v>#DIV/0!</v>
      </c>
      <c r="AC892" s="113" t="e">
        <f t="shared" si="1588"/>
        <v>#DIV/0!</v>
      </c>
      <c r="AD892" s="113" t="e">
        <f t="shared" si="1588"/>
        <v>#DIV/0!</v>
      </c>
      <c r="AE892" s="113" t="e">
        <f t="shared" si="1588"/>
        <v>#DIV/0!</v>
      </c>
      <c r="AF892" s="113" t="e">
        <f t="shared" si="1588"/>
        <v>#DIV/0!</v>
      </c>
      <c r="AG892" s="113" t="e">
        <f t="shared" si="1588"/>
        <v>#DIV/0!</v>
      </c>
      <c r="AH892" s="113" t="e">
        <f t="shared" si="1588"/>
        <v>#DIV/0!</v>
      </c>
      <c r="AI892" s="114" t="e">
        <f t="shared" si="1588"/>
        <v>#DIV/0!</v>
      </c>
      <c r="AJ892" s="115" t="e">
        <f t="shared" si="1588"/>
        <v>#DIV/0!</v>
      </c>
      <c r="AK892" s="116" t="e">
        <f t="shared" si="1588"/>
        <v>#DIV/0!</v>
      </c>
    </row>
    <row r="893" spans="1:38" ht="15.6" hidden="1" thickBot="1">
      <c r="A893" s="91"/>
      <c r="B893" s="100"/>
      <c r="C893" s="86"/>
      <c r="D893" s="87">
        <v>2019</v>
      </c>
      <c r="E893" s="88"/>
      <c r="F893" s="121"/>
      <c r="G893" s="121"/>
      <c r="H893" s="121"/>
      <c r="I893" s="121"/>
      <c r="J893" s="121"/>
      <c r="K893" s="121"/>
      <c r="L893" s="121"/>
      <c r="M893" s="122"/>
      <c r="N893" s="122"/>
      <c r="O893" s="122"/>
      <c r="P893" s="123"/>
      <c r="Q893" s="89">
        <f t="shared" ref="Q893:Q895" si="1589">SUM(E893:P893)</f>
        <v>0</v>
      </c>
      <c r="R893" s="90">
        <f t="shared" ref="R893" si="1590">SUM(E893:M893)</f>
        <v>0</v>
      </c>
      <c r="T893" s="91"/>
      <c r="U893" s="100"/>
      <c r="V893" s="86">
        <f t="shared" ref="V893:V894" si="1591">C893</f>
        <v>0</v>
      </c>
      <c r="W893" s="87">
        <v>2019</v>
      </c>
      <c r="X893" s="88"/>
      <c r="Y893" s="121"/>
      <c r="Z893" s="121"/>
      <c r="AA893" s="121"/>
      <c r="AB893" s="121"/>
      <c r="AC893" s="121"/>
      <c r="AD893" s="121"/>
      <c r="AE893" s="121"/>
      <c r="AF893" s="122"/>
      <c r="AG893" s="122"/>
      <c r="AH893" s="122"/>
      <c r="AI893" s="123"/>
      <c r="AJ893" s="89">
        <f t="shared" ref="AJ893:AJ895" si="1592">SUM(X893:AI893)</f>
        <v>0</v>
      </c>
      <c r="AK893" s="90">
        <f t="shared" ref="AK893:AK895" si="1593">SUM(X893:AF893)</f>
        <v>0</v>
      </c>
    </row>
    <row r="894" spans="1:38" ht="15.6" hidden="1" thickBot="1">
      <c r="A894" s="91"/>
      <c r="B894" s="100"/>
      <c r="C894" s="92"/>
      <c r="D894" s="93" t="s">
        <v>92</v>
      </c>
      <c r="E894" s="94"/>
      <c r="F894" s="97"/>
      <c r="G894" s="97"/>
      <c r="H894" s="97"/>
      <c r="I894" s="97"/>
      <c r="J894" s="97"/>
      <c r="K894" s="97"/>
      <c r="L894" s="97"/>
      <c r="M894" s="98"/>
      <c r="N894" s="98"/>
      <c r="O894" s="98"/>
      <c r="P894" s="99"/>
      <c r="Q894" s="95">
        <f t="shared" si="1589"/>
        <v>0</v>
      </c>
      <c r="R894" s="96">
        <f t="shared" si="1518"/>
        <v>0</v>
      </c>
      <c r="T894" s="91"/>
      <c r="U894" s="100"/>
      <c r="V894" s="92">
        <f t="shared" si="1591"/>
        <v>0</v>
      </c>
      <c r="W894" s="93" t="s">
        <v>92</v>
      </c>
      <c r="X894" s="94"/>
      <c r="Y894" s="97"/>
      <c r="Z894" s="97"/>
      <c r="AA894" s="97"/>
      <c r="AB894" s="97"/>
      <c r="AC894" s="97"/>
      <c r="AD894" s="97"/>
      <c r="AE894" s="97"/>
      <c r="AF894" s="98"/>
      <c r="AG894" s="98"/>
      <c r="AH894" s="98"/>
      <c r="AI894" s="99"/>
      <c r="AJ894" s="95">
        <f t="shared" si="1592"/>
        <v>0</v>
      </c>
      <c r="AK894" s="96">
        <f t="shared" si="1593"/>
        <v>0</v>
      </c>
    </row>
    <row r="895" spans="1:38" ht="15.6" hidden="1" thickBot="1">
      <c r="A895" s="91"/>
      <c r="B895" s="100"/>
      <c r="C895" s="92"/>
      <c r="D895" s="101">
        <v>2020</v>
      </c>
      <c r="E895" s="102"/>
      <c r="F895" s="124"/>
      <c r="G895" s="124"/>
      <c r="H895" s="124"/>
      <c r="I895" s="124"/>
      <c r="J895" s="124"/>
      <c r="K895" s="124"/>
      <c r="L895" s="124"/>
      <c r="M895" s="125"/>
      <c r="N895" s="125"/>
      <c r="O895" s="125"/>
      <c r="P895" s="126"/>
      <c r="Q895" s="103">
        <f t="shared" si="1589"/>
        <v>0</v>
      </c>
      <c r="R895" s="104">
        <f t="shared" si="1518"/>
        <v>0</v>
      </c>
      <c r="S895" s="105"/>
      <c r="T895" s="91"/>
      <c r="U895" s="100"/>
      <c r="V895" s="92"/>
      <c r="W895" s="101">
        <v>2020</v>
      </c>
      <c r="X895" s="102"/>
      <c r="Y895" s="124"/>
      <c r="Z895" s="124"/>
      <c r="AA895" s="124"/>
      <c r="AB895" s="124"/>
      <c r="AC895" s="124"/>
      <c r="AD895" s="124"/>
      <c r="AE895" s="124"/>
      <c r="AF895" s="125"/>
      <c r="AG895" s="125"/>
      <c r="AH895" s="125"/>
      <c r="AI895" s="126"/>
      <c r="AJ895" s="103">
        <f t="shared" si="1592"/>
        <v>0</v>
      </c>
      <c r="AK895" s="104">
        <f t="shared" si="1593"/>
        <v>0</v>
      </c>
      <c r="AL895" s="105"/>
    </row>
    <row r="896" spans="1:38" ht="15.6" hidden="1" thickBot="1">
      <c r="A896" s="91"/>
      <c r="B896" s="100"/>
      <c r="C896" s="92"/>
      <c r="D896" s="101" t="s">
        <v>102</v>
      </c>
      <c r="E896" s="106" t="e">
        <f t="shared" ref="E896:R896" si="1594">E895/E894</f>
        <v>#DIV/0!</v>
      </c>
      <c r="F896" s="106" t="e">
        <f t="shared" si="1594"/>
        <v>#DIV/0!</v>
      </c>
      <c r="G896" s="106" t="e">
        <f t="shared" si="1594"/>
        <v>#DIV/0!</v>
      </c>
      <c r="H896" s="106" t="e">
        <f t="shared" si="1594"/>
        <v>#DIV/0!</v>
      </c>
      <c r="I896" s="106" t="e">
        <f t="shared" si="1594"/>
        <v>#DIV/0!</v>
      </c>
      <c r="J896" s="106" t="e">
        <f t="shared" si="1594"/>
        <v>#DIV/0!</v>
      </c>
      <c r="K896" s="106" t="e">
        <f t="shared" si="1594"/>
        <v>#DIV/0!</v>
      </c>
      <c r="L896" s="106" t="e">
        <f t="shared" si="1594"/>
        <v>#DIV/0!</v>
      </c>
      <c r="M896" s="107" t="e">
        <f t="shared" si="1594"/>
        <v>#DIV/0!</v>
      </c>
      <c r="N896" s="107" t="e">
        <f t="shared" si="1594"/>
        <v>#DIV/0!</v>
      </c>
      <c r="O896" s="107" t="e">
        <f t="shared" si="1594"/>
        <v>#DIV/0!</v>
      </c>
      <c r="P896" s="108" t="e">
        <f t="shared" si="1594"/>
        <v>#DIV/0!</v>
      </c>
      <c r="Q896" s="109" t="e">
        <f t="shared" si="1594"/>
        <v>#DIV/0!</v>
      </c>
      <c r="R896" s="110" t="e">
        <f t="shared" si="1594"/>
        <v>#DIV/0!</v>
      </c>
      <c r="S896" s="105"/>
      <c r="T896" s="91"/>
      <c r="U896" s="100"/>
      <c r="V896" s="92"/>
      <c r="W896" s="101" t="s">
        <v>102</v>
      </c>
      <c r="X896" s="106" t="e">
        <f t="shared" ref="X896:AK896" si="1595">X895/X894</f>
        <v>#DIV/0!</v>
      </c>
      <c r="Y896" s="106" t="e">
        <f t="shared" si="1595"/>
        <v>#DIV/0!</v>
      </c>
      <c r="Z896" s="106" t="e">
        <f t="shared" si="1595"/>
        <v>#DIV/0!</v>
      </c>
      <c r="AA896" s="106" t="e">
        <f t="shared" si="1595"/>
        <v>#DIV/0!</v>
      </c>
      <c r="AB896" s="106" t="e">
        <f t="shared" si="1595"/>
        <v>#DIV/0!</v>
      </c>
      <c r="AC896" s="106" t="e">
        <f t="shared" si="1595"/>
        <v>#DIV/0!</v>
      </c>
      <c r="AD896" s="106" t="e">
        <f t="shared" si="1595"/>
        <v>#DIV/0!</v>
      </c>
      <c r="AE896" s="106" t="e">
        <f t="shared" si="1595"/>
        <v>#DIV/0!</v>
      </c>
      <c r="AF896" s="107" t="e">
        <f t="shared" si="1595"/>
        <v>#DIV/0!</v>
      </c>
      <c r="AG896" s="107" t="e">
        <f t="shared" si="1595"/>
        <v>#DIV/0!</v>
      </c>
      <c r="AH896" s="107" t="e">
        <f t="shared" si="1595"/>
        <v>#DIV/0!</v>
      </c>
      <c r="AI896" s="108" t="e">
        <f t="shared" si="1595"/>
        <v>#DIV/0!</v>
      </c>
      <c r="AJ896" s="109" t="e">
        <f t="shared" si="1595"/>
        <v>#DIV/0!</v>
      </c>
      <c r="AK896" s="110" t="e">
        <f t="shared" si="1595"/>
        <v>#DIV/0!</v>
      </c>
      <c r="AL896" s="105"/>
    </row>
    <row r="897" spans="1:38" ht="15.6" hidden="1" thickBot="1">
      <c r="A897" s="91"/>
      <c r="B897" s="100"/>
      <c r="C897" s="111"/>
      <c r="D897" s="112" t="s">
        <v>103</v>
      </c>
      <c r="E897" s="113" t="e">
        <f t="shared" ref="E897:R897" si="1596">E895/E893</f>
        <v>#DIV/0!</v>
      </c>
      <c r="F897" s="113" t="e">
        <f t="shared" si="1596"/>
        <v>#DIV/0!</v>
      </c>
      <c r="G897" s="113" t="e">
        <f t="shared" si="1596"/>
        <v>#DIV/0!</v>
      </c>
      <c r="H897" s="113" t="e">
        <f t="shared" si="1596"/>
        <v>#DIV/0!</v>
      </c>
      <c r="I897" s="113" t="e">
        <f t="shared" si="1596"/>
        <v>#DIV/0!</v>
      </c>
      <c r="J897" s="113" t="e">
        <f t="shared" si="1596"/>
        <v>#DIV/0!</v>
      </c>
      <c r="K897" s="113" t="e">
        <f t="shared" si="1596"/>
        <v>#DIV/0!</v>
      </c>
      <c r="L897" s="113" t="e">
        <f t="shared" si="1596"/>
        <v>#DIV/0!</v>
      </c>
      <c r="M897" s="113" t="e">
        <f t="shared" si="1596"/>
        <v>#DIV/0!</v>
      </c>
      <c r="N897" s="113" t="e">
        <f t="shared" si="1596"/>
        <v>#DIV/0!</v>
      </c>
      <c r="O897" s="113" t="e">
        <f t="shared" si="1596"/>
        <v>#DIV/0!</v>
      </c>
      <c r="P897" s="114" t="e">
        <f t="shared" si="1596"/>
        <v>#DIV/0!</v>
      </c>
      <c r="Q897" s="115" t="e">
        <f t="shared" si="1596"/>
        <v>#DIV/0!</v>
      </c>
      <c r="R897" s="116" t="e">
        <f t="shared" si="1596"/>
        <v>#DIV/0!</v>
      </c>
      <c r="T897" s="91"/>
      <c r="U897" s="100"/>
      <c r="V897" s="111"/>
      <c r="W897" s="112" t="s">
        <v>103</v>
      </c>
      <c r="X897" s="113" t="e">
        <f t="shared" ref="X897:AK897" si="1597">X895/X893</f>
        <v>#DIV/0!</v>
      </c>
      <c r="Y897" s="113" t="e">
        <f t="shared" si="1597"/>
        <v>#DIV/0!</v>
      </c>
      <c r="Z897" s="113" t="e">
        <f t="shared" si="1597"/>
        <v>#DIV/0!</v>
      </c>
      <c r="AA897" s="113" t="e">
        <f t="shared" si="1597"/>
        <v>#DIV/0!</v>
      </c>
      <c r="AB897" s="113" t="e">
        <f t="shared" si="1597"/>
        <v>#DIV/0!</v>
      </c>
      <c r="AC897" s="113" t="e">
        <f t="shared" si="1597"/>
        <v>#DIV/0!</v>
      </c>
      <c r="AD897" s="113" t="e">
        <f t="shared" si="1597"/>
        <v>#DIV/0!</v>
      </c>
      <c r="AE897" s="113" t="e">
        <f t="shared" si="1597"/>
        <v>#DIV/0!</v>
      </c>
      <c r="AF897" s="113" t="e">
        <f t="shared" si="1597"/>
        <v>#DIV/0!</v>
      </c>
      <c r="AG897" s="113" t="e">
        <f t="shared" si="1597"/>
        <v>#DIV/0!</v>
      </c>
      <c r="AH897" s="113" t="e">
        <f t="shared" si="1597"/>
        <v>#DIV/0!</v>
      </c>
      <c r="AI897" s="114" t="e">
        <f t="shared" si="1597"/>
        <v>#DIV/0!</v>
      </c>
      <c r="AJ897" s="115" t="e">
        <f t="shared" si="1597"/>
        <v>#DIV/0!</v>
      </c>
      <c r="AK897" s="116" t="e">
        <f t="shared" si="1597"/>
        <v>#DIV/0!</v>
      </c>
    </row>
    <row r="898" spans="1:38" ht="15.6" hidden="1" thickBot="1">
      <c r="A898" s="91"/>
      <c r="B898" s="100"/>
      <c r="C898" s="86" t="s">
        <v>116</v>
      </c>
      <c r="D898" s="87">
        <v>2019</v>
      </c>
      <c r="E898" s="88"/>
      <c r="F898" s="121"/>
      <c r="G898" s="121"/>
      <c r="H898" s="121"/>
      <c r="I898" s="121"/>
      <c r="J898" s="121"/>
      <c r="K898" s="121"/>
      <c r="L898" s="121"/>
      <c r="M898" s="122"/>
      <c r="N898" s="122"/>
      <c r="O898" s="122"/>
      <c r="P898" s="123"/>
      <c r="Q898" s="89">
        <f t="shared" ref="Q898:Q900" si="1598">SUM(E898:P898)</f>
        <v>0</v>
      </c>
      <c r="R898" s="90">
        <f t="shared" ref="R898" si="1599">SUM(E898:M898)</f>
        <v>0</v>
      </c>
      <c r="T898" s="91"/>
      <c r="U898" s="100"/>
      <c r="V898" s="86" t="str">
        <f t="shared" ref="V898:V899" si="1600">C898</f>
        <v>その他</v>
      </c>
      <c r="W898" s="87">
        <v>2019</v>
      </c>
      <c r="X898" s="88"/>
      <c r="Y898" s="121"/>
      <c r="Z898" s="121"/>
      <c r="AA898" s="121"/>
      <c r="AB898" s="121"/>
      <c r="AC898" s="121"/>
      <c r="AD898" s="121"/>
      <c r="AE898" s="121"/>
      <c r="AF898" s="122"/>
      <c r="AG898" s="122"/>
      <c r="AH898" s="122"/>
      <c r="AI898" s="123"/>
      <c r="AJ898" s="89">
        <f t="shared" ref="AJ898:AJ900" si="1601">SUM(X898:AI898)</f>
        <v>0</v>
      </c>
      <c r="AK898" s="90">
        <f t="shared" ref="AK898:AK900" si="1602">SUM(X898:AF898)</f>
        <v>0</v>
      </c>
    </row>
    <row r="899" spans="1:38" ht="15.6" hidden="1" thickBot="1">
      <c r="A899" s="91"/>
      <c r="B899" s="100"/>
      <c r="C899" s="92" t="s">
        <v>129</v>
      </c>
      <c r="D899" s="93" t="s">
        <v>92</v>
      </c>
      <c r="E899" s="94"/>
      <c r="F899" s="97"/>
      <c r="G899" s="97"/>
      <c r="H899" s="97"/>
      <c r="I899" s="97"/>
      <c r="J899" s="97"/>
      <c r="K899" s="97"/>
      <c r="L899" s="97"/>
      <c r="M899" s="98"/>
      <c r="N899" s="98"/>
      <c r="O899" s="98"/>
      <c r="P899" s="99"/>
      <c r="Q899" s="95">
        <f t="shared" si="1598"/>
        <v>0</v>
      </c>
      <c r="R899" s="96">
        <f t="shared" si="1518"/>
        <v>0</v>
      </c>
      <c r="T899" s="91"/>
      <c r="U899" s="100"/>
      <c r="V899" s="92" t="str">
        <f t="shared" si="1600"/>
        <v>Others</v>
      </c>
      <c r="W899" s="93" t="s">
        <v>92</v>
      </c>
      <c r="X899" s="94"/>
      <c r="Y899" s="97"/>
      <c r="Z899" s="97"/>
      <c r="AA899" s="97"/>
      <c r="AB899" s="97"/>
      <c r="AC899" s="97"/>
      <c r="AD899" s="97"/>
      <c r="AE899" s="97"/>
      <c r="AF899" s="98"/>
      <c r="AG899" s="98"/>
      <c r="AH899" s="98"/>
      <c r="AI899" s="99"/>
      <c r="AJ899" s="95">
        <f t="shared" si="1601"/>
        <v>0</v>
      </c>
      <c r="AK899" s="96">
        <f t="shared" si="1602"/>
        <v>0</v>
      </c>
    </row>
    <row r="900" spans="1:38" ht="15.6" hidden="1" thickBot="1">
      <c r="A900" s="91"/>
      <c r="B900" s="100"/>
      <c r="C900" s="92"/>
      <c r="D900" s="101">
        <v>2020</v>
      </c>
      <c r="E900" s="102"/>
      <c r="F900" s="124"/>
      <c r="G900" s="124"/>
      <c r="H900" s="124"/>
      <c r="I900" s="124"/>
      <c r="J900" s="124"/>
      <c r="K900" s="124"/>
      <c r="L900" s="124"/>
      <c r="M900" s="125"/>
      <c r="N900" s="125"/>
      <c r="O900" s="125"/>
      <c r="P900" s="126"/>
      <c r="Q900" s="103">
        <f t="shared" si="1598"/>
        <v>0</v>
      </c>
      <c r="R900" s="104">
        <f t="shared" si="1518"/>
        <v>0</v>
      </c>
      <c r="S900" s="105"/>
      <c r="T900" s="91"/>
      <c r="U900" s="100"/>
      <c r="V900" s="92"/>
      <c r="W900" s="101">
        <v>2020</v>
      </c>
      <c r="X900" s="102"/>
      <c r="Y900" s="124"/>
      <c r="Z900" s="124"/>
      <c r="AA900" s="124"/>
      <c r="AB900" s="124"/>
      <c r="AC900" s="124"/>
      <c r="AD900" s="124"/>
      <c r="AE900" s="124"/>
      <c r="AF900" s="125"/>
      <c r="AG900" s="125"/>
      <c r="AH900" s="125"/>
      <c r="AI900" s="126"/>
      <c r="AJ900" s="103">
        <f t="shared" si="1601"/>
        <v>0</v>
      </c>
      <c r="AK900" s="104">
        <f t="shared" si="1602"/>
        <v>0</v>
      </c>
      <c r="AL900" s="105"/>
    </row>
    <row r="901" spans="1:38" ht="15.6" hidden="1" thickBot="1">
      <c r="A901" s="91"/>
      <c r="B901" s="100"/>
      <c r="C901" s="92"/>
      <c r="D901" s="101" t="s">
        <v>102</v>
      </c>
      <c r="E901" s="106" t="e">
        <f t="shared" ref="E901:R901" si="1603">E900/E899</f>
        <v>#DIV/0!</v>
      </c>
      <c r="F901" s="106" t="e">
        <f t="shared" si="1603"/>
        <v>#DIV/0!</v>
      </c>
      <c r="G901" s="106" t="e">
        <f t="shared" si="1603"/>
        <v>#DIV/0!</v>
      </c>
      <c r="H901" s="106" t="e">
        <f t="shared" si="1603"/>
        <v>#DIV/0!</v>
      </c>
      <c r="I901" s="106" t="e">
        <f t="shared" si="1603"/>
        <v>#DIV/0!</v>
      </c>
      <c r="J901" s="106" t="e">
        <f t="shared" si="1603"/>
        <v>#DIV/0!</v>
      </c>
      <c r="K901" s="106" t="e">
        <f t="shared" si="1603"/>
        <v>#DIV/0!</v>
      </c>
      <c r="L901" s="106" t="e">
        <f t="shared" si="1603"/>
        <v>#DIV/0!</v>
      </c>
      <c r="M901" s="107" t="e">
        <f t="shared" si="1603"/>
        <v>#DIV/0!</v>
      </c>
      <c r="N901" s="107" t="e">
        <f t="shared" si="1603"/>
        <v>#DIV/0!</v>
      </c>
      <c r="O901" s="107" t="e">
        <f t="shared" si="1603"/>
        <v>#DIV/0!</v>
      </c>
      <c r="P901" s="108" t="e">
        <f t="shared" si="1603"/>
        <v>#DIV/0!</v>
      </c>
      <c r="Q901" s="109" t="e">
        <f t="shared" si="1603"/>
        <v>#DIV/0!</v>
      </c>
      <c r="R901" s="110" t="e">
        <f t="shared" si="1603"/>
        <v>#DIV/0!</v>
      </c>
      <c r="S901" s="105"/>
      <c r="T901" s="91"/>
      <c r="U901" s="100"/>
      <c r="V901" s="92"/>
      <c r="W901" s="101" t="s">
        <v>102</v>
      </c>
      <c r="X901" s="106" t="e">
        <f t="shared" ref="X901:AK901" si="1604">X900/X899</f>
        <v>#DIV/0!</v>
      </c>
      <c r="Y901" s="106" t="e">
        <f t="shared" si="1604"/>
        <v>#DIV/0!</v>
      </c>
      <c r="Z901" s="106" t="e">
        <f t="shared" si="1604"/>
        <v>#DIV/0!</v>
      </c>
      <c r="AA901" s="106" t="e">
        <f t="shared" si="1604"/>
        <v>#DIV/0!</v>
      </c>
      <c r="AB901" s="106" t="e">
        <f t="shared" si="1604"/>
        <v>#DIV/0!</v>
      </c>
      <c r="AC901" s="106" t="e">
        <f t="shared" si="1604"/>
        <v>#DIV/0!</v>
      </c>
      <c r="AD901" s="106" t="e">
        <f t="shared" si="1604"/>
        <v>#DIV/0!</v>
      </c>
      <c r="AE901" s="106" t="e">
        <f t="shared" si="1604"/>
        <v>#DIV/0!</v>
      </c>
      <c r="AF901" s="107" t="e">
        <f t="shared" si="1604"/>
        <v>#DIV/0!</v>
      </c>
      <c r="AG901" s="107" t="e">
        <f t="shared" si="1604"/>
        <v>#DIV/0!</v>
      </c>
      <c r="AH901" s="107" t="e">
        <f t="shared" si="1604"/>
        <v>#DIV/0!</v>
      </c>
      <c r="AI901" s="108" t="e">
        <f t="shared" si="1604"/>
        <v>#DIV/0!</v>
      </c>
      <c r="AJ901" s="109" t="e">
        <f t="shared" si="1604"/>
        <v>#DIV/0!</v>
      </c>
      <c r="AK901" s="110" t="e">
        <f t="shared" si="1604"/>
        <v>#DIV/0!</v>
      </c>
      <c r="AL901" s="105"/>
    </row>
    <row r="902" spans="1:38" ht="15.6" hidden="1" thickBot="1">
      <c r="A902" s="91"/>
      <c r="B902" s="100"/>
      <c r="C902" s="111"/>
      <c r="D902" s="112" t="s">
        <v>103</v>
      </c>
      <c r="E902" s="113" t="e">
        <f t="shared" ref="E902:R902" si="1605">E900/E898</f>
        <v>#DIV/0!</v>
      </c>
      <c r="F902" s="113" t="e">
        <f t="shared" si="1605"/>
        <v>#DIV/0!</v>
      </c>
      <c r="G902" s="113" t="e">
        <f t="shared" si="1605"/>
        <v>#DIV/0!</v>
      </c>
      <c r="H902" s="113" t="e">
        <f t="shared" si="1605"/>
        <v>#DIV/0!</v>
      </c>
      <c r="I902" s="113" t="e">
        <f t="shared" si="1605"/>
        <v>#DIV/0!</v>
      </c>
      <c r="J902" s="113" t="e">
        <f t="shared" si="1605"/>
        <v>#DIV/0!</v>
      </c>
      <c r="K902" s="113" t="e">
        <f t="shared" si="1605"/>
        <v>#DIV/0!</v>
      </c>
      <c r="L902" s="113" t="e">
        <f t="shared" si="1605"/>
        <v>#DIV/0!</v>
      </c>
      <c r="M902" s="113" t="e">
        <f t="shared" si="1605"/>
        <v>#DIV/0!</v>
      </c>
      <c r="N902" s="113" t="e">
        <f t="shared" si="1605"/>
        <v>#DIV/0!</v>
      </c>
      <c r="O902" s="113" t="e">
        <f t="shared" si="1605"/>
        <v>#DIV/0!</v>
      </c>
      <c r="P902" s="114" t="e">
        <f t="shared" si="1605"/>
        <v>#DIV/0!</v>
      </c>
      <c r="Q902" s="115" t="e">
        <f t="shared" si="1605"/>
        <v>#DIV/0!</v>
      </c>
      <c r="R902" s="116" t="e">
        <f t="shared" si="1605"/>
        <v>#DIV/0!</v>
      </c>
      <c r="T902" s="91"/>
      <c r="U902" s="100"/>
      <c r="V902" s="111"/>
      <c r="W902" s="112" t="s">
        <v>103</v>
      </c>
      <c r="X902" s="113" t="e">
        <f t="shared" ref="X902:AK902" si="1606">X900/X898</f>
        <v>#DIV/0!</v>
      </c>
      <c r="Y902" s="113" t="e">
        <f t="shared" si="1606"/>
        <v>#DIV/0!</v>
      </c>
      <c r="Z902" s="113" t="e">
        <f t="shared" si="1606"/>
        <v>#DIV/0!</v>
      </c>
      <c r="AA902" s="113" t="e">
        <f t="shared" si="1606"/>
        <v>#DIV/0!</v>
      </c>
      <c r="AB902" s="113" t="e">
        <f t="shared" si="1606"/>
        <v>#DIV/0!</v>
      </c>
      <c r="AC902" s="113" t="e">
        <f t="shared" si="1606"/>
        <v>#DIV/0!</v>
      </c>
      <c r="AD902" s="113" t="e">
        <f t="shared" si="1606"/>
        <v>#DIV/0!</v>
      </c>
      <c r="AE902" s="113" t="e">
        <f t="shared" si="1606"/>
        <v>#DIV/0!</v>
      </c>
      <c r="AF902" s="113" t="e">
        <f t="shared" si="1606"/>
        <v>#DIV/0!</v>
      </c>
      <c r="AG902" s="113" t="e">
        <f t="shared" si="1606"/>
        <v>#DIV/0!</v>
      </c>
      <c r="AH902" s="113" t="e">
        <f t="shared" si="1606"/>
        <v>#DIV/0!</v>
      </c>
      <c r="AI902" s="114" t="e">
        <f t="shared" si="1606"/>
        <v>#DIV/0!</v>
      </c>
      <c r="AJ902" s="115" t="e">
        <f t="shared" si="1606"/>
        <v>#DIV/0!</v>
      </c>
      <c r="AK902" s="116" t="e">
        <f t="shared" si="1606"/>
        <v>#DIV/0!</v>
      </c>
    </row>
    <row r="903" spans="1:38" ht="15" hidden="1" customHeight="1">
      <c r="A903" s="91"/>
      <c r="B903" s="303" t="s">
        <v>164</v>
      </c>
      <c r="C903" s="304"/>
      <c r="D903" s="127">
        <v>2019</v>
      </c>
      <c r="E903" s="128">
        <f>SUM(E898,E893,E888,E883,E878,E873,E868,E863,E858,E853,E848,E843,E838,E833)</f>
        <v>0</v>
      </c>
      <c r="F903" s="129">
        <f t="shared" ref="F903:P903" si="1607">SUM(F898,F893,F888,F883,F878,F873,F868,F863,F858,F853,F848,F843,F838,F833)</f>
        <v>0</v>
      </c>
      <c r="G903" s="129">
        <f t="shared" si="1607"/>
        <v>0</v>
      </c>
      <c r="H903" s="129">
        <f t="shared" si="1607"/>
        <v>0</v>
      </c>
      <c r="I903" s="129">
        <f t="shared" si="1607"/>
        <v>0</v>
      </c>
      <c r="J903" s="129">
        <f t="shared" si="1607"/>
        <v>0</v>
      </c>
      <c r="K903" s="129">
        <f t="shared" si="1607"/>
        <v>0</v>
      </c>
      <c r="L903" s="129">
        <f t="shared" si="1607"/>
        <v>0</v>
      </c>
      <c r="M903" s="129">
        <f t="shared" si="1607"/>
        <v>0</v>
      </c>
      <c r="N903" s="129">
        <f t="shared" si="1607"/>
        <v>0</v>
      </c>
      <c r="O903" s="129">
        <f t="shared" si="1607"/>
        <v>0</v>
      </c>
      <c r="P903" s="130">
        <f t="shared" si="1607"/>
        <v>0</v>
      </c>
      <c r="Q903" s="131">
        <f>SUM(E903:P903)</f>
        <v>0</v>
      </c>
      <c r="R903" s="90">
        <f t="shared" ref="R903" si="1608">SUM(E903:M903)</f>
        <v>0</v>
      </c>
      <c r="T903" s="91"/>
      <c r="U903" s="309" t="s">
        <v>164</v>
      </c>
      <c r="V903" s="310"/>
      <c r="W903" s="132">
        <v>2019</v>
      </c>
      <c r="X903" s="133">
        <f>SUM(X898,X893,X888,X883,X878,X873,X868,X863,X858,X853,X848,X843,X838,X833)</f>
        <v>0</v>
      </c>
      <c r="Y903" s="134">
        <f t="shared" ref="Y903:AI903" si="1609">SUM(Y898,Y893,Y888,Y883,Y878,Y873,Y868,Y863,Y858,Y853,Y848,Y843,Y838,Y833)</f>
        <v>0</v>
      </c>
      <c r="Z903" s="134">
        <f t="shared" si="1609"/>
        <v>0</v>
      </c>
      <c r="AA903" s="134">
        <f t="shared" si="1609"/>
        <v>0</v>
      </c>
      <c r="AB903" s="134">
        <f t="shared" si="1609"/>
        <v>0</v>
      </c>
      <c r="AC903" s="134">
        <f t="shared" si="1609"/>
        <v>0</v>
      </c>
      <c r="AD903" s="134">
        <f t="shared" si="1609"/>
        <v>0</v>
      </c>
      <c r="AE903" s="134">
        <f t="shared" si="1609"/>
        <v>0</v>
      </c>
      <c r="AF903" s="134">
        <f t="shared" si="1609"/>
        <v>0</v>
      </c>
      <c r="AG903" s="134">
        <f t="shared" si="1609"/>
        <v>0</v>
      </c>
      <c r="AH903" s="134">
        <f t="shared" si="1609"/>
        <v>0</v>
      </c>
      <c r="AI903" s="135">
        <f t="shared" si="1609"/>
        <v>0</v>
      </c>
      <c r="AJ903" s="136">
        <f>SUM(X903:AI903)</f>
        <v>0</v>
      </c>
      <c r="AK903" s="90">
        <f t="shared" ref="AK903:AK905" si="1610">SUM(X903:AF903)</f>
        <v>0</v>
      </c>
    </row>
    <row r="904" spans="1:38" ht="15" hidden="1" customHeight="1">
      <c r="A904" s="91"/>
      <c r="B904" s="305"/>
      <c r="C904" s="306"/>
      <c r="D904" s="137" t="s">
        <v>92</v>
      </c>
      <c r="E904" s="138">
        <f t="shared" ref="E904:P905" si="1611">SUM(E899,E894,E889,E884,E879,E874,E869,E864,E859,E854,E849,E844,E839,E834)</f>
        <v>0</v>
      </c>
      <c r="F904" s="138">
        <f t="shared" si="1611"/>
        <v>0</v>
      </c>
      <c r="G904" s="138">
        <f t="shared" si="1611"/>
        <v>0</v>
      </c>
      <c r="H904" s="138">
        <f t="shared" si="1611"/>
        <v>0</v>
      </c>
      <c r="I904" s="138">
        <f t="shared" si="1611"/>
        <v>0</v>
      </c>
      <c r="J904" s="138">
        <f t="shared" si="1611"/>
        <v>0</v>
      </c>
      <c r="K904" s="138">
        <f t="shared" si="1611"/>
        <v>0</v>
      </c>
      <c r="L904" s="138">
        <f t="shared" si="1611"/>
        <v>0</v>
      </c>
      <c r="M904" s="138">
        <f t="shared" si="1611"/>
        <v>0</v>
      </c>
      <c r="N904" s="138">
        <f t="shared" si="1611"/>
        <v>0</v>
      </c>
      <c r="O904" s="138">
        <f t="shared" si="1611"/>
        <v>0</v>
      </c>
      <c r="P904" s="138">
        <f t="shared" si="1611"/>
        <v>0</v>
      </c>
      <c r="Q904" s="139">
        <f t="shared" ref="Q904:Q905" si="1612">SUM(E904:P904)</f>
        <v>0</v>
      </c>
      <c r="R904" s="96">
        <f t="shared" si="1518"/>
        <v>0</v>
      </c>
      <c r="T904" s="91"/>
      <c r="U904" s="311"/>
      <c r="V904" s="312"/>
      <c r="W904" s="140" t="s">
        <v>92</v>
      </c>
      <c r="X904" s="141">
        <f t="shared" ref="X904:AI905" si="1613">SUM(X899,X894,X889,X884,X879,X874,X869,X864,X859,X854,X849,X844,X839,X834)</f>
        <v>0</v>
      </c>
      <c r="Y904" s="141">
        <f t="shared" si="1613"/>
        <v>0</v>
      </c>
      <c r="Z904" s="141">
        <f t="shared" si="1613"/>
        <v>0</v>
      </c>
      <c r="AA904" s="141">
        <f t="shared" si="1613"/>
        <v>0</v>
      </c>
      <c r="AB904" s="141">
        <f t="shared" si="1613"/>
        <v>0</v>
      </c>
      <c r="AC904" s="141">
        <f t="shared" si="1613"/>
        <v>0</v>
      </c>
      <c r="AD904" s="141">
        <f t="shared" si="1613"/>
        <v>0</v>
      </c>
      <c r="AE904" s="141">
        <f t="shared" si="1613"/>
        <v>0</v>
      </c>
      <c r="AF904" s="141">
        <f t="shared" si="1613"/>
        <v>0</v>
      </c>
      <c r="AG904" s="141">
        <f t="shared" si="1613"/>
        <v>0</v>
      </c>
      <c r="AH904" s="141">
        <f t="shared" si="1613"/>
        <v>0</v>
      </c>
      <c r="AI904" s="141">
        <f t="shared" si="1613"/>
        <v>0</v>
      </c>
      <c r="AJ904" s="142">
        <f t="shared" ref="AJ904:AJ905" si="1614">SUM(X904:AI904)</f>
        <v>0</v>
      </c>
      <c r="AK904" s="96">
        <f t="shared" si="1610"/>
        <v>0</v>
      </c>
    </row>
    <row r="905" spans="1:38" ht="15" hidden="1" customHeight="1">
      <c r="A905" s="91"/>
      <c r="B905" s="305"/>
      <c r="C905" s="306"/>
      <c r="D905" s="143">
        <v>2020</v>
      </c>
      <c r="E905" s="144">
        <f>SUM(E900,E895,E890,E885,E880,E875,E870,E865,E860,E855,E850,E845,E840,E835)</f>
        <v>0</v>
      </c>
      <c r="F905" s="144">
        <f t="shared" si="1611"/>
        <v>0</v>
      </c>
      <c r="G905" s="144">
        <f t="shared" si="1611"/>
        <v>0</v>
      </c>
      <c r="H905" s="144">
        <f t="shared" si="1611"/>
        <v>0</v>
      </c>
      <c r="I905" s="144">
        <f t="shared" si="1611"/>
        <v>0</v>
      </c>
      <c r="J905" s="144">
        <f t="shared" si="1611"/>
        <v>0</v>
      </c>
      <c r="K905" s="144">
        <f t="shared" si="1611"/>
        <v>0</v>
      </c>
      <c r="L905" s="144">
        <f t="shared" si="1611"/>
        <v>0</v>
      </c>
      <c r="M905" s="144">
        <f t="shared" si="1611"/>
        <v>0</v>
      </c>
      <c r="N905" s="144">
        <f t="shared" si="1611"/>
        <v>0</v>
      </c>
      <c r="O905" s="144">
        <f t="shared" si="1611"/>
        <v>0</v>
      </c>
      <c r="P905" s="144">
        <f t="shared" si="1611"/>
        <v>0</v>
      </c>
      <c r="Q905" s="145">
        <f t="shared" si="1612"/>
        <v>0</v>
      </c>
      <c r="R905" s="104">
        <f t="shared" si="1518"/>
        <v>0</v>
      </c>
      <c r="S905" s="105"/>
      <c r="T905" s="91"/>
      <c r="U905" s="311"/>
      <c r="V905" s="312"/>
      <c r="W905" s="146">
        <v>2020</v>
      </c>
      <c r="X905" s="147">
        <f>SUM(X900,X895,X890,X885,X880,X875,X870,X865,X860,X855,X850,X845,X840,X835)</f>
        <v>0</v>
      </c>
      <c r="Y905" s="147">
        <f t="shared" si="1613"/>
        <v>0</v>
      </c>
      <c r="Z905" s="147">
        <f t="shared" si="1613"/>
        <v>0</v>
      </c>
      <c r="AA905" s="147">
        <f t="shared" si="1613"/>
        <v>0</v>
      </c>
      <c r="AB905" s="147">
        <f t="shared" si="1613"/>
        <v>0</v>
      </c>
      <c r="AC905" s="147">
        <f t="shared" si="1613"/>
        <v>0</v>
      </c>
      <c r="AD905" s="147">
        <f t="shared" si="1613"/>
        <v>0</v>
      </c>
      <c r="AE905" s="147">
        <f t="shared" si="1613"/>
        <v>0</v>
      </c>
      <c r="AF905" s="147">
        <f t="shared" si="1613"/>
        <v>0</v>
      </c>
      <c r="AG905" s="147">
        <f t="shared" si="1613"/>
        <v>0</v>
      </c>
      <c r="AH905" s="147">
        <f t="shared" si="1613"/>
        <v>0</v>
      </c>
      <c r="AI905" s="147">
        <f t="shared" si="1613"/>
        <v>0</v>
      </c>
      <c r="AJ905" s="148">
        <f t="shared" si="1614"/>
        <v>0</v>
      </c>
      <c r="AK905" s="104">
        <f t="shared" si="1610"/>
        <v>0</v>
      </c>
      <c r="AL905" s="105"/>
    </row>
    <row r="906" spans="1:38" ht="15" hidden="1" customHeight="1">
      <c r="A906" s="91"/>
      <c r="B906" s="305"/>
      <c r="C906" s="306"/>
      <c r="D906" s="143" t="s">
        <v>102</v>
      </c>
      <c r="E906" s="144" t="e">
        <f t="shared" ref="E906:R906" si="1615">E905/E904</f>
        <v>#DIV/0!</v>
      </c>
      <c r="F906" s="144" t="e">
        <f t="shared" si="1615"/>
        <v>#DIV/0!</v>
      </c>
      <c r="G906" s="144" t="e">
        <f t="shared" si="1615"/>
        <v>#DIV/0!</v>
      </c>
      <c r="H906" s="144" t="e">
        <f t="shared" si="1615"/>
        <v>#DIV/0!</v>
      </c>
      <c r="I906" s="144" t="e">
        <f t="shared" si="1615"/>
        <v>#DIV/0!</v>
      </c>
      <c r="J906" s="144" t="e">
        <f t="shared" si="1615"/>
        <v>#DIV/0!</v>
      </c>
      <c r="K906" s="144" t="e">
        <f t="shared" si="1615"/>
        <v>#DIV/0!</v>
      </c>
      <c r="L906" s="144" t="e">
        <f t="shared" si="1615"/>
        <v>#DIV/0!</v>
      </c>
      <c r="M906" s="144" t="e">
        <f t="shared" si="1615"/>
        <v>#DIV/0!</v>
      </c>
      <c r="N906" s="144" t="e">
        <f t="shared" si="1615"/>
        <v>#DIV/0!</v>
      </c>
      <c r="O906" s="144" t="e">
        <f t="shared" si="1615"/>
        <v>#DIV/0!</v>
      </c>
      <c r="P906" s="172" t="e">
        <f t="shared" si="1615"/>
        <v>#DIV/0!</v>
      </c>
      <c r="Q906" s="145" t="e">
        <f t="shared" si="1615"/>
        <v>#DIV/0!</v>
      </c>
      <c r="R906" s="104" t="e">
        <f t="shared" si="1615"/>
        <v>#DIV/0!</v>
      </c>
      <c r="S906" s="105"/>
      <c r="T906" s="91"/>
      <c r="U906" s="311"/>
      <c r="V906" s="312"/>
      <c r="W906" s="146" t="s">
        <v>102</v>
      </c>
      <c r="X906" s="147" t="e">
        <f t="shared" ref="X906:AK906" si="1616">X905/X904</f>
        <v>#DIV/0!</v>
      </c>
      <c r="Y906" s="147" t="e">
        <f t="shared" si="1616"/>
        <v>#DIV/0!</v>
      </c>
      <c r="Z906" s="147" t="e">
        <f t="shared" si="1616"/>
        <v>#DIV/0!</v>
      </c>
      <c r="AA906" s="147" t="e">
        <f t="shared" si="1616"/>
        <v>#DIV/0!</v>
      </c>
      <c r="AB906" s="147" t="e">
        <f t="shared" si="1616"/>
        <v>#DIV/0!</v>
      </c>
      <c r="AC906" s="147" t="e">
        <f t="shared" si="1616"/>
        <v>#DIV/0!</v>
      </c>
      <c r="AD906" s="147" t="e">
        <f t="shared" si="1616"/>
        <v>#DIV/0!</v>
      </c>
      <c r="AE906" s="147" t="e">
        <f t="shared" si="1616"/>
        <v>#DIV/0!</v>
      </c>
      <c r="AF906" s="147" t="e">
        <f t="shared" si="1616"/>
        <v>#DIV/0!</v>
      </c>
      <c r="AG906" s="147" t="e">
        <f t="shared" si="1616"/>
        <v>#DIV/0!</v>
      </c>
      <c r="AH906" s="147" t="e">
        <f t="shared" si="1616"/>
        <v>#DIV/0!</v>
      </c>
      <c r="AI906" s="173" t="e">
        <f t="shared" si="1616"/>
        <v>#DIV/0!</v>
      </c>
      <c r="AJ906" s="148" t="e">
        <f t="shared" si="1616"/>
        <v>#DIV/0!</v>
      </c>
      <c r="AK906" s="104" t="e">
        <f t="shared" si="1616"/>
        <v>#DIV/0!</v>
      </c>
      <c r="AL906" s="105"/>
    </row>
    <row r="907" spans="1:38" ht="15" hidden="1" customHeight="1">
      <c r="A907" s="155"/>
      <c r="B907" s="307"/>
      <c r="C907" s="308"/>
      <c r="D907" s="156" t="s">
        <v>103</v>
      </c>
      <c r="E907" s="165" t="e">
        <f t="shared" ref="E907:R907" si="1617">E905/E903</f>
        <v>#DIV/0!</v>
      </c>
      <c r="F907" s="165" t="e">
        <f t="shared" si="1617"/>
        <v>#DIV/0!</v>
      </c>
      <c r="G907" s="165" t="e">
        <f t="shared" si="1617"/>
        <v>#DIV/0!</v>
      </c>
      <c r="H907" s="165" t="e">
        <f t="shared" si="1617"/>
        <v>#DIV/0!</v>
      </c>
      <c r="I907" s="165" t="e">
        <f t="shared" si="1617"/>
        <v>#DIV/0!</v>
      </c>
      <c r="J907" s="165" t="e">
        <f t="shared" si="1617"/>
        <v>#DIV/0!</v>
      </c>
      <c r="K907" s="165" t="e">
        <f t="shared" si="1617"/>
        <v>#DIV/0!</v>
      </c>
      <c r="L907" s="165" t="e">
        <f t="shared" si="1617"/>
        <v>#DIV/0!</v>
      </c>
      <c r="M907" s="165" t="e">
        <f t="shared" si="1617"/>
        <v>#DIV/0!</v>
      </c>
      <c r="N907" s="165" t="e">
        <f t="shared" si="1617"/>
        <v>#DIV/0!</v>
      </c>
      <c r="O907" s="165" t="e">
        <f t="shared" si="1617"/>
        <v>#DIV/0!</v>
      </c>
      <c r="P907" s="166" t="e">
        <f t="shared" si="1617"/>
        <v>#DIV/0!</v>
      </c>
      <c r="Q907" s="167" t="e">
        <f t="shared" si="1617"/>
        <v>#DIV/0!</v>
      </c>
      <c r="R907" s="168" t="e">
        <f t="shared" si="1617"/>
        <v>#DIV/0!</v>
      </c>
      <c r="T907" s="155"/>
      <c r="U907" s="313"/>
      <c r="V907" s="314"/>
      <c r="W907" s="160" t="s">
        <v>103</v>
      </c>
      <c r="X907" s="169" t="e">
        <f t="shared" ref="X907:AK907" si="1618">X905/X903</f>
        <v>#DIV/0!</v>
      </c>
      <c r="Y907" s="169" t="e">
        <f t="shared" si="1618"/>
        <v>#DIV/0!</v>
      </c>
      <c r="Z907" s="169" t="e">
        <f t="shared" si="1618"/>
        <v>#DIV/0!</v>
      </c>
      <c r="AA907" s="169" t="e">
        <f t="shared" si="1618"/>
        <v>#DIV/0!</v>
      </c>
      <c r="AB907" s="169" t="e">
        <f t="shared" si="1618"/>
        <v>#DIV/0!</v>
      </c>
      <c r="AC907" s="169" t="e">
        <f t="shared" si="1618"/>
        <v>#DIV/0!</v>
      </c>
      <c r="AD907" s="169" t="e">
        <f t="shared" si="1618"/>
        <v>#DIV/0!</v>
      </c>
      <c r="AE907" s="169" t="e">
        <f t="shared" si="1618"/>
        <v>#DIV/0!</v>
      </c>
      <c r="AF907" s="169" t="e">
        <f t="shared" si="1618"/>
        <v>#DIV/0!</v>
      </c>
      <c r="AG907" s="169" t="e">
        <f t="shared" si="1618"/>
        <v>#DIV/0!</v>
      </c>
      <c r="AH907" s="169" t="e">
        <f t="shared" si="1618"/>
        <v>#DIV/0!</v>
      </c>
      <c r="AI907" s="170" t="e">
        <f t="shared" si="1618"/>
        <v>#DIV/0!</v>
      </c>
      <c r="AJ907" s="171" t="e">
        <f t="shared" si="1618"/>
        <v>#DIV/0!</v>
      </c>
      <c r="AK907" s="168" t="e">
        <f t="shared" si="1618"/>
        <v>#DIV/0!</v>
      </c>
    </row>
    <row r="908" spans="1:38" ht="15.6" hidden="1" thickBot="1">
      <c r="A908" s="84" t="s">
        <v>160</v>
      </c>
      <c r="B908" s="85" t="s">
        <v>140</v>
      </c>
      <c r="C908" s="86" t="s">
        <v>122</v>
      </c>
      <c r="D908" s="87">
        <v>2019</v>
      </c>
      <c r="E908" s="88"/>
      <c r="F908" s="121"/>
      <c r="G908" s="121"/>
      <c r="H908" s="121"/>
      <c r="I908" s="121"/>
      <c r="J908" s="121"/>
      <c r="K908" s="121"/>
      <c r="L908" s="121"/>
      <c r="M908" s="122"/>
      <c r="N908" s="122"/>
      <c r="O908" s="122"/>
      <c r="P908" s="123"/>
      <c r="Q908" s="89">
        <f>SUM(E908:P908)</f>
        <v>0</v>
      </c>
      <c r="R908" s="90">
        <f t="shared" ref="R908" si="1619">SUM(E908:M908)</f>
        <v>0</v>
      </c>
      <c r="T908" s="84" t="s">
        <v>160</v>
      </c>
      <c r="U908" s="85" t="s">
        <v>140</v>
      </c>
      <c r="V908" s="86" t="str">
        <f>C908</f>
        <v>得意先名</v>
      </c>
      <c r="W908" s="87">
        <v>2019</v>
      </c>
      <c r="X908" s="88"/>
      <c r="Y908" s="121"/>
      <c r="Z908" s="121"/>
      <c r="AA908" s="121"/>
      <c r="AB908" s="121"/>
      <c r="AC908" s="121"/>
      <c r="AD908" s="121"/>
      <c r="AE908" s="121"/>
      <c r="AF908" s="122"/>
      <c r="AG908" s="122"/>
      <c r="AH908" s="122"/>
      <c r="AI908" s="123"/>
      <c r="AJ908" s="89">
        <f>SUM(X908:AI908)</f>
        <v>0</v>
      </c>
      <c r="AK908" s="90">
        <f t="shared" ref="AK908:AK910" si="1620">SUM(X908:AF908)</f>
        <v>0</v>
      </c>
    </row>
    <row r="909" spans="1:38" ht="15.6" hidden="1" thickBot="1">
      <c r="A909" s="91"/>
      <c r="B909" s="85" t="s">
        <v>141</v>
      </c>
      <c r="C909" s="92" t="s">
        <v>124</v>
      </c>
      <c r="D909" s="93" t="s">
        <v>92</v>
      </c>
      <c r="E909" s="94"/>
      <c r="F909" s="97"/>
      <c r="G909" s="97"/>
      <c r="H909" s="97"/>
      <c r="I909" s="97"/>
      <c r="J909" s="97"/>
      <c r="K909" s="97"/>
      <c r="L909" s="97"/>
      <c r="M909" s="98"/>
      <c r="N909" s="98"/>
      <c r="O909" s="98"/>
      <c r="P909" s="99"/>
      <c r="Q909" s="95">
        <f>SUM(E909:P909)</f>
        <v>0</v>
      </c>
      <c r="R909" s="96">
        <f t="shared" si="1518"/>
        <v>0</v>
      </c>
      <c r="T909" s="91"/>
      <c r="U909" s="85" t="s">
        <v>141</v>
      </c>
      <c r="V909" s="92" t="str">
        <f>C909</f>
        <v>得意先名（英語）</v>
      </c>
      <c r="W909" s="93" t="s">
        <v>92</v>
      </c>
      <c r="X909" s="94"/>
      <c r="Y909" s="97"/>
      <c r="Z909" s="97"/>
      <c r="AA909" s="97"/>
      <c r="AB909" s="97"/>
      <c r="AC909" s="97"/>
      <c r="AD909" s="97"/>
      <c r="AE909" s="97"/>
      <c r="AF909" s="98"/>
      <c r="AG909" s="98"/>
      <c r="AH909" s="98"/>
      <c r="AI909" s="99"/>
      <c r="AJ909" s="95">
        <f>SUM(X909:AI909)</f>
        <v>0</v>
      </c>
      <c r="AK909" s="96">
        <f t="shared" si="1620"/>
        <v>0</v>
      </c>
    </row>
    <row r="910" spans="1:38" ht="15.6" hidden="1" thickBot="1">
      <c r="A910" s="91"/>
      <c r="B910" s="100"/>
      <c r="C910" s="92"/>
      <c r="D910" s="101">
        <v>2020</v>
      </c>
      <c r="E910" s="102"/>
      <c r="F910" s="124"/>
      <c r="G910" s="124"/>
      <c r="H910" s="124"/>
      <c r="I910" s="124"/>
      <c r="J910" s="124"/>
      <c r="K910" s="124"/>
      <c r="L910" s="124"/>
      <c r="M910" s="125"/>
      <c r="N910" s="125"/>
      <c r="O910" s="125"/>
      <c r="P910" s="126"/>
      <c r="Q910" s="103">
        <f>SUM(E910:P910)</f>
        <v>0</v>
      </c>
      <c r="R910" s="104">
        <f t="shared" si="1518"/>
        <v>0</v>
      </c>
      <c r="S910" s="105"/>
      <c r="T910" s="91"/>
      <c r="U910" s="100"/>
      <c r="V910" s="92"/>
      <c r="W910" s="101">
        <v>2020</v>
      </c>
      <c r="X910" s="102"/>
      <c r="Y910" s="124"/>
      <c r="Z910" s="124"/>
      <c r="AA910" s="124"/>
      <c r="AB910" s="124"/>
      <c r="AC910" s="124"/>
      <c r="AD910" s="124"/>
      <c r="AE910" s="124"/>
      <c r="AF910" s="125"/>
      <c r="AG910" s="125"/>
      <c r="AH910" s="125"/>
      <c r="AI910" s="126"/>
      <c r="AJ910" s="103">
        <f>SUM(X910:AI910)</f>
        <v>0</v>
      </c>
      <c r="AK910" s="104">
        <f t="shared" si="1620"/>
        <v>0</v>
      </c>
      <c r="AL910" s="105"/>
    </row>
    <row r="911" spans="1:38" ht="15.6" hidden="1" thickBot="1">
      <c r="A911" s="91"/>
      <c r="B911" s="164"/>
      <c r="C911" s="92"/>
      <c r="D911" s="101" t="s">
        <v>102</v>
      </c>
      <c r="E911" s="106" t="e">
        <f>E910/E909</f>
        <v>#DIV/0!</v>
      </c>
      <c r="F911" s="106" t="e">
        <f t="shared" ref="F911:R911" si="1621">F910/F909</f>
        <v>#DIV/0!</v>
      </c>
      <c r="G911" s="106" t="e">
        <f t="shared" si="1621"/>
        <v>#DIV/0!</v>
      </c>
      <c r="H911" s="106" t="e">
        <f t="shared" si="1621"/>
        <v>#DIV/0!</v>
      </c>
      <c r="I911" s="106" t="e">
        <f t="shared" si="1621"/>
        <v>#DIV/0!</v>
      </c>
      <c r="J911" s="106" t="e">
        <f t="shared" si="1621"/>
        <v>#DIV/0!</v>
      </c>
      <c r="K911" s="106" t="e">
        <f t="shared" si="1621"/>
        <v>#DIV/0!</v>
      </c>
      <c r="L911" s="106" t="e">
        <f t="shared" si="1621"/>
        <v>#DIV/0!</v>
      </c>
      <c r="M911" s="107" t="e">
        <f t="shared" si="1621"/>
        <v>#DIV/0!</v>
      </c>
      <c r="N911" s="107" t="e">
        <f t="shared" si="1621"/>
        <v>#DIV/0!</v>
      </c>
      <c r="O911" s="107" t="e">
        <f t="shared" si="1621"/>
        <v>#DIV/0!</v>
      </c>
      <c r="P911" s="108" t="e">
        <f t="shared" si="1621"/>
        <v>#DIV/0!</v>
      </c>
      <c r="Q911" s="109" t="e">
        <f t="shared" si="1621"/>
        <v>#DIV/0!</v>
      </c>
      <c r="R911" s="110" t="e">
        <f t="shared" si="1621"/>
        <v>#DIV/0!</v>
      </c>
      <c r="S911" s="105"/>
      <c r="T911" s="91"/>
      <c r="U911" s="164"/>
      <c r="V911" s="92"/>
      <c r="W911" s="101" t="s">
        <v>102</v>
      </c>
      <c r="X911" s="106" t="e">
        <f>X910/X909</f>
        <v>#DIV/0!</v>
      </c>
      <c r="Y911" s="106" t="e">
        <f t="shared" ref="Y911:AK911" si="1622">Y910/Y909</f>
        <v>#DIV/0!</v>
      </c>
      <c r="Z911" s="106" t="e">
        <f t="shared" si="1622"/>
        <v>#DIV/0!</v>
      </c>
      <c r="AA911" s="106" t="e">
        <f t="shared" si="1622"/>
        <v>#DIV/0!</v>
      </c>
      <c r="AB911" s="106" t="e">
        <f t="shared" si="1622"/>
        <v>#DIV/0!</v>
      </c>
      <c r="AC911" s="106" t="e">
        <f t="shared" si="1622"/>
        <v>#DIV/0!</v>
      </c>
      <c r="AD911" s="106" t="e">
        <f t="shared" si="1622"/>
        <v>#DIV/0!</v>
      </c>
      <c r="AE911" s="106" t="e">
        <f t="shared" si="1622"/>
        <v>#DIV/0!</v>
      </c>
      <c r="AF911" s="107" t="e">
        <f t="shared" si="1622"/>
        <v>#DIV/0!</v>
      </c>
      <c r="AG911" s="107" t="e">
        <f t="shared" si="1622"/>
        <v>#DIV/0!</v>
      </c>
      <c r="AH911" s="107" t="e">
        <f t="shared" si="1622"/>
        <v>#DIV/0!</v>
      </c>
      <c r="AI911" s="108" t="e">
        <f t="shared" si="1622"/>
        <v>#DIV/0!</v>
      </c>
      <c r="AJ911" s="109" t="e">
        <f t="shared" si="1622"/>
        <v>#DIV/0!</v>
      </c>
      <c r="AK911" s="110" t="e">
        <f t="shared" si="1622"/>
        <v>#DIV/0!</v>
      </c>
      <c r="AL911" s="105"/>
    </row>
    <row r="912" spans="1:38" ht="15.6" hidden="1" thickBot="1">
      <c r="A912" s="91"/>
      <c r="B912" s="164"/>
      <c r="C912" s="111"/>
      <c r="D912" s="112" t="s">
        <v>103</v>
      </c>
      <c r="E912" s="113" t="e">
        <f>E910/E908</f>
        <v>#DIV/0!</v>
      </c>
      <c r="F912" s="113" t="e">
        <f t="shared" ref="F912:R912" si="1623">F910/F908</f>
        <v>#DIV/0!</v>
      </c>
      <c r="G912" s="113" t="e">
        <f t="shared" si="1623"/>
        <v>#DIV/0!</v>
      </c>
      <c r="H912" s="113" t="e">
        <f t="shared" si="1623"/>
        <v>#DIV/0!</v>
      </c>
      <c r="I912" s="113" t="e">
        <f t="shared" si="1623"/>
        <v>#DIV/0!</v>
      </c>
      <c r="J912" s="113" t="e">
        <f t="shared" si="1623"/>
        <v>#DIV/0!</v>
      </c>
      <c r="K912" s="113" t="e">
        <f t="shared" si="1623"/>
        <v>#DIV/0!</v>
      </c>
      <c r="L912" s="113" t="e">
        <f t="shared" si="1623"/>
        <v>#DIV/0!</v>
      </c>
      <c r="M912" s="113" t="e">
        <f t="shared" si="1623"/>
        <v>#DIV/0!</v>
      </c>
      <c r="N912" s="113" t="e">
        <f t="shared" si="1623"/>
        <v>#DIV/0!</v>
      </c>
      <c r="O912" s="113" t="e">
        <f t="shared" si="1623"/>
        <v>#DIV/0!</v>
      </c>
      <c r="P912" s="114" t="e">
        <f t="shared" si="1623"/>
        <v>#DIV/0!</v>
      </c>
      <c r="Q912" s="115" t="e">
        <f t="shared" si="1623"/>
        <v>#DIV/0!</v>
      </c>
      <c r="R912" s="116" t="e">
        <f t="shared" si="1623"/>
        <v>#DIV/0!</v>
      </c>
      <c r="T912" s="91"/>
      <c r="U912" s="164"/>
      <c r="V912" s="111"/>
      <c r="W912" s="112" t="s">
        <v>103</v>
      </c>
      <c r="X912" s="113" t="e">
        <f>X910/X908</f>
        <v>#DIV/0!</v>
      </c>
      <c r="Y912" s="113" t="e">
        <f t="shared" ref="Y912:AK912" si="1624">Y910/Y908</f>
        <v>#DIV/0!</v>
      </c>
      <c r="Z912" s="113" t="e">
        <f t="shared" si="1624"/>
        <v>#DIV/0!</v>
      </c>
      <c r="AA912" s="113" t="e">
        <f t="shared" si="1624"/>
        <v>#DIV/0!</v>
      </c>
      <c r="AB912" s="113" t="e">
        <f t="shared" si="1624"/>
        <v>#DIV/0!</v>
      </c>
      <c r="AC912" s="113" t="e">
        <f t="shared" si="1624"/>
        <v>#DIV/0!</v>
      </c>
      <c r="AD912" s="113" t="e">
        <f t="shared" si="1624"/>
        <v>#DIV/0!</v>
      </c>
      <c r="AE912" s="113" t="e">
        <f t="shared" si="1624"/>
        <v>#DIV/0!</v>
      </c>
      <c r="AF912" s="113" t="e">
        <f t="shared" si="1624"/>
        <v>#DIV/0!</v>
      </c>
      <c r="AG912" s="113" t="e">
        <f t="shared" si="1624"/>
        <v>#DIV/0!</v>
      </c>
      <c r="AH912" s="113" t="e">
        <f t="shared" si="1624"/>
        <v>#DIV/0!</v>
      </c>
      <c r="AI912" s="114" t="e">
        <f t="shared" si="1624"/>
        <v>#DIV/0!</v>
      </c>
      <c r="AJ912" s="115" t="e">
        <f t="shared" si="1624"/>
        <v>#DIV/0!</v>
      </c>
      <c r="AK912" s="116" t="e">
        <f t="shared" si="1624"/>
        <v>#DIV/0!</v>
      </c>
    </row>
    <row r="913" spans="1:38" ht="15.6" hidden="1" thickBot="1">
      <c r="A913" s="91"/>
      <c r="B913" s="164"/>
      <c r="C913" s="86"/>
      <c r="D913" s="87">
        <v>2019</v>
      </c>
      <c r="E913" s="88"/>
      <c r="F913" s="121"/>
      <c r="G913" s="121"/>
      <c r="H913" s="121"/>
      <c r="I913" s="121"/>
      <c r="J913" s="121"/>
      <c r="K913" s="121"/>
      <c r="L913" s="121"/>
      <c r="M913" s="122"/>
      <c r="N913" s="122"/>
      <c r="O913" s="122"/>
      <c r="P913" s="123"/>
      <c r="Q913" s="89">
        <f t="shared" ref="Q913:Q915" si="1625">SUM(E913:P913)</f>
        <v>0</v>
      </c>
      <c r="R913" s="90">
        <f t="shared" ref="R913" si="1626">SUM(E913:M913)</f>
        <v>0</v>
      </c>
      <c r="T913" s="91"/>
      <c r="U913" s="164"/>
      <c r="V913" s="86">
        <f t="shared" ref="V913:V914" si="1627">C913</f>
        <v>0</v>
      </c>
      <c r="W913" s="87">
        <v>2019</v>
      </c>
      <c r="X913" s="88"/>
      <c r="Y913" s="121"/>
      <c r="Z913" s="121"/>
      <c r="AA913" s="121"/>
      <c r="AB913" s="121"/>
      <c r="AC913" s="121"/>
      <c r="AD913" s="121"/>
      <c r="AE913" s="121"/>
      <c r="AF913" s="122"/>
      <c r="AG913" s="122"/>
      <c r="AH913" s="122"/>
      <c r="AI913" s="123"/>
      <c r="AJ913" s="89">
        <f t="shared" ref="AJ913:AJ915" si="1628">SUM(X913:AI913)</f>
        <v>0</v>
      </c>
      <c r="AK913" s="90">
        <f t="shared" ref="AK913:AK915" si="1629">SUM(X913:AF913)</f>
        <v>0</v>
      </c>
    </row>
    <row r="914" spans="1:38" ht="15.6" hidden="1" thickBot="1">
      <c r="A914" s="91"/>
      <c r="B914" s="164"/>
      <c r="C914" s="92"/>
      <c r="D914" s="93" t="s">
        <v>92</v>
      </c>
      <c r="E914" s="94"/>
      <c r="F914" s="97"/>
      <c r="G914" s="97"/>
      <c r="H914" s="97"/>
      <c r="I914" s="97"/>
      <c r="J914" s="97"/>
      <c r="K914" s="97"/>
      <c r="L914" s="97"/>
      <c r="M914" s="98"/>
      <c r="N914" s="98"/>
      <c r="O914" s="98"/>
      <c r="P914" s="99"/>
      <c r="Q914" s="95">
        <f t="shared" si="1625"/>
        <v>0</v>
      </c>
      <c r="R914" s="96">
        <f t="shared" si="1518"/>
        <v>0</v>
      </c>
      <c r="T914" s="91"/>
      <c r="U914" s="164"/>
      <c r="V914" s="92">
        <f t="shared" si="1627"/>
        <v>0</v>
      </c>
      <c r="W914" s="93" t="s">
        <v>92</v>
      </c>
      <c r="X914" s="94"/>
      <c r="Y914" s="97"/>
      <c r="Z914" s="97"/>
      <c r="AA914" s="97"/>
      <c r="AB914" s="97"/>
      <c r="AC914" s="97"/>
      <c r="AD914" s="97"/>
      <c r="AE914" s="97"/>
      <c r="AF914" s="98"/>
      <c r="AG914" s="98"/>
      <c r="AH914" s="98"/>
      <c r="AI914" s="99"/>
      <c r="AJ914" s="95">
        <f t="shared" si="1628"/>
        <v>0</v>
      </c>
      <c r="AK914" s="96">
        <f t="shared" si="1629"/>
        <v>0</v>
      </c>
    </row>
    <row r="915" spans="1:38" ht="15.6" hidden="1" thickBot="1">
      <c r="A915" s="91"/>
      <c r="B915" s="174"/>
      <c r="C915" s="92"/>
      <c r="D915" s="101">
        <v>2020</v>
      </c>
      <c r="E915" s="102"/>
      <c r="F915" s="124"/>
      <c r="G915" s="124"/>
      <c r="H915" s="124"/>
      <c r="I915" s="124"/>
      <c r="J915" s="124"/>
      <c r="K915" s="124"/>
      <c r="L915" s="124"/>
      <c r="M915" s="125"/>
      <c r="N915" s="125"/>
      <c r="O915" s="125"/>
      <c r="P915" s="126"/>
      <c r="Q915" s="103">
        <f t="shared" si="1625"/>
        <v>0</v>
      </c>
      <c r="R915" s="104">
        <f t="shared" si="1518"/>
        <v>0</v>
      </c>
      <c r="S915" s="105"/>
      <c r="T915" s="91"/>
      <c r="U915" s="174"/>
      <c r="V915" s="92"/>
      <c r="W915" s="101">
        <v>2020</v>
      </c>
      <c r="X915" s="102"/>
      <c r="Y915" s="124"/>
      <c r="Z915" s="124"/>
      <c r="AA915" s="124"/>
      <c r="AB915" s="124"/>
      <c r="AC915" s="124"/>
      <c r="AD915" s="124"/>
      <c r="AE915" s="124"/>
      <c r="AF915" s="125"/>
      <c r="AG915" s="125"/>
      <c r="AH915" s="125"/>
      <c r="AI915" s="126"/>
      <c r="AJ915" s="103">
        <f t="shared" si="1628"/>
        <v>0</v>
      </c>
      <c r="AK915" s="104">
        <f t="shared" si="1629"/>
        <v>0</v>
      </c>
      <c r="AL915" s="105"/>
    </row>
    <row r="916" spans="1:38" ht="15.6" hidden="1" thickBot="1">
      <c r="A916" s="91"/>
      <c r="B916" s="164"/>
      <c r="C916" s="92"/>
      <c r="D916" s="101" t="s">
        <v>102</v>
      </c>
      <c r="E916" s="106" t="e">
        <f t="shared" ref="E916:R916" si="1630">E915/E914</f>
        <v>#DIV/0!</v>
      </c>
      <c r="F916" s="106" t="e">
        <f t="shared" si="1630"/>
        <v>#DIV/0!</v>
      </c>
      <c r="G916" s="106" t="e">
        <f t="shared" si="1630"/>
        <v>#DIV/0!</v>
      </c>
      <c r="H916" s="106" t="e">
        <f t="shared" si="1630"/>
        <v>#DIV/0!</v>
      </c>
      <c r="I916" s="106" t="e">
        <f t="shared" si="1630"/>
        <v>#DIV/0!</v>
      </c>
      <c r="J916" s="106" t="e">
        <f t="shared" si="1630"/>
        <v>#DIV/0!</v>
      </c>
      <c r="K916" s="106" t="e">
        <f t="shared" si="1630"/>
        <v>#DIV/0!</v>
      </c>
      <c r="L916" s="106" t="e">
        <f t="shared" si="1630"/>
        <v>#DIV/0!</v>
      </c>
      <c r="M916" s="107" t="e">
        <f t="shared" si="1630"/>
        <v>#DIV/0!</v>
      </c>
      <c r="N916" s="107" t="e">
        <f t="shared" si="1630"/>
        <v>#DIV/0!</v>
      </c>
      <c r="O916" s="107" t="e">
        <f t="shared" si="1630"/>
        <v>#DIV/0!</v>
      </c>
      <c r="P916" s="108" t="e">
        <f t="shared" si="1630"/>
        <v>#DIV/0!</v>
      </c>
      <c r="Q916" s="109" t="e">
        <f t="shared" si="1630"/>
        <v>#DIV/0!</v>
      </c>
      <c r="R916" s="110" t="e">
        <f t="shared" si="1630"/>
        <v>#DIV/0!</v>
      </c>
      <c r="S916" s="105"/>
      <c r="T916" s="91"/>
      <c r="U916" s="164"/>
      <c r="V916" s="92"/>
      <c r="W916" s="101" t="s">
        <v>102</v>
      </c>
      <c r="X916" s="106" t="e">
        <f t="shared" ref="X916:AK916" si="1631">X915/X914</f>
        <v>#DIV/0!</v>
      </c>
      <c r="Y916" s="106" t="e">
        <f t="shared" si="1631"/>
        <v>#DIV/0!</v>
      </c>
      <c r="Z916" s="106" t="e">
        <f t="shared" si="1631"/>
        <v>#DIV/0!</v>
      </c>
      <c r="AA916" s="106" t="e">
        <f t="shared" si="1631"/>
        <v>#DIV/0!</v>
      </c>
      <c r="AB916" s="106" t="e">
        <f t="shared" si="1631"/>
        <v>#DIV/0!</v>
      </c>
      <c r="AC916" s="106" t="e">
        <f t="shared" si="1631"/>
        <v>#DIV/0!</v>
      </c>
      <c r="AD916" s="106" t="e">
        <f t="shared" si="1631"/>
        <v>#DIV/0!</v>
      </c>
      <c r="AE916" s="106" t="e">
        <f t="shared" si="1631"/>
        <v>#DIV/0!</v>
      </c>
      <c r="AF916" s="107" t="e">
        <f t="shared" si="1631"/>
        <v>#DIV/0!</v>
      </c>
      <c r="AG916" s="107" t="e">
        <f t="shared" si="1631"/>
        <v>#DIV/0!</v>
      </c>
      <c r="AH916" s="107" t="e">
        <f t="shared" si="1631"/>
        <v>#DIV/0!</v>
      </c>
      <c r="AI916" s="108" t="e">
        <f t="shared" si="1631"/>
        <v>#DIV/0!</v>
      </c>
      <c r="AJ916" s="109" t="e">
        <f t="shared" si="1631"/>
        <v>#DIV/0!</v>
      </c>
      <c r="AK916" s="110" t="e">
        <f t="shared" si="1631"/>
        <v>#DIV/0!</v>
      </c>
      <c r="AL916" s="105"/>
    </row>
    <row r="917" spans="1:38" ht="15.6" hidden="1" thickBot="1">
      <c r="A917" s="91"/>
      <c r="B917" s="100"/>
      <c r="C917" s="111"/>
      <c r="D917" s="112" t="s">
        <v>103</v>
      </c>
      <c r="E917" s="113" t="e">
        <f t="shared" ref="E917:R917" si="1632">E915/E913</f>
        <v>#DIV/0!</v>
      </c>
      <c r="F917" s="113" t="e">
        <f t="shared" si="1632"/>
        <v>#DIV/0!</v>
      </c>
      <c r="G917" s="113" t="e">
        <f t="shared" si="1632"/>
        <v>#DIV/0!</v>
      </c>
      <c r="H917" s="113" t="e">
        <f t="shared" si="1632"/>
        <v>#DIV/0!</v>
      </c>
      <c r="I917" s="113" t="e">
        <f t="shared" si="1632"/>
        <v>#DIV/0!</v>
      </c>
      <c r="J917" s="113" t="e">
        <f t="shared" si="1632"/>
        <v>#DIV/0!</v>
      </c>
      <c r="K917" s="113" t="e">
        <f t="shared" si="1632"/>
        <v>#DIV/0!</v>
      </c>
      <c r="L917" s="113" t="e">
        <f t="shared" si="1632"/>
        <v>#DIV/0!</v>
      </c>
      <c r="M917" s="113" t="e">
        <f t="shared" si="1632"/>
        <v>#DIV/0!</v>
      </c>
      <c r="N917" s="113" t="e">
        <f t="shared" si="1632"/>
        <v>#DIV/0!</v>
      </c>
      <c r="O917" s="113" t="e">
        <f t="shared" si="1632"/>
        <v>#DIV/0!</v>
      </c>
      <c r="P917" s="114" t="e">
        <f t="shared" si="1632"/>
        <v>#DIV/0!</v>
      </c>
      <c r="Q917" s="115" t="e">
        <f t="shared" si="1632"/>
        <v>#DIV/0!</v>
      </c>
      <c r="R917" s="116" t="e">
        <f t="shared" si="1632"/>
        <v>#DIV/0!</v>
      </c>
      <c r="T917" s="91"/>
      <c r="U917" s="100"/>
      <c r="V917" s="111"/>
      <c r="W917" s="112" t="s">
        <v>103</v>
      </c>
      <c r="X917" s="113" t="e">
        <f t="shared" ref="X917:AK917" si="1633">X915/X913</f>
        <v>#DIV/0!</v>
      </c>
      <c r="Y917" s="113" t="e">
        <f t="shared" si="1633"/>
        <v>#DIV/0!</v>
      </c>
      <c r="Z917" s="113" t="e">
        <f t="shared" si="1633"/>
        <v>#DIV/0!</v>
      </c>
      <c r="AA917" s="113" t="e">
        <f t="shared" si="1633"/>
        <v>#DIV/0!</v>
      </c>
      <c r="AB917" s="113" t="e">
        <f t="shared" si="1633"/>
        <v>#DIV/0!</v>
      </c>
      <c r="AC917" s="113" t="e">
        <f t="shared" si="1633"/>
        <v>#DIV/0!</v>
      </c>
      <c r="AD917" s="113" t="e">
        <f t="shared" si="1633"/>
        <v>#DIV/0!</v>
      </c>
      <c r="AE917" s="113" t="e">
        <f t="shared" si="1633"/>
        <v>#DIV/0!</v>
      </c>
      <c r="AF917" s="113" t="e">
        <f t="shared" si="1633"/>
        <v>#DIV/0!</v>
      </c>
      <c r="AG917" s="113" t="e">
        <f t="shared" si="1633"/>
        <v>#DIV/0!</v>
      </c>
      <c r="AH917" s="113" t="e">
        <f t="shared" si="1633"/>
        <v>#DIV/0!</v>
      </c>
      <c r="AI917" s="114" t="e">
        <f t="shared" si="1633"/>
        <v>#DIV/0!</v>
      </c>
      <c r="AJ917" s="115" t="e">
        <f t="shared" si="1633"/>
        <v>#DIV/0!</v>
      </c>
      <c r="AK917" s="116" t="e">
        <f t="shared" si="1633"/>
        <v>#DIV/0!</v>
      </c>
    </row>
    <row r="918" spans="1:38" ht="15.6" hidden="1" thickBot="1">
      <c r="A918" s="91"/>
      <c r="B918" s="100"/>
      <c r="C918" s="86"/>
      <c r="D918" s="87">
        <v>2019</v>
      </c>
      <c r="E918" s="88"/>
      <c r="F918" s="121"/>
      <c r="G918" s="121"/>
      <c r="H918" s="121"/>
      <c r="I918" s="121"/>
      <c r="J918" s="121"/>
      <c r="K918" s="121"/>
      <c r="L918" s="121"/>
      <c r="M918" s="122"/>
      <c r="N918" s="122"/>
      <c r="O918" s="122"/>
      <c r="P918" s="123"/>
      <c r="Q918" s="89">
        <f t="shared" ref="Q918:Q920" si="1634">SUM(E918:P918)</f>
        <v>0</v>
      </c>
      <c r="R918" s="90">
        <f t="shared" ref="R918:R980" si="1635">SUM(E918:M918)</f>
        <v>0</v>
      </c>
      <c r="T918" s="91"/>
      <c r="U918" s="100"/>
      <c r="V918" s="86">
        <f t="shared" ref="V918:V919" si="1636">C918</f>
        <v>0</v>
      </c>
      <c r="W918" s="87">
        <v>2019</v>
      </c>
      <c r="X918" s="88"/>
      <c r="Y918" s="121"/>
      <c r="Z918" s="121"/>
      <c r="AA918" s="121"/>
      <c r="AB918" s="121"/>
      <c r="AC918" s="121"/>
      <c r="AD918" s="121"/>
      <c r="AE918" s="121"/>
      <c r="AF918" s="122"/>
      <c r="AG918" s="122"/>
      <c r="AH918" s="122"/>
      <c r="AI918" s="123"/>
      <c r="AJ918" s="89">
        <f t="shared" ref="AJ918:AJ920" si="1637">SUM(X918:AI918)</f>
        <v>0</v>
      </c>
      <c r="AK918" s="90">
        <f t="shared" ref="AK918:AK920" si="1638">SUM(X918:AF918)</f>
        <v>0</v>
      </c>
    </row>
    <row r="919" spans="1:38" ht="15.6" hidden="1" thickBot="1">
      <c r="A919" s="91"/>
      <c r="B919" s="100"/>
      <c r="C919" s="92"/>
      <c r="D919" s="93" t="s">
        <v>92</v>
      </c>
      <c r="E919" s="94"/>
      <c r="F919" s="97"/>
      <c r="G919" s="97"/>
      <c r="H919" s="97"/>
      <c r="I919" s="97"/>
      <c r="J919" s="97"/>
      <c r="K919" s="97"/>
      <c r="L919" s="97"/>
      <c r="M919" s="98"/>
      <c r="N919" s="98"/>
      <c r="O919" s="98"/>
      <c r="P919" s="99"/>
      <c r="Q919" s="95">
        <f t="shared" si="1634"/>
        <v>0</v>
      </c>
      <c r="R919" s="96">
        <f t="shared" si="1635"/>
        <v>0</v>
      </c>
      <c r="T919" s="91"/>
      <c r="U919" s="100"/>
      <c r="V919" s="92">
        <f t="shared" si="1636"/>
        <v>0</v>
      </c>
      <c r="W919" s="93" t="s">
        <v>92</v>
      </c>
      <c r="X919" s="94"/>
      <c r="Y919" s="97"/>
      <c r="Z919" s="97"/>
      <c r="AA919" s="97"/>
      <c r="AB919" s="97"/>
      <c r="AC919" s="97"/>
      <c r="AD919" s="97"/>
      <c r="AE919" s="97"/>
      <c r="AF919" s="98"/>
      <c r="AG919" s="98"/>
      <c r="AH919" s="98"/>
      <c r="AI919" s="99"/>
      <c r="AJ919" s="95">
        <f t="shared" si="1637"/>
        <v>0</v>
      </c>
      <c r="AK919" s="96">
        <f t="shared" si="1638"/>
        <v>0</v>
      </c>
    </row>
    <row r="920" spans="1:38" ht="15.6" hidden="1" thickBot="1">
      <c r="A920" s="91"/>
      <c r="B920" s="100"/>
      <c r="C920" s="92"/>
      <c r="D920" s="101">
        <v>2020</v>
      </c>
      <c r="E920" s="102"/>
      <c r="F920" s="124"/>
      <c r="G920" s="124"/>
      <c r="H920" s="124"/>
      <c r="I920" s="124"/>
      <c r="J920" s="124"/>
      <c r="K920" s="124"/>
      <c r="L920" s="124"/>
      <c r="M920" s="125"/>
      <c r="N920" s="125"/>
      <c r="O920" s="125"/>
      <c r="P920" s="126"/>
      <c r="Q920" s="103">
        <f t="shared" si="1634"/>
        <v>0</v>
      </c>
      <c r="R920" s="104">
        <f t="shared" si="1635"/>
        <v>0</v>
      </c>
      <c r="S920" s="105"/>
      <c r="T920" s="91"/>
      <c r="U920" s="100"/>
      <c r="V920" s="92"/>
      <c r="W920" s="101">
        <v>2020</v>
      </c>
      <c r="X920" s="102"/>
      <c r="Y920" s="124"/>
      <c r="Z920" s="124"/>
      <c r="AA920" s="124"/>
      <c r="AB920" s="124"/>
      <c r="AC920" s="124"/>
      <c r="AD920" s="124"/>
      <c r="AE920" s="124"/>
      <c r="AF920" s="125"/>
      <c r="AG920" s="125"/>
      <c r="AH920" s="125"/>
      <c r="AI920" s="126"/>
      <c r="AJ920" s="103">
        <f t="shared" si="1637"/>
        <v>0</v>
      </c>
      <c r="AK920" s="104">
        <f t="shared" si="1638"/>
        <v>0</v>
      </c>
      <c r="AL920" s="105"/>
    </row>
    <row r="921" spans="1:38" ht="15.6" hidden="1" thickBot="1">
      <c r="A921" s="91"/>
      <c r="B921" s="100"/>
      <c r="C921" s="92"/>
      <c r="D921" s="101" t="s">
        <v>102</v>
      </c>
      <c r="E921" s="106" t="e">
        <f t="shared" ref="E921:R921" si="1639">E920/E919</f>
        <v>#DIV/0!</v>
      </c>
      <c r="F921" s="106" t="e">
        <f t="shared" si="1639"/>
        <v>#DIV/0!</v>
      </c>
      <c r="G921" s="106" t="e">
        <f t="shared" si="1639"/>
        <v>#DIV/0!</v>
      </c>
      <c r="H921" s="106" t="e">
        <f t="shared" si="1639"/>
        <v>#DIV/0!</v>
      </c>
      <c r="I921" s="106" t="e">
        <f t="shared" si="1639"/>
        <v>#DIV/0!</v>
      </c>
      <c r="J921" s="106" t="e">
        <f t="shared" si="1639"/>
        <v>#DIV/0!</v>
      </c>
      <c r="K921" s="106" t="e">
        <f t="shared" si="1639"/>
        <v>#DIV/0!</v>
      </c>
      <c r="L921" s="106" t="e">
        <f t="shared" si="1639"/>
        <v>#DIV/0!</v>
      </c>
      <c r="M921" s="107" t="e">
        <f t="shared" si="1639"/>
        <v>#DIV/0!</v>
      </c>
      <c r="N921" s="107" t="e">
        <f t="shared" si="1639"/>
        <v>#DIV/0!</v>
      </c>
      <c r="O921" s="107" t="e">
        <f t="shared" si="1639"/>
        <v>#DIV/0!</v>
      </c>
      <c r="P921" s="108" t="e">
        <f t="shared" si="1639"/>
        <v>#DIV/0!</v>
      </c>
      <c r="Q921" s="109" t="e">
        <f t="shared" si="1639"/>
        <v>#DIV/0!</v>
      </c>
      <c r="R921" s="110" t="e">
        <f t="shared" si="1639"/>
        <v>#DIV/0!</v>
      </c>
      <c r="S921" s="105"/>
      <c r="T921" s="91"/>
      <c r="U921" s="100"/>
      <c r="V921" s="92"/>
      <c r="W921" s="101" t="s">
        <v>102</v>
      </c>
      <c r="X921" s="106" t="e">
        <f t="shared" ref="X921:AK921" si="1640">X920/X919</f>
        <v>#DIV/0!</v>
      </c>
      <c r="Y921" s="106" t="e">
        <f t="shared" si="1640"/>
        <v>#DIV/0!</v>
      </c>
      <c r="Z921" s="106" t="e">
        <f t="shared" si="1640"/>
        <v>#DIV/0!</v>
      </c>
      <c r="AA921" s="106" t="e">
        <f t="shared" si="1640"/>
        <v>#DIV/0!</v>
      </c>
      <c r="AB921" s="106" t="e">
        <f t="shared" si="1640"/>
        <v>#DIV/0!</v>
      </c>
      <c r="AC921" s="106" t="e">
        <f t="shared" si="1640"/>
        <v>#DIV/0!</v>
      </c>
      <c r="AD921" s="106" t="e">
        <f t="shared" si="1640"/>
        <v>#DIV/0!</v>
      </c>
      <c r="AE921" s="106" t="e">
        <f t="shared" si="1640"/>
        <v>#DIV/0!</v>
      </c>
      <c r="AF921" s="107" t="e">
        <f t="shared" si="1640"/>
        <v>#DIV/0!</v>
      </c>
      <c r="AG921" s="107" t="e">
        <f t="shared" si="1640"/>
        <v>#DIV/0!</v>
      </c>
      <c r="AH921" s="107" t="e">
        <f t="shared" si="1640"/>
        <v>#DIV/0!</v>
      </c>
      <c r="AI921" s="108" t="e">
        <f t="shared" si="1640"/>
        <v>#DIV/0!</v>
      </c>
      <c r="AJ921" s="109" t="e">
        <f t="shared" si="1640"/>
        <v>#DIV/0!</v>
      </c>
      <c r="AK921" s="110" t="e">
        <f t="shared" si="1640"/>
        <v>#DIV/0!</v>
      </c>
      <c r="AL921" s="105"/>
    </row>
    <row r="922" spans="1:38" ht="15.6" hidden="1" thickBot="1">
      <c r="A922" s="91"/>
      <c r="B922" s="100"/>
      <c r="C922" s="111"/>
      <c r="D922" s="112" t="s">
        <v>103</v>
      </c>
      <c r="E922" s="113" t="e">
        <f t="shared" ref="E922:R922" si="1641">E920/E918</f>
        <v>#DIV/0!</v>
      </c>
      <c r="F922" s="113" t="e">
        <f t="shared" si="1641"/>
        <v>#DIV/0!</v>
      </c>
      <c r="G922" s="113" t="e">
        <f t="shared" si="1641"/>
        <v>#DIV/0!</v>
      </c>
      <c r="H922" s="113" t="e">
        <f t="shared" si="1641"/>
        <v>#DIV/0!</v>
      </c>
      <c r="I922" s="113" t="e">
        <f t="shared" si="1641"/>
        <v>#DIV/0!</v>
      </c>
      <c r="J922" s="113" t="e">
        <f t="shared" si="1641"/>
        <v>#DIV/0!</v>
      </c>
      <c r="K922" s="113" t="e">
        <f t="shared" si="1641"/>
        <v>#DIV/0!</v>
      </c>
      <c r="L922" s="113" t="e">
        <f t="shared" si="1641"/>
        <v>#DIV/0!</v>
      </c>
      <c r="M922" s="113" t="e">
        <f t="shared" si="1641"/>
        <v>#DIV/0!</v>
      </c>
      <c r="N922" s="113" t="e">
        <f t="shared" si="1641"/>
        <v>#DIV/0!</v>
      </c>
      <c r="O922" s="113" t="e">
        <f t="shared" si="1641"/>
        <v>#DIV/0!</v>
      </c>
      <c r="P922" s="114" t="e">
        <f t="shared" si="1641"/>
        <v>#DIV/0!</v>
      </c>
      <c r="Q922" s="115" t="e">
        <f t="shared" si="1641"/>
        <v>#DIV/0!</v>
      </c>
      <c r="R922" s="116" t="e">
        <f t="shared" si="1641"/>
        <v>#DIV/0!</v>
      </c>
      <c r="T922" s="91"/>
      <c r="U922" s="100"/>
      <c r="V922" s="111"/>
      <c r="W922" s="112" t="s">
        <v>103</v>
      </c>
      <c r="X922" s="113" t="e">
        <f t="shared" ref="X922:AK922" si="1642">X920/X918</f>
        <v>#DIV/0!</v>
      </c>
      <c r="Y922" s="113" t="e">
        <f t="shared" si="1642"/>
        <v>#DIV/0!</v>
      </c>
      <c r="Z922" s="113" t="e">
        <f t="shared" si="1642"/>
        <v>#DIV/0!</v>
      </c>
      <c r="AA922" s="113" t="e">
        <f t="shared" si="1642"/>
        <v>#DIV/0!</v>
      </c>
      <c r="AB922" s="113" t="e">
        <f t="shared" si="1642"/>
        <v>#DIV/0!</v>
      </c>
      <c r="AC922" s="113" t="e">
        <f t="shared" si="1642"/>
        <v>#DIV/0!</v>
      </c>
      <c r="AD922" s="113" t="e">
        <f t="shared" si="1642"/>
        <v>#DIV/0!</v>
      </c>
      <c r="AE922" s="113" t="e">
        <f t="shared" si="1642"/>
        <v>#DIV/0!</v>
      </c>
      <c r="AF922" s="113" t="e">
        <f t="shared" si="1642"/>
        <v>#DIV/0!</v>
      </c>
      <c r="AG922" s="113" t="e">
        <f t="shared" si="1642"/>
        <v>#DIV/0!</v>
      </c>
      <c r="AH922" s="113" t="e">
        <f t="shared" si="1642"/>
        <v>#DIV/0!</v>
      </c>
      <c r="AI922" s="114" t="e">
        <f t="shared" si="1642"/>
        <v>#DIV/0!</v>
      </c>
      <c r="AJ922" s="115" t="e">
        <f t="shared" si="1642"/>
        <v>#DIV/0!</v>
      </c>
      <c r="AK922" s="116" t="e">
        <f t="shared" si="1642"/>
        <v>#DIV/0!</v>
      </c>
    </row>
    <row r="923" spans="1:38" ht="15.6" hidden="1" thickBot="1">
      <c r="A923" s="91"/>
      <c r="B923" s="100"/>
      <c r="C923" s="86"/>
      <c r="D923" s="87">
        <v>2019</v>
      </c>
      <c r="E923" s="88"/>
      <c r="F923" s="121"/>
      <c r="G923" s="121"/>
      <c r="H923" s="121"/>
      <c r="I923" s="121"/>
      <c r="J923" s="121"/>
      <c r="K923" s="121"/>
      <c r="L923" s="121"/>
      <c r="M923" s="122"/>
      <c r="N923" s="122"/>
      <c r="O923" s="122"/>
      <c r="P923" s="123"/>
      <c r="Q923" s="89">
        <f t="shared" ref="Q923:Q925" si="1643">SUM(E923:P923)</f>
        <v>0</v>
      </c>
      <c r="R923" s="90">
        <f t="shared" ref="R923" si="1644">SUM(E923:M923)</f>
        <v>0</v>
      </c>
      <c r="T923" s="91"/>
      <c r="U923" s="100"/>
      <c r="V923" s="86">
        <f t="shared" ref="V923:V924" si="1645">C923</f>
        <v>0</v>
      </c>
      <c r="W923" s="87">
        <v>2019</v>
      </c>
      <c r="X923" s="88"/>
      <c r="Y923" s="121"/>
      <c r="Z923" s="121"/>
      <c r="AA923" s="121"/>
      <c r="AB923" s="121"/>
      <c r="AC923" s="121"/>
      <c r="AD923" s="121"/>
      <c r="AE923" s="121"/>
      <c r="AF923" s="122"/>
      <c r="AG923" s="122"/>
      <c r="AH923" s="122"/>
      <c r="AI923" s="123"/>
      <c r="AJ923" s="89">
        <f t="shared" ref="AJ923:AJ925" si="1646">SUM(X923:AI923)</f>
        <v>0</v>
      </c>
      <c r="AK923" s="90">
        <f t="shared" ref="AK923:AK925" si="1647">SUM(X923:AF923)</f>
        <v>0</v>
      </c>
    </row>
    <row r="924" spans="1:38" ht="15.6" hidden="1" thickBot="1">
      <c r="A924" s="91"/>
      <c r="B924" s="100"/>
      <c r="C924" s="92"/>
      <c r="D924" s="93" t="s">
        <v>92</v>
      </c>
      <c r="E924" s="94"/>
      <c r="F924" s="97"/>
      <c r="G924" s="97"/>
      <c r="H924" s="97"/>
      <c r="I924" s="97"/>
      <c r="J924" s="97"/>
      <c r="K924" s="97"/>
      <c r="L924" s="97"/>
      <c r="M924" s="98"/>
      <c r="N924" s="98"/>
      <c r="O924" s="98"/>
      <c r="P924" s="99"/>
      <c r="Q924" s="95">
        <f t="shared" si="1643"/>
        <v>0</v>
      </c>
      <c r="R924" s="96">
        <f t="shared" si="1635"/>
        <v>0</v>
      </c>
      <c r="T924" s="91"/>
      <c r="U924" s="100"/>
      <c r="V924" s="92">
        <f t="shared" si="1645"/>
        <v>0</v>
      </c>
      <c r="W924" s="93" t="s">
        <v>92</v>
      </c>
      <c r="X924" s="94"/>
      <c r="Y924" s="97"/>
      <c r="Z924" s="97"/>
      <c r="AA924" s="97"/>
      <c r="AB924" s="97"/>
      <c r="AC924" s="97"/>
      <c r="AD924" s="97"/>
      <c r="AE924" s="97"/>
      <c r="AF924" s="98"/>
      <c r="AG924" s="98"/>
      <c r="AH924" s="98"/>
      <c r="AI924" s="99"/>
      <c r="AJ924" s="95">
        <f t="shared" si="1646"/>
        <v>0</v>
      </c>
      <c r="AK924" s="96">
        <f t="shared" si="1647"/>
        <v>0</v>
      </c>
    </row>
    <row r="925" spans="1:38" ht="15.6" hidden="1" thickBot="1">
      <c r="A925" s="91"/>
      <c r="B925" s="100"/>
      <c r="C925" s="92"/>
      <c r="D925" s="101">
        <v>2020</v>
      </c>
      <c r="E925" s="102"/>
      <c r="F925" s="124"/>
      <c r="G925" s="124"/>
      <c r="H925" s="124"/>
      <c r="I925" s="124"/>
      <c r="J925" s="124"/>
      <c r="K925" s="124"/>
      <c r="L925" s="124"/>
      <c r="M925" s="125"/>
      <c r="N925" s="125"/>
      <c r="O925" s="125"/>
      <c r="P925" s="126"/>
      <c r="Q925" s="103">
        <f t="shared" si="1643"/>
        <v>0</v>
      </c>
      <c r="R925" s="104">
        <f t="shared" si="1635"/>
        <v>0</v>
      </c>
      <c r="S925" s="105"/>
      <c r="T925" s="91"/>
      <c r="U925" s="100"/>
      <c r="V925" s="92"/>
      <c r="W925" s="101">
        <v>2020</v>
      </c>
      <c r="X925" s="102"/>
      <c r="Y925" s="124"/>
      <c r="Z925" s="124"/>
      <c r="AA925" s="124"/>
      <c r="AB925" s="124"/>
      <c r="AC925" s="124"/>
      <c r="AD925" s="124"/>
      <c r="AE925" s="124"/>
      <c r="AF925" s="125"/>
      <c r="AG925" s="125"/>
      <c r="AH925" s="125"/>
      <c r="AI925" s="126"/>
      <c r="AJ925" s="103">
        <f t="shared" si="1646"/>
        <v>0</v>
      </c>
      <c r="AK925" s="104">
        <f t="shared" si="1647"/>
        <v>0</v>
      </c>
      <c r="AL925" s="105"/>
    </row>
    <row r="926" spans="1:38" ht="15.6" hidden="1" thickBot="1">
      <c r="A926" s="91"/>
      <c r="B926" s="100"/>
      <c r="C926" s="92"/>
      <c r="D926" s="101" t="s">
        <v>102</v>
      </c>
      <c r="E926" s="106" t="e">
        <f t="shared" ref="E926:R926" si="1648">E925/E924</f>
        <v>#DIV/0!</v>
      </c>
      <c r="F926" s="106" t="e">
        <f t="shared" si="1648"/>
        <v>#DIV/0!</v>
      </c>
      <c r="G926" s="106" t="e">
        <f t="shared" si="1648"/>
        <v>#DIV/0!</v>
      </c>
      <c r="H926" s="106" t="e">
        <f t="shared" si="1648"/>
        <v>#DIV/0!</v>
      </c>
      <c r="I926" s="106" t="e">
        <f t="shared" si="1648"/>
        <v>#DIV/0!</v>
      </c>
      <c r="J926" s="106" t="e">
        <f t="shared" si="1648"/>
        <v>#DIV/0!</v>
      </c>
      <c r="K926" s="106" t="e">
        <f t="shared" si="1648"/>
        <v>#DIV/0!</v>
      </c>
      <c r="L926" s="106" t="e">
        <f t="shared" si="1648"/>
        <v>#DIV/0!</v>
      </c>
      <c r="M926" s="107" t="e">
        <f t="shared" si="1648"/>
        <v>#DIV/0!</v>
      </c>
      <c r="N926" s="107" t="e">
        <f t="shared" si="1648"/>
        <v>#DIV/0!</v>
      </c>
      <c r="O926" s="107" t="e">
        <f t="shared" si="1648"/>
        <v>#DIV/0!</v>
      </c>
      <c r="P926" s="108" t="e">
        <f t="shared" si="1648"/>
        <v>#DIV/0!</v>
      </c>
      <c r="Q926" s="109" t="e">
        <f t="shared" si="1648"/>
        <v>#DIV/0!</v>
      </c>
      <c r="R926" s="110" t="e">
        <f t="shared" si="1648"/>
        <v>#DIV/0!</v>
      </c>
      <c r="S926" s="105"/>
      <c r="T926" s="91"/>
      <c r="U926" s="100"/>
      <c r="V926" s="92"/>
      <c r="W926" s="101" t="s">
        <v>102</v>
      </c>
      <c r="X926" s="106" t="e">
        <f t="shared" ref="X926:AK926" si="1649">X925/X924</f>
        <v>#DIV/0!</v>
      </c>
      <c r="Y926" s="106" t="e">
        <f t="shared" si="1649"/>
        <v>#DIV/0!</v>
      </c>
      <c r="Z926" s="106" t="e">
        <f t="shared" si="1649"/>
        <v>#DIV/0!</v>
      </c>
      <c r="AA926" s="106" t="e">
        <f t="shared" si="1649"/>
        <v>#DIV/0!</v>
      </c>
      <c r="AB926" s="106" t="e">
        <f t="shared" si="1649"/>
        <v>#DIV/0!</v>
      </c>
      <c r="AC926" s="106" t="e">
        <f t="shared" si="1649"/>
        <v>#DIV/0!</v>
      </c>
      <c r="AD926" s="106" t="e">
        <f t="shared" si="1649"/>
        <v>#DIV/0!</v>
      </c>
      <c r="AE926" s="106" t="e">
        <f t="shared" si="1649"/>
        <v>#DIV/0!</v>
      </c>
      <c r="AF926" s="107" t="e">
        <f t="shared" si="1649"/>
        <v>#DIV/0!</v>
      </c>
      <c r="AG926" s="107" t="e">
        <f t="shared" si="1649"/>
        <v>#DIV/0!</v>
      </c>
      <c r="AH926" s="107" t="e">
        <f t="shared" si="1649"/>
        <v>#DIV/0!</v>
      </c>
      <c r="AI926" s="108" t="e">
        <f t="shared" si="1649"/>
        <v>#DIV/0!</v>
      </c>
      <c r="AJ926" s="109" t="e">
        <f t="shared" si="1649"/>
        <v>#DIV/0!</v>
      </c>
      <c r="AK926" s="110" t="e">
        <f t="shared" si="1649"/>
        <v>#DIV/0!</v>
      </c>
      <c r="AL926" s="105"/>
    </row>
    <row r="927" spans="1:38" ht="15.6" hidden="1" thickBot="1">
      <c r="A927" s="91"/>
      <c r="B927" s="100"/>
      <c r="C927" s="111"/>
      <c r="D927" s="112" t="s">
        <v>103</v>
      </c>
      <c r="E927" s="113" t="e">
        <f t="shared" ref="E927:R927" si="1650">E925/E923</f>
        <v>#DIV/0!</v>
      </c>
      <c r="F927" s="113" t="e">
        <f t="shared" si="1650"/>
        <v>#DIV/0!</v>
      </c>
      <c r="G927" s="113" t="e">
        <f t="shared" si="1650"/>
        <v>#DIV/0!</v>
      </c>
      <c r="H927" s="113" t="e">
        <f t="shared" si="1650"/>
        <v>#DIV/0!</v>
      </c>
      <c r="I927" s="113" t="e">
        <f t="shared" si="1650"/>
        <v>#DIV/0!</v>
      </c>
      <c r="J927" s="113" t="e">
        <f t="shared" si="1650"/>
        <v>#DIV/0!</v>
      </c>
      <c r="K927" s="113" t="e">
        <f t="shared" si="1650"/>
        <v>#DIV/0!</v>
      </c>
      <c r="L927" s="113" t="e">
        <f t="shared" si="1650"/>
        <v>#DIV/0!</v>
      </c>
      <c r="M927" s="113" t="e">
        <f t="shared" si="1650"/>
        <v>#DIV/0!</v>
      </c>
      <c r="N927" s="113" t="e">
        <f t="shared" si="1650"/>
        <v>#DIV/0!</v>
      </c>
      <c r="O927" s="113" t="e">
        <f t="shared" si="1650"/>
        <v>#DIV/0!</v>
      </c>
      <c r="P927" s="114" t="e">
        <f t="shared" si="1650"/>
        <v>#DIV/0!</v>
      </c>
      <c r="Q927" s="115" t="e">
        <f t="shared" si="1650"/>
        <v>#DIV/0!</v>
      </c>
      <c r="R927" s="116" t="e">
        <f t="shared" si="1650"/>
        <v>#DIV/0!</v>
      </c>
      <c r="T927" s="91"/>
      <c r="U927" s="100"/>
      <c r="V927" s="111"/>
      <c r="W927" s="112" t="s">
        <v>103</v>
      </c>
      <c r="X927" s="113" t="e">
        <f t="shared" ref="X927:AK927" si="1651">X925/X923</f>
        <v>#DIV/0!</v>
      </c>
      <c r="Y927" s="113" t="e">
        <f t="shared" si="1651"/>
        <v>#DIV/0!</v>
      </c>
      <c r="Z927" s="113" t="e">
        <f t="shared" si="1651"/>
        <v>#DIV/0!</v>
      </c>
      <c r="AA927" s="113" t="e">
        <f t="shared" si="1651"/>
        <v>#DIV/0!</v>
      </c>
      <c r="AB927" s="113" t="e">
        <f t="shared" si="1651"/>
        <v>#DIV/0!</v>
      </c>
      <c r="AC927" s="113" t="e">
        <f t="shared" si="1651"/>
        <v>#DIV/0!</v>
      </c>
      <c r="AD927" s="113" t="e">
        <f t="shared" si="1651"/>
        <v>#DIV/0!</v>
      </c>
      <c r="AE927" s="113" t="e">
        <f t="shared" si="1651"/>
        <v>#DIV/0!</v>
      </c>
      <c r="AF927" s="113" t="e">
        <f t="shared" si="1651"/>
        <v>#DIV/0!</v>
      </c>
      <c r="AG927" s="113" t="e">
        <f t="shared" si="1651"/>
        <v>#DIV/0!</v>
      </c>
      <c r="AH927" s="113" t="e">
        <f t="shared" si="1651"/>
        <v>#DIV/0!</v>
      </c>
      <c r="AI927" s="114" t="e">
        <f t="shared" si="1651"/>
        <v>#DIV/0!</v>
      </c>
      <c r="AJ927" s="115" t="e">
        <f t="shared" si="1651"/>
        <v>#DIV/0!</v>
      </c>
      <c r="AK927" s="116" t="e">
        <f t="shared" si="1651"/>
        <v>#DIV/0!</v>
      </c>
    </row>
    <row r="928" spans="1:38" ht="15.6" hidden="1" thickBot="1">
      <c r="A928" s="91"/>
      <c r="B928" s="100"/>
      <c r="C928" s="86"/>
      <c r="D928" s="87">
        <v>2019</v>
      </c>
      <c r="E928" s="88"/>
      <c r="F928" s="121"/>
      <c r="G928" s="121"/>
      <c r="H928" s="121"/>
      <c r="I928" s="121"/>
      <c r="J928" s="121"/>
      <c r="K928" s="121"/>
      <c r="L928" s="121"/>
      <c r="M928" s="122"/>
      <c r="N928" s="122"/>
      <c r="O928" s="122"/>
      <c r="P928" s="123"/>
      <c r="Q928" s="89">
        <f t="shared" ref="Q928:Q930" si="1652">SUM(E928:P928)</f>
        <v>0</v>
      </c>
      <c r="R928" s="90">
        <f t="shared" ref="R928" si="1653">SUM(E928:M928)</f>
        <v>0</v>
      </c>
      <c r="T928" s="91"/>
      <c r="U928" s="100"/>
      <c r="V928" s="86">
        <f t="shared" ref="V928:V929" si="1654">C928</f>
        <v>0</v>
      </c>
      <c r="W928" s="87">
        <v>2019</v>
      </c>
      <c r="X928" s="88"/>
      <c r="Y928" s="121"/>
      <c r="Z928" s="121"/>
      <c r="AA928" s="121"/>
      <c r="AB928" s="121"/>
      <c r="AC928" s="121"/>
      <c r="AD928" s="121"/>
      <c r="AE928" s="121"/>
      <c r="AF928" s="122"/>
      <c r="AG928" s="122"/>
      <c r="AH928" s="122"/>
      <c r="AI928" s="123"/>
      <c r="AJ928" s="89">
        <f t="shared" ref="AJ928:AJ930" si="1655">SUM(X928:AI928)</f>
        <v>0</v>
      </c>
      <c r="AK928" s="90">
        <f t="shared" ref="AK928:AK930" si="1656">SUM(X928:AF928)</f>
        <v>0</v>
      </c>
    </row>
    <row r="929" spans="1:38" ht="15.6" hidden="1" thickBot="1">
      <c r="A929" s="91"/>
      <c r="B929" s="100"/>
      <c r="C929" s="92"/>
      <c r="D929" s="93" t="s">
        <v>92</v>
      </c>
      <c r="E929" s="94"/>
      <c r="F929" s="97"/>
      <c r="G929" s="97"/>
      <c r="H929" s="97"/>
      <c r="I929" s="97"/>
      <c r="J929" s="97"/>
      <c r="K929" s="97"/>
      <c r="L929" s="97"/>
      <c r="M929" s="98"/>
      <c r="N929" s="98"/>
      <c r="O929" s="98"/>
      <c r="P929" s="99"/>
      <c r="Q929" s="95">
        <f t="shared" si="1652"/>
        <v>0</v>
      </c>
      <c r="R929" s="96">
        <f t="shared" si="1635"/>
        <v>0</v>
      </c>
      <c r="T929" s="91"/>
      <c r="U929" s="100"/>
      <c r="V929" s="92">
        <f t="shared" si="1654"/>
        <v>0</v>
      </c>
      <c r="W929" s="93" t="s">
        <v>92</v>
      </c>
      <c r="X929" s="94"/>
      <c r="Y929" s="97"/>
      <c r="Z929" s="97"/>
      <c r="AA929" s="97"/>
      <c r="AB929" s="97"/>
      <c r="AC929" s="97"/>
      <c r="AD929" s="97"/>
      <c r="AE929" s="97"/>
      <c r="AF929" s="98"/>
      <c r="AG929" s="98"/>
      <c r="AH929" s="98"/>
      <c r="AI929" s="99"/>
      <c r="AJ929" s="95">
        <f t="shared" si="1655"/>
        <v>0</v>
      </c>
      <c r="AK929" s="96">
        <f t="shared" si="1656"/>
        <v>0</v>
      </c>
    </row>
    <row r="930" spans="1:38" ht="15.6" hidden="1" thickBot="1">
      <c r="A930" s="91"/>
      <c r="B930" s="100"/>
      <c r="C930" s="92"/>
      <c r="D930" s="101">
        <v>2020</v>
      </c>
      <c r="E930" s="102"/>
      <c r="F930" s="124"/>
      <c r="G930" s="124"/>
      <c r="H930" s="124"/>
      <c r="I930" s="124"/>
      <c r="J930" s="124"/>
      <c r="K930" s="124"/>
      <c r="L930" s="124"/>
      <c r="M930" s="125"/>
      <c r="N930" s="125"/>
      <c r="O930" s="125"/>
      <c r="P930" s="126"/>
      <c r="Q930" s="103">
        <f t="shared" si="1652"/>
        <v>0</v>
      </c>
      <c r="R930" s="104">
        <f t="shared" si="1635"/>
        <v>0</v>
      </c>
      <c r="S930" s="105"/>
      <c r="T930" s="91"/>
      <c r="U930" s="100"/>
      <c r="V930" s="92"/>
      <c r="W930" s="101">
        <v>2020</v>
      </c>
      <c r="X930" s="102"/>
      <c r="Y930" s="124"/>
      <c r="Z930" s="124"/>
      <c r="AA930" s="124"/>
      <c r="AB930" s="124"/>
      <c r="AC930" s="124"/>
      <c r="AD930" s="124"/>
      <c r="AE930" s="124"/>
      <c r="AF930" s="125"/>
      <c r="AG930" s="125"/>
      <c r="AH930" s="125"/>
      <c r="AI930" s="126"/>
      <c r="AJ930" s="103">
        <f t="shared" si="1655"/>
        <v>0</v>
      </c>
      <c r="AK930" s="104">
        <f t="shared" si="1656"/>
        <v>0</v>
      </c>
      <c r="AL930" s="105"/>
    </row>
    <row r="931" spans="1:38" ht="15.6" hidden="1" thickBot="1">
      <c r="A931" s="91"/>
      <c r="B931" s="100"/>
      <c r="C931" s="92"/>
      <c r="D931" s="101" t="s">
        <v>102</v>
      </c>
      <c r="E931" s="106" t="e">
        <f t="shared" ref="E931:R931" si="1657">E930/E929</f>
        <v>#DIV/0!</v>
      </c>
      <c r="F931" s="106" t="e">
        <f t="shared" si="1657"/>
        <v>#DIV/0!</v>
      </c>
      <c r="G931" s="106" t="e">
        <f t="shared" si="1657"/>
        <v>#DIV/0!</v>
      </c>
      <c r="H931" s="106" t="e">
        <f t="shared" si="1657"/>
        <v>#DIV/0!</v>
      </c>
      <c r="I931" s="106" t="e">
        <f t="shared" si="1657"/>
        <v>#DIV/0!</v>
      </c>
      <c r="J931" s="106" t="e">
        <f t="shared" si="1657"/>
        <v>#DIV/0!</v>
      </c>
      <c r="K931" s="106" t="e">
        <f t="shared" si="1657"/>
        <v>#DIV/0!</v>
      </c>
      <c r="L931" s="106" t="e">
        <f t="shared" si="1657"/>
        <v>#DIV/0!</v>
      </c>
      <c r="M931" s="107" t="e">
        <f t="shared" si="1657"/>
        <v>#DIV/0!</v>
      </c>
      <c r="N931" s="107" t="e">
        <f t="shared" si="1657"/>
        <v>#DIV/0!</v>
      </c>
      <c r="O931" s="107" t="e">
        <f t="shared" si="1657"/>
        <v>#DIV/0!</v>
      </c>
      <c r="P931" s="108" t="e">
        <f t="shared" si="1657"/>
        <v>#DIV/0!</v>
      </c>
      <c r="Q931" s="109" t="e">
        <f t="shared" si="1657"/>
        <v>#DIV/0!</v>
      </c>
      <c r="R931" s="110" t="e">
        <f t="shared" si="1657"/>
        <v>#DIV/0!</v>
      </c>
      <c r="S931" s="105"/>
      <c r="T931" s="91"/>
      <c r="U931" s="100"/>
      <c r="V931" s="92"/>
      <c r="W931" s="101" t="s">
        <v>102</v>
      </c>
      <c r="X931" s="106" t="e">
        <f t="shared" ref="X931:AK931" si="1658">X930/X929</f>
        <v>#DIV/0!</v>
      </c>
      <c r="Y931" s="106" t="e">
        <f t="shared" si="1658"/>
        <v>#DIV/0!</v>
      </c>
      <c r="Z931" s="106" t="e">
        <f t="shared" si="1658"/>
        <v>#DIV/0!</v>
      </c>
      <c r="AA931" s="106" t="e">
        <f t="shared" si="1658"/>
        <v>#DIV/0!</v>
      </c>
      <c r="AB931" s="106" t="e">
        <f t="shared" si="1658"/>
        <v>#DIV/0!</v>
      </c>
      <c r="AC931" s="106" t="e">
        <f t="shared" si="1658"/>
        <v>#DIV/0!</v>
      </c>
      <c r="AD931" s="106" t="e">
        <f t="shared" si="1658"/>
        <v>#DIV/0!</v>
      </c>
      <c r="AE931" s="106" t="e">
        <f t="shared" si="1658"/>
        <v>#DIV/0!</v>
      </c>
      <c r="AF931" s="107" t="e">
        <f t="shared" si="1658"/>
        <v>#DIV/0!</v>
      </c>
      <c r="AG931" s="107" t="e">
        <f t="shared" si="1658"/>
        <v>#DIV/0!</v>
      </c>
      <c r="AH931" s="107" t="e">
        <f t="shared" si="1658"/>
        <v>#DIV/0!</v>
      </c>
      <c r="AI931" s="108" t="e">
        <f t="shared" si="1658"/>
        <v>#DIV/0!</v>
      </c>
      <c r="AJ931" s="109" t="e">
        <f t="shared" si="1658"/>
        <v>#DIV/0!</v>
      </c>
      <c r="AK931" s="110" t="e">
        <f t="shared" si="1658"/>
        <v>#DIV/0!</v>
      </c>
      <c r="AL931" s="105"/>
    </row>
    <row r="932" spans="1:38" ht="15.6" hidden="1" thickBot="1">
      <c r="A932" s="91"/>
      <c r="B932" s="100"/>
      <c r="C932" s="111"/>
      <c r="D932" s="112" t="s">
        <v>103</v>
      </c>
      <c r="E932" s="113" t="e">
        <f t="shared" ref="E932:R932" si="1659">E930/E928</f>
        <v>#DIV/0!</v>
      </c>
      <c r="F932" s="113" t="e">
        <f t="shared" si="1659"/>
        <v>#DIV/0!</v>
      </c>
      <c r="G932" s="113" t="e">
        <f t="shared" si="1659"/>
        <v>#DIV/0!</v>
      </c>
      <c r="H932" s="113" t="e">
        <f t="shared" si="1659"/>
        <v>#DIV/0!</v>
      </c>
      <c r="I932" s="113" t="e">
        <f t="shared" si="1659"/>
        <v>#DIV/0!</v>
      </c>
      <c r="J932" s="113" t="e">
        <f t="shared" si="1659"/>
        <v>#DIV/0!</v>
      </c>
      <c r="K932" s="113" t="e">
        <f t="shared" si="1659"/>
        <v>#DIV/0!</v>
      </c>
      <c r="L932" s="113" t="e">
        <f t="shared" si="1659"/>
        <v>#DIV/0!</v>
      </c>
      <c r="M932" s="113" t="e">
        <f t="shared" si="1659"/>
        <v>#DIV/0!</v>
      </c>
      <c r="N932" s="113" t="e">
        <f t="shared" si="1659"/>
        <v>#DIV/0!</v>
      </c>
      <c r="O932" s="113" t="e">
        <f t="shared" si="1659"/>
        <v>#DIV/0!</v>
      </c>
      <c r="P932" s="114" t="e">
        <f t="shared" si="1659"/>
        <v>#DIV/0!</v>
      </c>
      <c r="Q932" s="115" t="e">
        <f t="shared" si="1659"/>
        <v>#DIV/0!</v>
      </c>
      <c r="R932" s="116" t="e">
        <f t="shared" si="1659"/>
        <v>#DIV/0!</v>
      </c>
      <c r="T932" s="91"/>
      <c r="U932" s="100"/>
      <c r="V932" s="111"/>
      <c r="W932" s="112" t="s">
        <v>103</v>
      </c>
      <c r="X932" s="113" t="e">
        <f t="shared" ref="X932:AK932" si="1660">X930/X928</f>
        <v>#DIV/0!</v>
      </c>
      <c r="Y932" s="113" t="e">
        <f t="shared" si="1660"/>
        <v>#DIV/0!</v>
      </c>
      <c r="Z932" s="113" t="e">
        <f t="shared" si="1660"/>
        <v>#DIV/0!</v>
      </c>
      <c r="AA932" s="113" t="e">
        <f t="shared" si="1660"/>
        <v>#DIV/0!</v>
      </c>
      <c r="AB932" s="113" t="e">
        <f t="shared" si="1660"/>
        <v>#DIV/0!</v>
      </c>
      <c r="AC932" s="113" t="e">
        <f t="shared" si="1660"/>
        <v>#DIV/0!</v>
      </c>
      <c r="AD932" s="113" t="e">
        <f t="shared" si="1660"/>
        <v>#DIV/0!</v>
      </c>
      <c r="AE932" s="113" t="e">
        <f t="shared" si="1660"/>
        <v>#DIV/0!</v>
      </c>
      <c r="AF932" s="113" t="e">
        <f t="shared" si="1660"/>
        <v>#DIV/0!</v>
      </c>
      <c r="AG932" s="113" t="e">
        <f t="shared" si="1660"/>
        <v>#DIV/0!</v>
      </c>
      <c r="AH932" s="113" t="e">
        <f t="shared" si="1660"/>
        <v>#DIV/0!</v>
      </c>
      <c r="AI932" s="114" t="e">
        <f t="shared" si="1660"/>
        <v>#DIV/0!</v>
      </c>
      <c r="AJ932" s="115" t="e">
        <f t="shared" si="1660"/>
        <v>#DIV/0!</v>
      </c>
      <c r="AK932" s="116" t="e">
        <f t="shared" si="1660"/>
        <v>#DIV/0!</v>
      </c>
    </row>
    <row r="933" spans="1:38" ht="15.6" hidden="1" thickBot="1">
      <c r="A933" s="91"/>
      <c r="B933" s="100"/>
      <c r="C933" s="86"/>
      <c r="D933" s="87">
        <v>2019</v>
      </c>
      <c r="E933" s="88"/>
      <c r="F933" s="121"/>
      <c r="G933" s="121"/>
      <c r="H933" s="121"/>
      <c r="I933" s="121"/>
      <c r="J933" s="121"/>
      <c r="K933" s="121"/>
      <c r="L933" s="121"/>
      <c r="M933" s="122"/>
      <c r="N933" s="122"/>
      <c r="O933" s="122"/>
      <c r="P933" s="123"/>
      <c r="Q933" s="89">
        <f t="shared" ref="Q933:Q935" si="1661">SUM(E933:P933)</f>
        <v>0</v>
      </c>
      <c r="R933" s="90">
        <f t="shared" ref="R933" si="1662">SUM(E933:M933)</f>
        <v>0</v>
      </c>
      <c r="T933" s="91"/>
      <c r="U933" s="100"/>
      <c r="V933" s="86">
        <f t="shared" ref="V933:V934" si="1663">C933</f>
        <v>0</v>
      </c>
      <c r="W933" s="87">
        <v>2019</v>
      </c>
      <c r="X933" s="88"/>
      <c r="Y933" s="121"/>
      <c r="Z933" s="121"/>
      <c r="AA933" s="121"/>
      <c r="AB933" s="121"/>
      <c r="AC933" s="121"/>
      <c r="AD933" s="121"/>
      <c r="AE933" s="121"/>
      <c r="AF933" s="122"/>
      <c r="AG933" s="122"/>
      <c r="AH933" s="122"/>
      <c r="AI933" s="123"/>
      <c r="AJ933" s="89">
        <f t="shared" ref="AJ933:AJ935" si="1664">SUM(X933:AI933)</f>
        <v>0</v>
      </c>
      <c r="AK933" s="90">
        <f t="shared" ref="AK933:AK935" si="1665">SUM(X933:AF933)</f>
        <v>0</v>
      </c>
    </row>
    <row r="934" spans="1:38" ht="15.6" hidden="1" thickBot="1">
      <c r="A934" s="91"/>
      <c r="B934" s="100"/>
      <c r="C934" s="92"/>
      <c r="D934" s="93" t="s">
        <v>92</v>
      </c>
      <c r="E934" s="94"/>
      <c r="F934" s="97"/>
      <c r="G934" s="97"/>
      <c r="H934" s="97"/>
      <c r="I934" s="97"/>
      <c r="J934" s="97"/>
      <c r="K934" s="97"/>
      <c r="L934" s="97"/>
      <c r="M934" s="98"/>
      <c r="N934" s="98"/>
      <c r="O934" s="98"/>
      <c r="P934" s="99"/>
      <c r="Q934" s="95">
        <f t="shared" si="1661"/>
        <v>0</v>
      </c>
      <c r="R934" s="96">
        <f t="shared" si="1635"/>
        <v>0</v>
      </c>
      <c r="T934" s="91"/>
      <c r="U934" s="100"/>
      <c r="V934" s="92">
        <f t="shared" si="1663"/>
        <v>0</v>
      </c>
      <c r="W934" s="93" t="s">
        <v>92</v>
      </c>
      <c r="X934" s="94"/>
      <c r="Y934" s="97"/>
      <c r="Z934" s="97"/>
      <c r="AA934" s="97"/>
      <c r="AB934" s="97"/>
      <c r="AC934" s="97"/>
      <c r="AD934" s="97"/>
      <c r="AE934" s="97"/>
      <c r="AF934" s="98"/>
      <c r="AG934" s="98"/>
      <c r="AH934" s="98"/>
      <c r="AI934" s="99"/>
      <c r="AJ934" s="95">
        <f t="shared" si="1664"/>
        <v>0</v>
      </c>
      <c r="AK934" s="96">
        <f t="shared" si="1665"/>
        <v>0</v>
      </c>
    </row>
    <row r="935" spans="1:38" ht="15.6" hidden="1" thickBot="1">
      <c r="A935" s="91"/>
      <c r="B935" s="100"/>
      <c r="C935" s="92"/>
      <c r="D935" s="101">
        <v>2020</v>
      </c>
      <c r="E935" s="102"/>
      <c r="F935" s="124"/>
      <c r="G935" s="124"/>
      <c r="H935" s="124"/>
      <c r="I935" s="124"/>
      <c r="J935" s="124"/>
      <c r="K935" s="124"/>
      <c r="L935" s="124"/>
      <c r="M935" s="125"/>
      <c r="N935" s="125"/>
      <c r="O935" s="125"/>
      <c r="P935" s="126"/>
      <c r="Q935" s="103">
        <f t="shared" si="1661"/>
        <v>0</v>
      </c>
      <c r="R935" s="104">
        <f t="shared" si="1635"/>
        <v>0</v>
      </c>
      <c r="S935" s="105"/>
      <c r="T935" s="91"/>
      <c r="U935" s="100"/>
      <c r="V935" s="92"/>
      <c r="W935" s="101">
        <v>2020</v>
      </c>
      <c r="X935" s="102"/>
      <c r="Y935" s="124"/>
      <c r="Z935" s="124"/>
      <c r="AA935" s="124"/>
      <c r="AB935" s="124"/>
      <c r="AC935" s="124"/>
      <c r="AD935" s="124"/>
      <c r="AE935" s="124"/>
      <c r="AF935" s="125"/>
      <c r="AG935" s="125"/>
      <c r="AH935" s="125"/>
      <c r="AI935" s="126"/>
      <c r="AJ935" s="103">
        <f t="shared" si="1664"/>
        <v>0</v>
      </c>
      <c r="AK935" s="104">
        <f t="shared" si="1665"/>
        <v>0</v>
      </c>
      <c r="AL935" s="105"/>
    </row>
    <row r="936" spans="1:38" ht="15.6" hidden="1" thickBot="1">
      <c r="A936" s="91"/>
      <c r="B936" s="100"/>
      <c r="C936" s="92"/>
      <c r="D936" s="101" t="s">
        <v>102</v>
      </c>
      <c r="E936" s="106" t="e">
        <f t="shared" ref="E936:R936" si="1666">E935/E934</f>
        <v>#DIV/0!</v>
      </c>
      <c r="F936" s="106" t="e">
        <f t="shared" si="1666"/>
        <v>#DIV/0!</v>
      </c>
      <c r="G936" s="106" t="e">
        <f t="shared" si="1666"/>
        <v>#DIV/0!</v>
      </c>
      <c r="H936" s="106" t="e">
        <f t="shared" si="1666"/>
        <v>#DIV/0!</v>
      </c>
      <c r="I936" s="106" t="e">
        <f t="shared" si="1666"/>
        <v>#DIV/0!</v>
      </c>
      <c r="J936" s="106" t="e">
        <f t="shared" si="1666"/>
        <v>#DIV/0!</v>
      </c>
      <c r="K936" s="106" t="e">
        <f t="shared" si="1666"/>
        <v>#DIV/0!</v>
      </c>
      <c r="L936" s="106" t="e">
        <f t="shared" si="1666"/>
        <v>#DIV/0!</v>
      </c>
      <c r="M936" s="107" t="e">
        <f t="shared" si="1666"/>
        <v>#DIV/0!</v>
      </c>
      <c r="N936" s="107" t="e">
        <f t="shared" si="1666"/>
        <v>#DIV/0!</v>
      </c>
      <c r="O936" s="107" t="e">
        <f t="shared" si="1666"/>
        <v>#DIV/0!</v>
      </c>
      <c r="P936" s="108" t="e">
        <f t="shared" si="1666"/>
        <v>#DIV/0!</v>
      </c>
      <c r="Q936" s="109" t="e">
        <f t="shared" si="1666"/>
        <v>#DIV/0!</v>
      </c>
      <c r="R936" s="110" t="e">
        <f t="shared" si="1666"/>
        <v>#DIV/0!</v>
      </c>
      <c r="S936" s="105"/>
      <c r="T936" s="91"/>
      <c r="U936" s="100"/>
      <c r="V936" s="92"/>
      <c r="W936" s="101" t="s">
        <v>102</v>
      </c>
      <c r="X936" s="106" t="e">
        <f t="shared" ref="X936:AK936" si="1667">X935/X934</f>
        <v>#DIV/0!</v>
      </c>
      <c r="Y936" s="106" t="e">
        <f t="shared" si="1667"/>
        <v>#DIV/0!</v>
      </c>
      <c r="Z936" s="106" t="e">
        <f t="shared" si="1667"/>
        <v>#DIV/0!</v>
      </c>
      <c r="AA936" s="106" t="e">
        <f t="shared" si="1667"/>
        <v>#DIV/0!</v>
      </c>
      <c r="AB936" s="106" t="e">
        <f t="shared" si="1667"/>
        <v>#DIV/0!</v>
      </c>
      <c r="AC936" s="106" t="e">
        <f t="shared" si="1667"/>
        <v>#DIV/0!</v>
      </c>
      <c r="AD936" s="106" t="e">
        <f t="shared" si="1667"/>
        <v>#DIV/0!</v>
      </c>
      <c r="AE936" s="106" t="e">
        <f t="shared" si="1667"/>
        <v>#DIV/0!</v>
      </c>
      <c r="AF936" s="107" t="e">
        <f t="shared" si="1667"/>
        <v>#DIV/0!</v>
      </c>
      <c r="AG936" s="107" t="e">
        <f t="shared" si="1667"/>
        <v>#DIV/0!</v>
      </c>
      <c r="AH936" s="107" t="e">
        <f t="shared" si="1667"/>
        <v>#DIV/0!</v>
      </c>
      <c r="AI936" s="108" t="e">
        <f t="shared" si="1667"/>
        <v>#DIV/0!</v>
      </c>
      <c r="AJ936" s="109" t="e">
        <f t="shared" si="1667"/>
        <v>#DIV/0!</v>
      </c>
      <c r="AK936" s="110" t="e">
        <f t="shared" si="1667"/>
        <v>#DIV/0!</v>
      </c>
      <c r="AL936" s="105"/>
    </row>
    <row r="937" spans="1:38" ht="15.6" hidden="1" thickBot="1">
      <c r="A937" s="91"/>
      <c r="B937" s="100"/>
      <c r="C937" s="111"/>
      <c r="D937" s="112" t="s">
        <v>103</v>
      </c>
      <c r="E937" s="113" t="e">
        <f t="shared" ref="E937:R937" si="1668">E935/E933</f>
        <v>#DIV/0!</v>
      </c>
      <c r="F937" s="113" t="e">
        <f t="shared" si="1668"/>
        <v>#DIV/0!</v>
      </c>
      <c r="G937" s="113" t="e">
        <f t="shared" si="1668"/>
        <v>#DIV/0!</v>
      </c>
      <c r="H937" s="113" t="e">
        <f t="shared" si="1668"/>
        <v>#DIV/0!</v>
      </c>
      <c r="I937" s="113" t="e">
        <f t="shared" si="1668"/>
        <v>#DIV/0!</v>
      </c>
      <c r="J937" s="113" t="e">
        <f t="shared" si="1668"/>
        <v>#DIV/0!</v>
      </c>
      <c r="K937" s="113" t="e">
        <f t="shared" si="1668"/>
        <v>#DIV/0!</v>
      </c>
      <c r="L937" s="113" t="e">
        <f t="shared" si="1668"/>
        <v>#DIV/0!</v>
      </c>
      <c r="M937" s="113" t="e">
        <f t="shared" si="1668"/>
        <v>#DIV/0!</v>
      </c>
      <c r="N937" s="113" t="e">
        <f t="shared" si="1668"/>
        <v>#DIV/0!</v>
      </c>
      <c r="O937" s="113" t="e">
        <f t="shared" si="1668"/>
        <v>#DIV/0!</v>
      </c>
      <c r="P937" s="114" t="e">
        <f t="shared" si="1668"/>
        <v>#DIV/0!</v>
      </c>
      <c r="Q937" s="115" t="e">
        <f t="shared" si="1668"/>
        <v>#DIV/0!</v>
      </c>
      <c r="R937" s="116" t="e">
        <f t="shared" si="1668"/>
        <v>#DIV/0!</v>
      </c>
      <c r="T937" s="91"/>
      <c r="U937" s="100"/>
      <c r="V937" s="111"/>
      <c r="W937" s="112" t="s">
        <v>103</v>
      </c>
      <c r="X937" s="113" t="e">
        <f t="shared" ref="X937:AK937" si="1669">X935/X933</f>
        <v>#DIV/0!</v>
      </c>
      <c r="Y937" s="113" t="e">
        <f t="shared" si="1669"/>
        <v>#DIV/0!</v>
      </c>
      <c r="Z937" s="113" t="e">
        <f t="shared" si="1669"/>
        <v>#DIV/0!</v>
      </c>
      <c r="AA937" s="113" t="e">
        <f t="shared" si="1669"/>
        <v>#DIV/0!</v>
      </c>
      <c r="AB937" s="113" t="e">
        <f t="shared" si="1669"/>
        <v>#DIV/0!</v>
      </c>
      <c r="AC937" s="113" t="e">
        <f t="shared" si="1669"/>
        <v>#DIV/0!</v>
      </c>
      <c r="AD937" s="113" t="e">
        <f t="shared" si="1669"/>
        <v>#DIV/0!</v>
      </c>
      <c r="AE937" s="113" t="e">
        <f t="shared" si="1669"/>
        <v>#DIV/0!</v>
      </c>
      <c r="AF937" s="113" t="e">
        <f t="shared" si="1669"/>
        <v>#DIV/0!</v>
      </c>
      <c r="AG937" s="113" t="e">
        <f t="shared" si="1669"/>
        <v>#DIV/0!</v>
      </c>
      <c r="AH937" s="113" t="e">
        <f t="shared" si="1669"/>
        <v>#DIV/0!</v>
      </c>
      <c r="AI937" s="114" t="e">
        <f t="shared" si="1669"/>
        <v>#DIV/0!</v>
      </c>
      <c r="AJ937" s="115" t="e">
        <f t="shared" si="1669"/>
        <v>#DIV/0!</v>
      </c>
      <c r="AK937" s="116" t="e">
        <f t="shared" si="1669"/>
        <v>#DIV/0!</v>
      </c>
    </row>
    <row r="938" spans="1:38" ht="15.6" hidden="1" thickBot="1">
      <c r="A938" s="91"/>
      <c r="B938" s="100"/>
      <c r="C938" s="86"/>
      <c r="D938" s="87">
        <v>2019</v>
      </c>
      <c r="E938" s="88"/>
      <c r="F938" s="121"/>
      <c r="G938" s="121"/>
      <c r="H938" s="121"/>
      <c r="I938" s="121"/>
      <c r="J938" s="121"/>
      <c r="K938" s="121"/>
      <c r="L938" s="121"/>
      <c r="M938" s="122"/>
      <c r="N938" s="122"/>
      <c r="O938" s="122"/>
      <c r="P938" s="123"/>
      <c r="Q938" s="89">
        <f t="shared" ref="Q938:Q940" si="1670">SUM(E938:P938)</f>
        <v>0</v>
      </c>
      <c r="R938" s="90">
        <f t="shared" ref="R938" si="1671">SUM(E938:M938)</f>
        <v>0</v>
      </c>
      <c r="T938" s="91"/>
      <c r="U938" s="100"/>
      <c r="V938" s="86">
        <f t="shared" ref="V938:V939" si="1672">C938</f>
        <v>0</v>
      </c>
      <c r="W938" s="87">
        <v>2019</v>
      </c>
      <c r="X938" s="88"/>
      <c r="Y938" s="121"/>
      <c r="Z938" s="121"/>
      <c r="AA938" s="121"/>
      <c r="AB938" s="121"/>
      <c r="AC938" s="121"/>
      <c r="AD938" s="121"/>
      <c r="AE938" s="121"/>
      <c r="AF938" s="122"/>
      <c r="AG938" s="122"/>
      <c r="AH938" s="122"/>
      <c r="AI938" s="123"/>
      <c r="AJ938" s="89">
        <f t="shared" ref="AJ938:AJ940" si="1673">SUM(X938:AI938)</f>
        <v>0</v>
      </c>
      <c r="AK938" s="90">
        <f t="shared" ref="AK938:AK940" si="1674">SUM(X938:AF938)</f>
        <v>0</v>
      </c>
    </row>
    <row r="939" spans="1:38" ht="15.6" hidden="1" thickBot="1">
      <c r="A939" s="91"/>
      <c r="B939" s="100"/>
      <c r="C939" s="92"/>
      <c r="D939" s="93" t="s">
        <v>92</v>
      </c>
      <c r="E939" s="94"/>
      <c r="F939" s="97"/>
      <c r="G939" s="97"/>
      <c r="H939" s="97"/>
      <c r="I939" s="97"/>
      <c r="J939" s="97"/>
      <c r="K939" s="97"/>
      <c r="L939" s="97"/>
      <c r="M939" s="98"/>
      <c r="N939" s="98"/>
      <c r="O939" s="98"/>
      <c r="P939" s="99"/>
      <c r="Q939" s="95">
        <f t="shared" si="1670"/>
        <v>0</v>
      </c>
      <c r="R939" s="96">
        <f t="shared" si="1635"/>
        <v>0</v>
      </c>
      <c r="T939" s="91"/>
      <c r="U939" s="100"/>
      <c r="V939" s="92">
        <f t="shared" si="1672"/>
        <v>0</v>
      </c>
      <c r="W939" s="93" t="s">
        <v>92</v>
      </c>
      <c r="X939" s="94"/>
      <c r="Y939" s="97"/>
      <c r="Z939" s="97"/>
      <c r="AA939" s="97"/>
      <c r="AB939" s="97"/>
      <c r="AC939" s="97"/>
      <c r="AD939" s="97"/>
      <c r="AE939" s="97"/>
      <c r="AF939" s="98"/>
      <c r="AG939" s="98"/>
      <c r="AH939" s="98"/>
      <c r="AI939" s="99"/>
      <c r="AJ939" s="95">
        <f t="shared" si="1673"/>
        <v>0</v>
      </c>
      <c r="AK939" s="96">
        <f t="shared" si="1674"/>
        <v>0</v>
      </c>
    </row>
    <row r="940" spans="1:38" ht="15.6" hidden="1" thickBot="1">
      <c r="A940" s="91"/>
      <c r="B940" s="100"/>
      <c r="C940" s="92"/>
      <c r="D940" s="101">
        <v>2020</v>
      </c>
      <c r="E940" s="102"/>
      <c r="F940" s="124"/>
      <c r="G940" s="124"/>
      <c r="H940" s="124"/>
      <c r="I940" s="124"/>
      <c r="J940" s="124"/>
      <c r="K940" s="124"/>
      <c r="L940" s="124"/>
      <c r="M940" s="125"/>
      <c r="N940" s="125"/>
      <c r="O940" s="125"/>
      <c r="P940" s="126"/>
      <c r="Q940" s="103">
        <f t="shared" si="1670"/>
        <v>0</v>
      </c>
      <c r="R940" s="104">
        <f t="shared" si="1635"/>
        <v>0</v>
      </c>
      <c r="S940" s="105"/>
      <c r="T940" s="91"/>
      <c r="U940" s="100"/>
      <c r="V940" s="92"/>
      <c r="W940" s="101">
        <v>2020</v>
      </c>
      <c r="X940" s="102"/>
      <c r="Y940" s="124"/>
      <c r="Z940" s="124"/>
      <c r="AA940" s="124"/>
      <c r="AB940" s="124"/>
      <c r="AC940" s="124"/>
      <c r="AD940" s="124"/>
      <c r="AE940" s="124"/>
      <c r="AF940" s="125"/>
      <c r="AG940" s="125"/>
      <c r="AH940" s="125"/>
      <c r="AI940" s="126"/>
      <c r="AJ940" s="103">
        <f t="shared" si="1673"/>
        <v>0</v>
      </c>
      <c r="AK940" s="104">
        <f t="shared" si="1674"/>
        <v>0</v>
      </c>
      <c r="AL940" s="105"/>
    </row>
    <row r="941" spans="1:38" ht="15.6" hidden="1" thickBot="1">
      <c r="A941" s="91"/>
      <c r="B941" s="100"/>
      <c r="C941" s="92"/>
      <c r="D941" s="101" t="s">
        <v>102</v>
      </c>
      <c r="E941" s="106" t="e">
        <f t="shared" ref="E941:R941" si="1675">E940/E939</f>
        <v>#DIV/0!</v>
      </c>
      <c r="F941" s="106" t="e">
        <f t="shared" si="1675"/>
        <v>#DIV/0!</v>
      </c>
      <c r="G941" s="106" t="e">
        <f t="shared" si="1675"/>
        <v>#DIV/0!</v>
      </c>
      <c r="H941" s="106" t="e">
        <f t="shared" si="1675"/>
        <v>#DIV/0!</v>
      </c>
      <c r="I941" s="106" t="e">
        <f t="shared" si="1675"/>
        <v>#DIV/0!</v>
      </c>
      <c r="J941" s="106" t="e">
        <f t="shared" si="1675"/>
        <v>#DIV/0!</v>
      </c>
      <c r="K941" s="106" t="e">
        <f t="shared" si="1675"/>
        <v>#DIV/0!</v>
      </c>
      <c r="L941" s="106" t="e">
        <f t="shared" si="1675"/>
        <v>#DIV/0!</v>
      </c>
      <c r="M941" s="107" t="e">
        <f t="shared" si="1675"/>
        <v>#DIV/0!</v>
      </c>
      <c r="N941" s="107" t="e">
        <f t="shared" si="1675"/>
        <v>#DIV/0!</v>
      </c>
      <c r="O941" s="107" t="e">
        <f t="shared" si="1675"/>
        <v>#DIV/0!</v>
      </c>
      <c r="P941" s="108" t="e">
        <f t="shared" si="1675"/>
        <v>#DIV/0!</v>
      </c>
      <c r="Q941" s="109" t="e">
        <f t="shared" si="1675"/>
        <v>#DIV/0!</v>
      </c>
      <c r="R941" s="110" t="e">
        <f t="shared" si="1675"/>
        <v>#DIV/0!</v>
      </c>
      <c r="S941" s="105"/>
      <c r="T941" s="91"/>
      <c r="U941" s="100"/>
      <c r="V941" s="92"/>
      <c r="W941" s="101" t="s">
        <v>102</v>
      </c>
      <c r="X941" s="106" t="e">
        <f t="shared" ref="X941:AK941" si="1676">X940/X939</f>
        <v>#DIV/0!</v>
      </c>
      <c r="Y941" s="106" t="e">
        <f t="shared" si="1676"/>
        <v>#DIV/0!</v>
      </c>
      <c r="Z941" s="106" t="e">
        <f t="shared" si="1676"/>
        <v>#DIV/0!</v>
      </c>
      <c r="AA941" s="106" t="e">
        <f t="shared" si="1676"/>
        <v>#DIV/0!</v>
      </c>
      <c r="AB941" s="106" t="e">
        <f t="shared" si="1676"/>
        <v>#DIV/0!</v>
      </c>
      <c r="AC941" s="106" t="e">
        <f t="shared" si="1676"/>
        <v>#DIV/0!</v>
      </c>
      <c r="AD941" s="106" t="e">
        <f t="shared" si="1676"/>
        <v>#DIV/0!</v>
      </c>
      <c r="AE941" s="106" t="e">
        <f t="shared" si="1676"/>
        <v>#DIV/0!</v>
      </c>
      <c r="AF941" s="107" t="e">
        <f t="shared" si="1676"/>
        <v>#DIV/0!</v>
      </c>
      <c r="AG941" s="107" t="e">
        <f t="shared" si="1676"/>
        <v>#DIV/0!</v>
      </c>
      <c r="AH941" s="107" t="e">
        <f t="shared" si="1676"/>
        <v>#DIV/0!</v>
      </c>
      <c r="AI941" s="108" t="e">
        <f t="shared" si="1676"/>
        <v>#DIV/0!</v>
      </c>
      <c r="AJ941" s="109" t="e">
        <f t="shared" si="1676"/>
        <v>#DIV/0!</v>
      </c>
      <c r="AK941" s="110" t="e">
        <f t="shared" si="1676"/>
        <v>#DIV/0!</v>
      </c>
      <c r="AL941" s="105"/>
    </row>
    <row r="942" spans="1:38" ht="15.6" hidden="1" thickBot="1">
      <c r="A942" s="91"/>
      <c r="B942" s="100"/>
      <c r="C942" s="111"/>
      <c r="D942" s="112" t="s">
        <v>103</v>
      </c>
      <c r="E942" s="113" t="e">
        <f t="shared" ref="E942:R942" si="1677">E940/E938</f>
        <v>#DIV/0!</v>
      </c>
      <c r="F942" s="113" t="e">
        <f t="shared" si="1677"/>
        <v>#DIV/0!</v>
      </c>
      <c r="G942" s="113" t="e">
        <f t="shared" si="1677"/>
        <v>#DIV/0!</v>
      </c>
      <c r="H942" s="113" t="e">
        <f t="shared" si="1677"/>
        <v>#DIV/0!</v>
      </c>
      <c r="I942" s="113" t="e">
        <f t="shared" si="1677"/>
        <v>#DIV/0!</v>
      </c>
      <c r="J942" s="113" t="e">
        <f t="shared" si="1677"/>
        <v>#DIV/0!</v>
      </c>
      <c r="K942" s="113" t="e">
        <f t="shared" si="1677"/>
        <v>#DIV/0!</v>
      </c>
      <c r="L942" s="113" t="e">
        <f t="shared" si="1677"/>
        <v>#DIV/0!</v>
      </c>
      <c r="M942" s="113" t="e">
        <f t="shared" si="1677"/>
        <v>#DIV/0!</v>
      </c>
      <c r="N942" s="113" t="e">
        <f t="shared" si="1677"/>
        <v>#DIV/0!</v>
      </c>
      <c r="O942" s="113" t="e">
        <f t="shared" si="1677"/>
        <v>#DIV/0!</v>
      </c>
      <c r="P942" s="114" t="e">
        <f t="shared" si="1677"/>
        <v>#DIV/0!</v>
      </c>
      <c r="Q942" s="115" t="e">
        <f t="shared" si="1677"/>
        <v>#DIV/0!</v>
      </c>
      <c r="R942" s="116" t="e">
        <f t="shared" si="1677"/>
        <v>#DIV/0!</v>
      </c>
      <c r="T942" s="91"/>
      <c r="U942" s="100"/>
      <c r="V942" s="111"/>
      <c r="W942" s="112" t="s">
        <v>103</v>
      </c>
      <c r="X942" s="113" t="e">
        <f t="shared" ref="X942:AK942" si="1678">X940/X938</f>
        <v>#DIV/0!</v>
      </c>
      <c r="Y942" s="113" t="e">
        <f t="shared" si="1678"/>
        <v>#DIV/0!</v>
      </c>
      <c r="Z942" s="113" t="e">
        <f t="shared" si="1678"/>
        <v>#DIV/0!</v>
      </c>
      <c r="AA942" s="113" t="e">
        <f t="shared" si="1678"/>
        <v>#DIV/0!</v>
      </c>
      <c r="AB942" s="113" t="e">
        <f t="shared" si="1678"/>
        <v>#DIV/0!</v>
      </c>
      <c r="AC942" s="113" t="e">
        <f t="shared" si="1678"/>
        <v>#DIV/0!</v>
      </c>
      <c r="AD942" s="113" t="e">
        <f t="shared" si="1678"/>
        <v>#DIV/0!</v>
      </c>
      <c r="AE942" s="113" t="e">
        <f t="shared" si="1678"/>
        <v>#DIV/0!</v>
      </c>
      <c r="AF942" s="113" t="e">
        <f t="shared" si="1678"/>
        <v>#DIV/0!</v>
      </c>
      <c r="AG942" s="113" t="e">
        <f t="shared" si="1678"/>
        <v>#DIV/0!</v>
      </c>
      <c r="AH942" s="113" t="e">
        <f t="shared" si="1678"/>
        <v>#DIV/0!</v>
      </c>
      <c r="AI942" s="114" t="e">
        <f t="shared" si="1678"/>
        <v>#DIV/0!</v>
      </c>
      <c r="AJ942" s="115" t="e">
        <f t="shared" si="1678"/>
        <v>#DIV/0!</v>
      </c>
      <c r="AK942" s="116" t="e">
        <f t="shared" si="1678"/>
        <v>#DIV/0!</v>
      </c>
    </row>
    <row r="943" spans="1:38" ht="15.6" hidden="1" thickBot="1">
      <c r="A943" s="91"/>
      <c r="B943" s="100"/>
      <c r="C943" s="86"/>
      <c r="D943" s="87">
        <v>2019</v>
      </c>
      <c r="E943" s="88"/>
      <c r="F943" s="121"/>
      <c r="G943" s="121"/>
      <c r="H943" s="121"/>
      <c r="I943" s="121"/>
      <c r="J943" s="121"/>
      <c r="K943" s="121"/>
      <c r="L943" s="121"/>
      <c r="M943" s="122"/>
      <c r="N943" s="122"/>
      <c r="O943" s="122"/>
      <c r="P943" s="123"/>
      <c r="Q943" s="89">
        <f t="shared" ref="Q943:Q945" si="1679">SUM(E943:P943)</f>
        <v>0</v>
      </c>
      <c r="R943" s="90">
        <f t="shared" ref="R943" si="1680">SUM(E943:M943)</f>
        <v>0</v>
      </c>
      <c r="T943" s="91"/>
      <c r="U943" s="100"/>
      <c r="V943" s="86">
        <f t="shared" ref="V943:V944" si="1681">C943</f>
        <v>0</v>
      </c>
      <c r="W943" s="87">
        <v>2019</v>
      </c>
      <c r="X943" s="88"/>
      <c r="Y943" s="121"/>
      <c r="Z943" s="121"/>
      <c r="AA943" s="121"/>
      <c r="AB943" s="121"/>
      <c r="AC943" s="121"/>
      <c r="AD943" s="121"/>
      <c r="AE943" s="121"/>
      <c r="AF943" s="122"/>
      <c r="AG943" s="122"/>
      <c r="AH943" s="122"/>
      <c r="AI943" s="123"/>
      <c r="AJ943" s="89">
        <f t="shared" ref="AJ943:AJ945" si="1682">SUM(X943:AI943)</f>
        <v>0</v>
      </c>
      <c r="AK943" s="90">
        <f t="shared" ref="AK943:AK945" si="1683">SUM(X943:AF943)</f>
        <v>0</v>
      </c>
    </row>
    <row r="944" spans="1:38" ht="15.6" hidden="1" thickBot="1">
      <c r="A944" s="91"/>
      <c r="B944" s="100"/>
      <c r="C944" s="92"/>
      <c r="D944" s="93" t="s">
        <v>92</v>
      </c>
      <c r="E944" s="94"/>
      <c r="F944" s="97"/>
      <c r="G944" s="97"/>
      <c r="H944" s="97"/>
      <c r="I944" s="97"/>
      <c r="J944" s="97"/>
      <c r="K944" s="97"/>
      <c r="L944" s="97"/>
      <c r="M944" s="98"/>
      <c r="N944" s="98"/>
      <c r="O944" s="98"/>
      <c r="P944" s="99"/>
      <c r="Q944" s="95">
        <f t="shared" si="1679"/>
        <v>0</v>
      </c>
      <c r="R944" s="96">
        <f t="shared" si="1635"/>
        <v>0</v>
      </c>
      <c r="T944" s="91"/>
      <c r="U944" s="100"/>
      <c r="V944" s="92">
        <f t="shared" si="1681"/>
        <v>0</v>
      </c>
      <c r="W944" s="93" t="s">
        <v>92</v>
      </c>
      <c r="X944" s="94"/>
      <c r="Y944" s="97"/>
      <c r="Z944" s="97"/>
      <c r="AA944" s="97"/>
      <c r="AB944" s="97"/>
      <c r="AC944" s="97"/>
      <c r="AD944" s="97"/>
      <c r="AE944" s="97"/>
      <c r="AF944" s="98"/>
      <c r="AG944" s="98"/>
      <c r="AH944" s="98"/>
      <c r="AI944" s="99"/>
      <c r="AJ944" s="95">
        <f t="shared" si="1682"/>
        <v>0</v>
      </c>
      <c r="AK944" s="96">
        <f t="shared" si="1683"/>
        <v>0</v>
      </c>
    </row>
    <row r="945" spans="1:38" ht="15.6" hidden="1" thickBot="1">
      <c r="A945" s="91"/>
      <c r="B945" s="100"/>
      <c r="C945" s="92"/>
      <c r="D945" s="101">
        <v>2020</v>
      </c>
      <c r="E945" s="102"/>
      <c r="F945" s="124"/>
      <c r="G945" s="124"/>
      <c r="H945" s="124"/>
      <c r="I945" s="124"/>
      <c r="J945" s="124"/>
      <c r="K945" s="124"/>
      <c r="L945" s="124"/>
      <c r="M945" s="125"/>
      <c r="N945" s="125"/>
      <c r="O945" s="125"/>
      <c r="P945" s="126"/>
      <c r="Q945" s="103">
        <f t="shared" si="1679"/>
        <v>0</v>
      </c>
      <c r="R945" s="104">
        <f t="shared" si="1635"/>
        <v>0</v>
      </c>
      <c r="S945" s="105"/>
      <c r="T945" s="91"/>
      <c r="U945" s="100"/>
      <c r="V945" s="92"/>
      <c r="W945" s="101">
        <v>2020</v>
      </c>
      <c r="X945" s="102"/>
      <c r="Y945" s="124"/>
      <c r="Z945" s="124"/>
      <c r="AA945" s="124"/>
      <c r="AB945" s="124"/>
      <c r="AC945" s="124"/>
      <c r="AD945" s="124"/>
      <c r="AE945" s="124"/>
      <c r="AF945" s="125"/>
      <c r="AG945" s="125"/>
      <c r="AH945" s="125"/>
      <c r="AI945" s="126"/>
      <c r="AJ945" s="103">
        <f t="shared" si="1682"/>
        <v>0</v>
      </c>
      <c r="AK945" s="104">
        <f t="shared" si="1683"/>
        <v>0</v>
      </c>
      <c r="AL945" s="105"/>
    </row>
    <row r="946" spans="1:38" ht="15.6" hidden="1" thickBot="1">
      <c r="A946" s="91"/>
      <c r="B946" s="100"/>
      <c r="C946" s="92"/>
      <c r="D946" s="101" t="s">
        <v>102</v>
      </c>
      <c r="E946" s="106" t="e">
        <f t="shared" ref="E946:R946" si="1684">E945/E944</f>
        <v>#DIV/0!</v>
      </c>
      <c r="F946" s="106" t="e">
        <f t="shared" si="1684"/>
        <v>#DIV/0!</v>
      </c>
      <c r="G946" s="106" t="e">
        <f t="shared" si="1684"/>
        <v>#DIV/0!</v>
      </c>
      <c r="H946" s="106" t="e">
        <f t="shared" si="1684"/>
        <v>#DIV/0!</v>
      </c>
      <c r="I946" s="106" t="e">
        <f t="shared" si="1684"/>
        <v>#DIV/0!</v>
      </c>
      <c r="J946" s="106" t="e">
        <f t="shared" si="1684"/>
        <v>#DIV/0!</v>
      </c>
      <c r="K946" s="106" t="e">
        <f t="shared" si="1684"/>
        <v>#DIV/0!</v>
      </c>
      <c r="L946" s="106" t="e">
        <f t="shared" si="1684"/>
        <v>#DIV/0!</v>
      </c>
      <c r="M946" s="107" t="e">
        <f t="shared" si="1684"/>
        <v>#DIV/0!</v>
      </c>
      <c r="N946" s="107" t="e">
        <f t="shared" si="1684"/>
        <v>#DIV/0!</v>
      </c>
      <c r="O946" s="107" t="e">
        <f t="shared" si="1684"/>
        <v>#DIV/0!</v>
      </c>
      <c r="P946" s="108" t="e">
        <f t="shared" si="1684"/>
        <v>#DIV/0!</v>
      </c>
      <c r="Q946" s="109" t="e">
        <f t="shared" si="1684"/>
        <v>#DIV/0!</v>
      </c>
      <c r="R946" s="110" t="e">
        <f t="shared" si="1684"/>
        <v>#DIV/0!</v>
      </c>
      <c r="S946" s="105"/>
      <c r="T946" s="91"/>
      <c r="U946" s="100"/>
      <c r="V946" s="92"/>
      <c r="W946" s="101" t="s">
        <v>102</v>
      </c>
      <c r="X946" s="106" t="e">
        <f t="shared" ref="X946:AK946" si="1685">X945/X944</f>
        <v>#DIV/0!</v>
      </c>
      <c r="Y946" s="106" t="e">
        <f t="shared" si="1685"/>
        <v>#DIV/0!</v>
      </c>
      <c r="Z946" s="106" t="e">
        <f t="shared" si="1685"/>
        <v>#DIV/0!</v>
      </c>
      <c r="AA946" s="106" t="e">
        <f t="shared" si="1685"/>
        <v>#DIV/0!</v>
      </c>
      <c r="AB946" s="106" t="e">
        <f t="shared" si="1685"/>
        <v>#DIV/0!</v>
      </c>
      <c r="AC946" s="106" t="e">
        <f t="shared" si="1685"/>
        <v>#DIV/0!</v>
      </c>
      <c r="AD946" s="106" t="e">
        <f t="shared" si="1685"/>
        <v>#DIV/0!</v>
      </c>
      <c r="AE946" s="106" t="e">
        <f t="shared" si="1685"/>
        <v>#DIV/0!</v>
      </c>
      <c r="AF946" s="107" t="e">
        <f t="shared" si="1685"/>
        <v>#DIV/0!</v>
      </c>
      <c r="AG946" s="107" t="e">
        <f t="shared" si="1685"/>
        <v>#DIV/0!</v>
      </c>
      <c r="AH946" s="107" t="e">
        <f t="shared" si="1685"/>
        <v>#DIV/0!</v>
      </c>
      <c r="AI946" s="108" t="e">
        <f t="shared" si="1685"/>
        <v>#DIV/0!</v>
      </c>
      <c r="AJ946" s="109" t="e">
        <f t="shared" si="1685"/>
        <v>#DIV/0!</v>
      </c>
      <c r="AK946" s="110" t="e">
        <f t="shared" si="1685"/>
        <v>#DIV/0!</v>
      </c>
      <c r="AL946" s="105"/>
    </row>
    <row r="947" spans="1:38" ht="15.6" hidden="1" thickBot="1">
      <c r="A947" s="91"/>
      <c r="B947" s="100"/>
      <c r="C947" s="111"/>
      <c r="D947" s="112" t="s">
        <v>103</v>
      </c>
      <c r="E947" s="113" t="e">
        <f t="shared" ref="E947:R947" si="1686">E945/E943</f>
        <v>#DIV/0!</v>
      </c>
      <c r="F947" s="113" t="e">
        <f t="shared" si="1686"/>
        <v>#DIV/0!</v>
      </c>
      <c r="G947" s="113" t="e">
        <f t="shared" si="1686"/>
        <v>#DIV/0!</v>
      </c>
      <c r="H947" s="113" t="e">
        <f t="shared" si="1686"/>
        <v>#DIV/0!</v>
      </c>
      <c r="I947" s="113" t="e">
        <f t="shared" si="1686"/>
        <v>#DIV/0!</v>
      </c>
      <c r="J947" s="113" t="e">
        <f t="shared" si="1686"/>
        <v>#DIV/0!</v>
      </c>
      <c r="K947" s="113" t="e">
        <f t="shared" si="1686"/>
        <v>#DIV/0!</v>
      </c>
      <c r="L947" s="113" t="e">
        <f t="shared" si="1686"/>
        <v>#DIV/0!</v>
      </c>
      <c r="M947" s="113" t="e">
        <f t="shared" si="1686"/>
        <v>#DIV/0!</v>
      </c>
      <c r="N947" s="113" t="e">
        <f t="shared" si="1686"/>
        <v>#DIV/0!</v>
      </c>
      <c r="O947" s="113" t="e">
        <f t="shared" si="1686"/>
        <v>#DIV/0!</v>
      </c>
      <c r="P947" s="114" t="e">
        <f t="shared" si="1686"/>
        <v>#DIV/0!</v>
      </c>
      <c r="Q947" s="115" t="e">
        <f t="shared" si="1686"/>
        <v>#DIV/0!</v>
      </c>
      <c r="R947" s="116" t="e">
        <f t="shared" si="1686"/>
        <v>#DIV/0!</v>
      </c>
      <c r="T947" s="91"/>
      <c r="U947" s="100"/>
      <c r="V947" s="111"/>
      <c r="W947" s="112" t="s">
        <v>103</v>
      </c>
      <c r="X947" s="113" t="e">
        <f t="shared" ref="X947:AK947" si="1687">X945/X943</f>
        <v>#DIV/0!</v>
      </c>
      <c r="Y947" s="113" t="e">
        <f t="shared" si="1687"/>
        <v>#DIV/0!</v>
      </c>
      <c r="Z947" s="113" t="e">
        <f t="shared" si="1687"/>
        <v>#DIV/0!</v>
      </c>
      <c r="AA947" s="113" t="e">
        <f t="shared" si="1687"/>
        <v>#DIV/0!</v>
      </c>
      <c r="AB947" s="113" t="e">
        <f t="shared" si="1687"/>
        <v>#DIV/0!</v>
      </c>
      <c r="AC947" s="113" t="e">
        <f t="shared" si="1687"/>
        <v>#DIV/0!</v>
      </c>
      <c r="AD947" s="113" t="e">
        <f t="shared" si="1687"/>
        <v>#DIV/0!</v>
      </c>
      <c r="AE947" s="113" t="e">
        <f t="shared" si="1687"/>
        <v>#DIV/0!</v>
      </c>
      <c r="AF947" s="113" t="e">
        <f t="shared" si="1687"/>
        <v>#DIV/0!</v>
      </c>
      <c r="AG947" s="113" t="e">
        <f t="shared" si="1687"/>
        <v>#DIV/0!</v>
      </c>
      <c r="AH947" s="113" t="e">
        <f t="shared" si="1687"/>
        <v>#DIV/0!</v>
      </c>
      <c r="AI947" s="114" t="e">
        <f t="shared" si="1687"/>
        <v>#DIV/0!</v>
      </c>
      <c r="AJ947" s="115" t="e">
        <f t="shared" si="1687"/>
        <v>#DIV/0!</v>
      </c>
      <c r="AK947" s="116" t="e">
        <f t="shared" si="1687"/>
        <v>#DIV/0!</v>
      </c>
    </row>
    <row r="948" spans="1:38" ht="15.6" hidden="1" thickBot="1">
      <c r="A948" s="91"/>
      <c r="B948" s="100"/>
      <c r="C948" s="86"/>
      <c r="D948" s="87">
        <v>2019</v>
      </c>
      <c r="E948" s="88"/>
      <c r="F948" s="121"/>
      <c r="G948" s="121"/>
      <c r="H948" s="121"/>
      <c r="I948" s="121"/>
      <c r="J948" s="121"/>
      <c r="K948" s="121"/>
      <c r="L948" s="121"/>
      <c r="M948" s="122"/>
      <c r="N948" s="122"/>
      <c r="O948" s="122"/>
      <c r="P948" s="123"/>
      <c r="Q948" s="89">
        <f t="shared" ref="Q948:Q950" si="1688">SUM(E948:P948)</f>
        <v>0</v>
      </c>
      <c r="R948" s="90">
        <f t="shared" ref="R948" si="1689">SUM(E948:M948)</f>
        <v>0</v>
      </c>
      <c r="T948" s="91"/>
      <c r="U948" s="100"/>
      <c r="V948" s="86">
        <f t="shared" ref="V948:V949" si="1690">C948</f>
        <v>0</v>
      </c>
      <c r="W948" s="87">
        <v>2019</v>
      </c>
      <c r="X948" s="88"/>
      <c r="Y948" s="121"/>
      <c r="Z948" s="121"/>
      <c r="AA948" s="121"/>
      <c r="AB948" s="121"/>
      <c r="AC948" s="121"/>
      <c r="AD948" s="121"/>
      <c r="AE948" s="121"/>
      <c r="AF948" s="122"/>
      <c r="AG948" s="122"/>
      <c r="AH948" s="122"/>
      <c r="AI948" s="123"/>
      <c r="AJ948" s="89">
        <f t="shared" ref="AJ948:AJ950" si="1691">SUM(X948:AI948)</f>
        <v>0</v>
      </c>
      <c r="AK948" s="90">
        <f t="shared" ref="AK948:AK950" si="1692">SUM(X948:AF948)</f>
        <v>0</v>
      </c>
    </row>
    <row r="949" spans="1:38" ht="15.6" hidden="1" thickBot="1">
      <c r="A949" s="91"/>
      <c r="B949" s="100"/>
      <c r="C949" s="92"/>
      <c r="D949" s="93" t="s">
        <v>92</v>
      </c>
      <c r="E949" s="94"/>
      <c r="F949" s="97"/>
      <c r="G949" s="97"/>
      <c r="H949" s="97"/>
      <c r="I949" s="97"/>
      <c r="J949" s="97"/>
      <c r="K949" s="97"/>
      <c r="L949" s="97"/>
      <c r="M949" s="98"/>
      <c r="N949" s="98"/>
      <c r="O949" s="98"/>
      <c r="P949" s="99"/>
      <c r="Q949" s="95">
        <f t="shared" si="1688"/>
        <v>0</v>
      </c>
      <c r="R949" s="96">
        <f t="shared" si="1635"/>
        <v>0</v>
      </c>
      <c r="T949" s="91"/>
      <c r="U949" s="100"/>
      <c r="V949" s="92">
        <f t="shared" si="1690"/>
        <v>0</v>
      </c>
      <c r="W949" s="93" t="s">
        <v>92</v>
      </c>
      <c r="X949" s="94"/>
      <c r="Y949" s="97"/>
      <c r="Z949" s="97"/>
      <c r="AA949" s="97"/>
      <c r="AB949" s="97"/>
      <c r="AC949" s="97"/>
      <c r="AD949" s="97"/>
      <c r="AE949" s="97"/>
      <c r="AF949" s="98"/>
      <c r="AG949" s="98"/>
      <c r="AH949" s="98"/>
      <c r="AI949" s="99"/>
      <c r="AJ949" s="95">
        <f t="shared" si="1691"/>
        <v>0</v>
      </c>
      <c r="AK949" s="96">
        <f t="shared" si="1692"/>
        <v>0</v>
      </c>
    </row>
    <row r="950" spans="1:38" ht="15.6" hidden="1" thickBot="1">
      <c r="A950" s="91"/>
      <c r="B950" s="100"/>
      <c r="C950" s="92"/>
      <c r="D950" s="101">
        <v>2020</v>
      </c>
      <c r="E950" s="102"/>
      <c r="F950" s="124"/>
      <c r="G950" s="124"/>
      <c r="H950" s="124"/>
      <c r="I950" s="124"/>
      <c r="J950" s="124"/>
      <c r="K950" s="124"/>
      <c r="L950" s="124"/>
      <c r="M950" s="125"/>
      <c r="N950" s="125"/>
      <c r="O950" s="125"/>
      <c r="P950" s="126"/>
      <c r="Q950" s="103">
        <f t="shared" si="1688"/>
        <v>0</v>
      </c>
      <c r="R950" s="104">
        <f t="shared" si="1635"/>
        <v>0</v>
      </c>
      <c r="S950" s="105"/>
      <c r="T950" s="91"/>
      <c r="U950" s="100"/>
      <c r="V950" s="92"/>
      <c r="W950" s="101">
        <v>2020</v>
      </c>
      <c r="X950" s="102"/>
      <c r="Y950" s="124"/>
      <c r="Z950" s="124"/>
      <c r="AA950" s="124"/>
      <c r="AB950" s="124"/>
      <c r="AC950" s="124"/>
      <c r="AD950" s="124"/>
      <c r="AE950" s="124"/>
      <c r="AF950" s="125"/>
      <c r="AG950" s="125"/>
      <c r="AH950" s="125"/>
      <c r="AI950" s="126"/>
      <c r="AJ950" s="103">
        <f t="shared" si="1691"/>
        <v>0</v>
      </c>
      <c r="AK950" s="104">
        <f t="shared" si="1692"/>
        <v>0</v>
      </c>
      <c r="AL950" s="105"/>
    </row>
    <row r="951" spans="1:38" ht="15.6" hidden="1" thickBot="1">
      <c r="A951" s="91"/>
      <c r="B951" s="100"/>
      <c r="C951" s="92"/>
      <c r="D951" s="101" t="s">
        <v>102</v>
      </c>
      <c r="E951" s="106" t="e">
        <f t="shared" ref="E951:R951" si="1693">E950/E949</f>
        <v>#DIV/0!</v>
      </c>
      <c r="F951" s="106" t="e">
        <f t="shared" si="1693"/>
        <v>#DIV/0!</v>
      </c>
      <c r="G951" s="106" t="e">
        <f t="shared" si="1693"/>
        <v>#DIV/0!</v>
      </c>
      <c r="H951" s="106" t="e">
        <f t="shared" si="1693"/>
        <v>#DIV/0!</v>
      </c>
      <c r="I951" s="106" t="e">
        <f t="shared" si="1693"/>
        <v>#DIV/0!</v>
      </c>
      <c r="J951" s="106" t="e">
        <f t="shared" si="1693"/>
        <v>#DIV/0!</v>
      </c>
      <c r="K951" s="106" t="e">
        <f t="shared" si="1693"/>
        <v>#DIV/0!</v>
      </c>
      <c r="L951" s="106" t="e">
        <f t="shared" si="1693"/>
        <v>#DIV/0!</v>
      </c>
      <c r="M951" s="107" t="e">
        <f t="shared" si="1693"/>
        <v>#DIV/0!</v>
      </c>
      <c r="N951" s="107" t="e">
        <f t="shared" si="1693"/>
        <v>#DIV/0!</v>
      </c>
      <c r="O951" s="107" t="e">
        <f t="shared" si="1693"/>
        <v>#DIV/0!</v>
      </c>
      <c r="P951" s="108" t="e">
        <f t="shared" si="1693"/>
        <v>#DIV/0!</v>
      </c>
      <c r="Q951" s="109" t="e">
        <f t="shared" si="1693"/>
        <v>#DIV/0!</v>
      </c>
      <c r="R951" s="110" t="e">
        <f t="shared" si="1693"/>
        <v>#DIV/0!</v>
      </c>
      <c r="S951" s="105"/>
      <c r="T951" s="91"/>
      <c r="U951" s="100"/>
      <c r="V951" s="92"/>
      <c r="W951" s="101" t="s">
        <v>102</v>
      </c>
      <c r="X951" s="106" t="e">
        <f t="shared" ref="X951:AK951" si="1694">X950/X949</f>
        <v>#DIV/0!</v>
      </c>
      <c r="Y951" s="106" t="e">
        <f t="shared" si="1694"/>
        <v>#DIV/0!</v>
      </c>
      <c r="Z951" s="106" t="e">
        <f t="shared" si="1694"/>
        <v>#DIV/0!</v>
      </c>
      <c r="AA951" s="106" t="e">
        <f t="shared" si="1694"/>
        <v>#DIV/0!</v>
      </c>
      <c r="AB951" s="106" t="e">
        <f t="shared" si="1694"/>
        <v>#DIV/0!</v>
      </c>
      <c r="AC951" s="106" t="e">
        <f t="shared" si="1694"/>
        <v>#DIV/0!</v>
      </c>
      <c r="AD951" s="106" t="e">
        <f t="shared" si="1694"/>
        <v>#DIV/0!</v>
      </c>
      <c r="AE951" s="106" t="e">
        <f t="shared" si="1694"/>
        <v>#DIV/0!</v>
      </c>
      <c r="AF951" s="107" t="e">
        <f t="shared" si="1694"/>
        <v>#DIV/0!</v>
      </c>
      <c r="AG951" s="107" t="e">
        <f t="shared" si="1694"/>
        <v>#DIV/0!</v>
      </c>
      <c r="AH951" s="107" t="e">
        <f t="shared" si="1694"/>
        <v>#DIV/0!</v>
      </c>
      <c r="AI951" s="108" t="e">
        <f t="shared" si="1694"/>
        <v>#DIV/0!</v>
      </c>
      <c r="AJ951" s="109" t="e">
        <f t="shared" si="1694"/>
        <v>#DIV/0!</v>
      </c>
      <c r="AK951" s="110" t="e">
        <f t="shared" si="1694"/>
        <v>#DIV/0!</v>
      </c>
      <c r="AL951" s="105"/>
    </row>
    <row r="952" spans="1:38" ht="15.6" hidden="1" thickBot="1">
      <c r="A952" s="91"/>
      <c r="B952" s="100"/>
      <c r="C952" s="111"/>
      <c r="D952" s="112" t="s">
        <v>103</v>
      </c>
      <c r="E952" s="113" t="e">
        <f t="shared" ref="E952:R952" si="1695">E950/E948</f>
        <v>#DIV/0!</v>
      </c>
      <c r="F952" s="113" t="e">
        <f t="shared" si="1695"/>
        <v>#DIV/0!</v>
      </c>
      <c r="G952" s="113" t="e">
        <f t="shared" si="1695"/>
        <v>#DIV/0!</v>
      </c>
      <c r="H952" s="113" t="e">
        <f t="shared" si="1695"/>
        <v>#DIV/0!</v>
      </c>
      <c r="I952" s="113" t="e">
        <f t="shared" si="1695"/>
        <v>#DIV/0!</v>
      </c>
      <c r="J952" s="113" t="e">
        <f t="shared" si="1695"/>
        <v>#DIV/0!</v>
      </c>
      <c r="K952" s="113" t="e">
        <f t="shared" si="1695"/>
        <v>#DIV/0!</v>
      </c>
      <c r="L952" s="113" t="e">
        <f t="shared" si="1695"/>
        <v>#DIV/0!</v>
      </c>
      <c r="M952" s="113" t="e">
        <f t="shared" si="1695"/>
        <v>#DIV/0!</v>
      </c>
      <c r="N952" s="113" t="e">
        <f t="shared" si="1695"/>
        <v>#DIV/0!</v>
      </c>
      <c r="O952" s="113" t="e">
        <f t="shared" si="1695"/>
        <v>#DIV/0!</v>
      </c>
      <c r="P952" s="114" t="e">
        <f t="shared" si="1695"/>
        <v>#DIV/0!</v>
      </c>
      <c r="Q952" s="115" t="e">
        <f t="shared" si="1695"/>
        <v>#DIV/0!</v>
      </c>
      <c r="R952" s="116" t="e">
        <f t="shared" si="1695"/>
        <v>#DIV/0!</v>
      </c>
      <c r="T952" s="91"/>
      <c r="U952" s="100"/>
      <c r="V952" s="111"/>
      <c r="W952" s="112" t="s">
        <v>103</v>
      </c>
      <c r="X952" s="113" t="e">
        <f t="shared" ref="X952:AK952" si="1696">X950/X948</f>
        <v>#DIV/0!</v>
      </c>
      <c r="Y952" s="113" t="e">
        <f t="shared" si="1696"/>
        <v>#DIV/0!</v>
      </c>
      <c r="Z952" s="113" t="e">
        <f t="shared" si="1696"/>
        <v>#DIV/0!</v>
      </c>
      <c r="AA952" s="113" t="e">
        <f t="shared" si="1696"/>
        <v>#DIV/0!</v>
      </c>
      <c r="AB952" s="113" t="e">
        <f t="shared" si="1696"/>
        <v>#DIV/0!</v>
      </c>
      <c r="AC952" s="113" t="e">
        <f t="shared" si="1696"/>
        <v>#DIV/0!</v>
      </c>
      <c r="AD952" s="113" t="e">
        <f t="shared" si="1696"/>
        <v>#DIV/0!</v>
      </c>
      <c r="AE952" s="113" t="e">
        <f t="shared" si="1696"/>
        <v>#DIV/0!</v>
      </c>
      <c r="AF952" s="113" t="e">
        <f t="shared" si="1696"/>
        <v>#DIV/0!</v>
      </c>
      <c r="AG952" s="113" t="e">
        <f t="shared" si="1696"/>
        <v>#DIV/0!</v>
      </c>
      <c r="AH952" s="113" t="e">
        <f t="shared" si="1696"/>
        <v>#DIV/0!</v>
      </c>
      <c r="AI952" s="114" t="e">
        <f t="shared" si="1696"/>
        <v>#DIV/0!</v>
      </c>
      <c r="AJ952" s="115" t="e">
        <f t="shared" si="1696"/>
        <v>#DIV/0!</v>
      </c>
      <c r="AK952" s="116" t="e">
        <f t="shared" si="1696"/>
        <v>#DIV/0!</v>
      </c>
    </row>
    <row r="953" spans="1:38" ht="15.6" hidden="1" thickBot="1">
      <c r="A953" s="91"/>
      <c r="B953" s="100"/>
      <c r="C953" s="86"/>
      <c r="D953" s="87">
        <v>2019</v>
      </c>
      <c r="E953" s="88"/>
      <c r="F953" s="121"/>
      <c r="G953" s="121"/>
      <c r="H953" s="121"/>
      <c r="I953" s="121"/>
      <c r="J953" s="121"/>
      <c r="K953" s="121"/>
      <c r="L953" s="121"/>
      <c r="M953" s="122"/>
      <c r="N953" s="122"/>
      <c r="O953" s="122"/>
      <c r="P953" s="123"/>
      <c r="Q953" s="89">
        <f t="shared" ref="Q953:Q955" si="1697">SUM(E953:P953)</f>
        <v>0</v>
      </c>
      <c r="R953" s="90">
        <f t="shared" ref="R953" si="1698">SUM(E953:M953)</f>
        <v>0</v>
      </c>
      <c r="T953" s="91"/>
      <c r="U953" s="100"/>
      <c r="V953" s="86">
        <f t="shared" ref="V953:V954" si="1699">C953</f>
        <v>0</v>
      </c>
      <c r="W953" s="87">
        <v>2019</v>
      </c>
      <c r="X953" s="88"/>
      <c r="Y953" s="121"/>
      <c r="Z953" s="121"/>
      <c r="AA953" s="121"/>
      <c r="AB953" s="121"/>
      <c r="AC953" s="121"/>
      <c r="AD953" s="121"/>
      <c r="AE953" s="121"/>
      <c r="AF953" s="122"/>
      <c r="AG953" s="122"/>
      <c r="AH953" s="122"/>
      <c r="AI953" s="123"/>
      <c r="AJ953" s="89">
        <f t="shared" ref="AJ953:AJ955" si="1700">SUM(X953:AI953)</f>
        <v>0</v>
      </c>
      <c r="AK953" s="90">
        <f t="shared" ref="AK953:AK955" si="1701">SUM(X953:AF953)</f>
        <v>0</v>
      </c>
    </row>
    <row r="954" spans="1:38" ht="15.6" hidden="1" thickBot="1">
      <c r="A954" s="91"/>
      <c r="B954" s="100"/>
      <c r="C954" s="92"/>
      <c r="D954" s="93" t="s">
        <v>92</v>
      </c>
      <c r="E954" s="94"/>
      <c r="F954" s="97"/>
      <c r="G954" s="97"/>
      <c r="H954" s="97"/>
      <c r="I954" s="97"/>
      <c r="J954" s="97"/>
      <c r="K954" s="97"/>
      <c r="L954" s="97"/>
      <c r="M954" s="98"/>
      <c r="N954" s="98"/>
      <c r="O954" s="98"/>
      <c r="P954" s="99"/>
      <c r="Q954" s="95">
        <f t="shared" si="1697"/>
        <v>0</v>
      </c>
      <c r="R954" s="96">
        <f t="shared" si="1635"/>
        <v>0</v>
      </c>
      <c r="T954" s="91"/>
      <c r="U954" s="100"/>
      <c r="V954" s="92">
        <f t="shared" si="1699"/>
        <v>0</v>
      </c>
      <c r="W954" s="93" t="s">
        <v>92</v>
      </c>
      <c r="X954" s="94"/>
      <c r="Y954" s="97"/>
      <c r="Z954" s="97"/>
      <c r="AA954" s="97"/>
      <c r="AB954" s="97"/>
      <c r="AC954" s="97"/>
      <c r="AD954" s="97"/>
      <c r="AE954" s="97"/>
      <c r="AF954" s="98"/>
      <c r="AG954" s="98"/>
      <c r="AH954" s="98"/>
      <c r="AI954" s="99"/>
      <c r="AJ954" s="95">
        <f t="shared" si="1700"/>
        <v>0</v>
      </c>
      <c r="AK954" s="96">
        <f t="shared" si="1701"/>
        <v>0</v>
      </c>
    </row>
    <row r="955" spans="1:38" ht="15.6" hidden="1" thickBot="1">
      <c r="A955" s="91"/>
      <c r="B955" s="100"/>
      <c r="C955" s="92"/>
      <c r="D955" s="101">
        <v>2020</v>
      </c>
      <c r="E955" s="102"/>
      <c r="F955" s="124"/>
      <c r="G955" s="124"/>
      <c r="H955" s="124"/>
      <c r="I955" s="124"/>
      <c r="J955" s="124"/>
      <c r="K955" s="124"/>
      <c r="L955" s="124"/>
      <c r="M955" s="125"/>
      <c r="N955" s="125"/>
      <c r="O955" s="125"/>
      <c r="P955" s="126"/>
      <c r="Q955" s="103">
        <f t="shared" si="1697"/>
        <v>0</v>
      </c>
      <c r="R955" s="104">
        <f t="shared" si="1635"/>
        <v>0</v>
      </c>
      <c r="S955" s="105"/>
      <c r="T955" s="91"/>
      <c r="U955" s="100"/>
      <c r="V955" s="92"/>
      <c r="W955" s="101">
        <v>2020</v>
      </c>
      <c r="X955" s="102"/>
      <c r="Y955" s="124"/>
      <c r="Z955" s="124"/>
      <c r="AA955" s="124"/>
      <c r="AB955" s="124"/>
      <c r="AC955" s="124"/>
      <c r="AD955" s="124"/>
      <c r="AE955" s="124"/>
      <c r="AF955" s="125"/>
      <c r="AG955" s="125"/>
      <c r="AH955" s="125"/>
      <c r="AI955" s="126"/>
      <c r="AJ955" s="103">
        <f t="shared" si="1700"/>
        <v>0</v>
      </c>
      <c r="AK955" s="104">
        <f t="shared" si="1701"/>
        <v>0</v>
      </c>
      <c r="AL955" s="105"/>
    </row>
    <row r="956" spans="1:38" ht="15.6" hidden="1" thickBot="1">
      <c r="A956" s="91"/>
      <c r="B956" s="100"/>
      <c r="C956" s="92"/>
      <c r="D956" s="101" t="s">
        <v>102</v>
      </c>
      <c r="E956" s="106" t="e">
        <f t="shared" ref="E956:R956" si="1702">E955/E954</f>
        <v>#DIV/0!</v>
      </c>
      <c r="F956" s="106" t="e">
        <f t="shared" si="1702"/>
        <v>#DIV/0!</v>
      </c>
      <c r="G956" s="106" t="e">
        <f t="shared" si="1702"/>
        <v>#DIV/0!</v>
      </c>
      <c r="H956" s="106" t="e">
        <f t="shared" si="1702"/>
        <v>#DIV/0!</v>
      </c>
      <c r="I956" s="106" t="e">
        <f t="shared" si="1702"/>
        <v>#DIV/0!</v>
      </c>
      <c r="J956" s="106" t="e">
        <f t="shared" si="1702"/>
        <v>#DIV/0!</v>
      </c>
      <c r="K956" s="106" t="e">
        <f t="shared" si="1702"/>
        <v>#DIV/0!</v>
      </c>
      <c r="L956" s="106" t="e">
        <f t="shared" si="1702"/>
        <v>#DIV/0!</v>
      </c>
      <c r="M956" s="107" t="e">
        <f t="shared" si="1702"/>
        <v>#DIV/0!</v>
      </c>
      <c r="N956" s="107" t="e">
        <f t="shared" si="1702"/>
        <v>#DIV/0!</v>
      </c>
      <c r="O956" s="107" t="e">
        <f t="shared" si="1702"/>
        <v>#DIV/0!</v>
      </c>
      <c r="P956" s="108" t="e">
        <f t="shared" si="1702"/>
        <v>#DIV/0!</v>
      </c>
      <c r="Q956" s="109" t="e">
        <f t="shared" si="1702"/>
        <v>#DIV/0!</v>
      </c>
      <c r="R956" s="110" t="e">
        <f t="shared" si="1702"/>
        <v>#DIV/0!</v>
      </c>
      <c r="S956" s="105"/>
      <c r="T956" s="91"/>
      <c r="U956" s="100"/>
      <c r="V956" s="92"/>
      <c r="W956" s="101" t="s">
        <v>102</v>
      </c>
      <c r="X956" s="106" t="e">
        <f t="shared" ref="X956:AK956" si="1703">X955/X954</f>
        <v>#DIV/0!</v>
      </c>
      <c r="Y956" s="106" t="e">
        <f t="shared" si="1703"/>
        <v>#DIV/0!</v>
      </c>
      <c r="Z956" s="106" t="e">
        <f t="shared" si="1703"/>
        <v>#DIV/0!</v>
      </c>
      <c r="AA956" s="106" t="e">
        <f t="shared" si="1703"/>
        <v>#DIV/0!</v>
      </c>
      <c r="AB956" s="106" t="e">
        <f t="shared" si="1703"/>
        <v>#DIV/0!</v>
      </c>
      <c r="AC956" s="106" t="e">
        <f t="shared" si="1703"/>
        <v>#DIV/0!</v>
      </c>
      <c r="AD956" s="106" t="e">
        <f t="shared" si="1703"/>
        <v>#DIV/0!</v>
      </c>
      <c r="AE956" s="106" t="e">
        <f t="shared" si="1703"/>
        <v>#DIV/0!</v>
      </c>
      <c r="AF956" s="107" t="e">
        <f t="shared" si="1703"/>
        <v>#DIV/0!</v>
      </c>
      <c r="AG956" s="107" t="e">
        <f t="shared" si="1703"/>
        <v>#DIV/0!</v>
      </c>
      <c r="AH956" s="107" t="e">
        <f t="shared" si="1703"/>
        <v>#DIV/0!</v>
      </c>
      <c r="AI956" s="108" t="e">
        <f t="shared" si="1703"/>
        <v>#DIV/0!</v>
      </c>
      <c r="AJ956" s="109" t="e">
        <f t="shared" si="1703"/>
        <v>#DIV/0!</v>
      </c>
      <c r="AK956" s="110" t="e">
        <f t="shared" si="1703"/>
        <v>#DIV/0!</v>
      </c>
      <c r="AL956" s="105"/>
    </row>
    <row r="957" spans="1:38" ht="15.6" hidden="1" thickBot="1">
      <c r="A957" s="91"/>
      <c r="B957" s="100"/>
      <c r="C957" s="111"/>
      <c r="D957" s="112" t="s">
        <v>103</v>
      </c>
      <c r="E957" s="113" t="e">
        <f t="shared" ref="E957:R957" si="1704">E955/E953</f>
        <v>#DIV/0!</v>
      </c>
      <c r="F957" s="113" t="e">
        <f t="shared" si="1704"/>
        <v>#DIV/0!</v>
      </c>
      <c r="G957" s="113" t="e">
        <f t="shared" si="1704"/>
        <v>#DIV/0!</v>
      </c>
      <c r="H957" s="113" t="e">
        <f t="shared" si="1704"/>
        <v>#DIV/0!</v>
      </c>
      <c r="I957" s="113" t="e">
        <f t="shared" si="1704"/>
        <v>#DIV/0!</v>
      </c>
      <c r="J957" s="113" t="e">
        <f t="shared" si="1704"/>
        <v>#DIV/0!</v>
      </c>
      <c r="K957" s="113" t="e">
        <f t="shared" si="1704"/>
        <v>#DIV/0!</v>
      </c>
      <c r="L957" s="113" t="e">
        <f t="shared" si="1704"/>
        <v>#DIV/0!</v>
      </c>
      <c r="M957" s="113" t="e">
        <f t="shared" si="1704"/>
        <v>#DIV/0!</v>
      </c>
      <c r="N957" s="113" t="e">
        <f t="shared" si="1704"/>
        <v>#DIV/0!</v>
      </c>
      <c r="O957" s="113" t="e">
        <f t="shared" si="1704"/>
        <v>#DIV/0!</v>
      </c>
      <c r="P957" s="114" t="e">
        <f t="shared" si="1704"/>
        <v>#DIV/0!</v>
      </c>
      <c r="Q957" s="115" t="e">
        <f t="shared" si="1704"/>
        <v>#DIV/0!</v>
      </c>
      <c r="R957" s="116" t="e">
        <f t="shared" si="1704"/>
        <v>#DIV/0!</v>
      </c>
      <c r="T957" s="91"/>
      <c r="U957" s="100"/>
      <c r="V957" s="111"/>
      <c r="W957" s="112" t="s">
        <v>103</v>
      </c>
      <c r="X957" s="113" t="e">
        <f t="shared" ref="X957:AK957" si="1705">X955/X953</f>
        <v>#DIV/0!</v>
      </c>
      <c r="Y957" s="113" t="e">
        <f t="shared" si="1705"/>
        <v>#DIV/0!</v>
      </c>
      <c r="Z957" s="113" t="e">
        <f t="shared" si="1705"/>
        <v>#DIV/0!</v>
      </c>
      <c r="AA957" s="113" t="e">
        <f t="shared" si="1705"/>
        <v>#DIV/0!</v>
      </c>
      <c r="AB957" s="113" t="e">
        <f t="shared" si="1705"/>
        <v>#DIV/0!</v>
      </c>
      <c r="AC957" s="113" t="e">
        <f t="shared" si="1705"/>
        <v>#DIV/0!</v>
      </c>
      <c r="AD957" s="113" t="e">
        <f t="shared" si="1705"/>
        <v>#DIV/0!</v>
      </c>
      <c r="AE957" s="113" t="e">
        <f t="shared" si="1705"/>
        <v>#DIV/0!</v>
      </c>
      <c r="AF957" s="113" t="e">
        <f t="shared" si="1705"/>
        <v>#DIV/0!</v>
      </c>
      <c r="AG957" s="113" t="e">
        <f t="shared" si="1705"/>
        <v>#DIV/0!</v>
      </c>
      <c r="AH957" s="113" t="e">
        <f t="shared" si="1705"/>
        <v>#DIV/0!</v>
      </c>
      <c r="AI957" s="114" t="e">
        <f t="shared" si="1705"/>
        <v>#DIV/0!</v>
      </c>
      <c r="AJ957" s="115" t="e">
        <f t="shared" si="1705"/>
        <v>#DIV/0!</v>
      </c>
      <c r="AK957" s="116" t="e">
        <f t="shared" si="1705"/>
        <v>#DIV/0!</v>
      </c>
    </row>
    <row r="958" spans="1:38" ht="15.6" hidden="1" thickBot="1">
      <c r="A958" s="91"/>
      <c r="B958" s="100"/>
      <c r="C958" s="86"/>
      <c r="D958" s="87">
        <v>2019</v>
      </c>
      <c r="E958" s="88"/>
      <c r="F958" s="121"/>
      <c r="G958" s="121"/>
      <c r="H958" s="121"/>
      <c r="I958" s="121"/>
      <c r="J958" s="121"/>
      <c r="K958" s="121"/>
      <c r="L958" s="121"/>
      <c r="M958" s="122"/>
      <c r="N958" s="122"/>
      <c r="O958" s="122"/>
      <c r="P958" s="123"/>
      <c r="Q958" s="89">
        <f t="shared" ref="Q958:Q960" si="1706">SUM(E958:P958)</f>
        <v>0</v>
      </c>
      <c r="R958" s="90">
        <f t="shared" ref="R958" si="1707">SUM(E958:M958)</f>
        <v>0</v>
      </c>
      <c r="T958" s="91"/>
      <c r="U958" s="100"/>
      <c r="V958" s="86">
        <f t="shared" ref="V958:V959" si="1708">C958</f>
        <v>0</v>
      </c>
      <c r="W958" s="87">
        <v>2019</v>
      </c>
      <c r="X958" s="88"/>
      <c r="Y958" s="121"/>
      <c r="Z958" s="121"/>
      <c r="AA958" s="121"/>
      <c r="AB958" s="121"/>
      <c r="AC958" s="121"/>
      <c r="AD958" s="121"/>
      <c r="AE958" s="121"/>
      <c r="AF958" s="122"/>
      <c r="AG958" s="122"/>
      <c r="AH958" s="122"/>
      <c r="AI958" s="123"/>
      <c r="AJ958" s="89">
        <f t="shared" ref="AJ958:AJ960" si="1709">SUM(X958:AI958)</f>
        <v>0</v>
      </c>
      <c r="AK958" s="90">
        <f t="shared" ref="AK958:AK960" si="1710">SUM(X958:AF958)</f>
        <v>0</v>
      </c>
    </row>
    <row r="959" spans="1:38" ht="15.6" hidden="1" thickBot="1">
      <c r="A959" s="91"/>
      <c r="B959" s="100"/>
      <c r="C959" s="92"/>
      <c r="D959" s="93" t="s">
        <v>92</v>
      </c>
      <c r="E959" s="94"/>
      <c r="F959" s="97"/>
      <c r="G959" s="97"/>
      <c r="H959" s="97"/>
      <c r="I959" s="97"/>
      <c r="J959" s="97"/>
      <c r="K959" s="97"/>
      <c r="L959" s="97"/>
      <c r="M959" s="98"/>
      <c r="N959" s="98"/>
      <c r="O959" s="98"/>
      <c r="P959" s="99"/>
      <c r="Q959" s="95">
        <f t="shared" si="1706"/>
        <v>0</v>
      </c>
      <c r="R959" s="96">
        <f t="shared" si="1635"/>
        <v>0</v>
      </c>
      <c r="T959" s="91"/>
      <c r="U959" s="100"/>
      <c r="V959" s="92">
        <f t="shared" si="1708"/>
        <v>0</v>
      </c>
      <c r="W959" s="93" t="s">
        <v>92</v>
      </c>
      <c r="X959" s="94"/>
      <c r="Y959" s="97"/>
      <c r="Z959" s="97"/>
      <c r="AA959" s="97"/>
      <c r="AB959" s="97"/>
      <c r="AC959" s="97"/>
      <c r="AD959" s="97"/>
      <c r="AE959" s="97"/>
      <c r="AF959" s="98"/>
      <c r="AG959" s="98"/>
      <c r="AH959" s="98"/>
      <c r="AI959" s="99"/>
      <c r="AJ959" s="95">
        <f t="shared" si="1709"/>
        <v>0</v>
      </c>
      <c r="AK959" s="96">
        <f t="shared" si="1710"/>
        <v>0</v>
      </c>
    </row>
    <row r="960" spans="1:38" ht="15.6" hidden="1" thickBot="1">
      <c r="A960" s="91"/>
      <c r="B960" s="100"/>
      <c r="C960" s="92"/>
      <c r="D960" s="101">
        <v>2020</v>
      </c>
      <c r="E960" s="102"/>
      <c r="F960" s="124"/>
      <c r="G960" s="124"/>
      <c r="H960" s="124"/>
      <c r="I960" s="124"/>
      <c r="J960" s="124"/>
      <c r="K960" s="124"/>
      <c r="L960" s="124"/>
      <c r="M960" s="125"/>
      <c r="N960" s="125"/>
      <c r="O960" s="125"/>
      <c r="P960" s="126"/>
      <c r="Q960" s="103">
        <f t="shared" si="1706"/>
        <v>0</v>
      </c>
      <c r="R960" s="104">
        <f t="shared" si="1635"/>
        <v>0</v>
      </c>
      <c r="S960" s="105"/>
      <c r="T960" s="91"/>
      <c r="U960" s="100"/>
      <c r="V960" s="92"/>
      <c r="W960" s="101">
        <v>2020</v>
      </c>
      <c r="X960" s="102"/>
      <c r="Y960" s="124"/>
      <c r="Z960" s="124"/>
      <c r="AA960" s="124"/>
      <c r="AB960" s="124"/>
      <c r="AC960" s="124"/>
      <c r="AD960" s="124"/>
      <c r="AE960" s="124"/>
      <c r="AF960" s="125"/>
      <c r="AG960" s="125"/>
      <c r="AH960" s="125"/>
      <c r="AI960" s="126"/>
      <c r="AJ960" s="103">
        <f t="shared" si="1709"/>
        <v>0</v>
      </c>
      <c r="AK960" s="104">
        <f t="shared" si="1710"/>
        <v>0</v>
      </c>
      <c r="AL960" s="105"/>
    </row>
    <row r="961" spans="1:38" ht="15.6" hidden="1" thickBot="1">
      <c r="A961" s="91"/>
      <c r="B961" s="100"/>
      <c r="C961" s="92"/>
      <c r="D961" s="101" t="s">
        <v>102</v>
      </c>
      <c r="E961" s="106" t="e">
        <f t="shared" ref="E961:R961" si="1711">E960/E959</f>
        <v>#DIV/0!</v>
      </c>
      <c r="F961" s="106" t="e">
        <f t="shared" si="1711"/>
        <v>#DIV/0!</v>
      </c>
      <c r="G961" s="106" t="e">
        <f t="shared" si="1711"/>
        <v>#DIV/0!</v>
      </c>
      <c r="H961" s="106" t="e">
        <f t="shared" si="1711"/>
        <v>#DIV/0!</v>
      </c>
      <c r="I961" s="106" t="e">
        <f t="shared" si="1711"/>
        <v>#DIV/0!</v>
      </c>
      <c r="J961" s="106" t="e">
        <f t="shared" si="1711"/>
        <v>#DIV/0!</v>
      </c>
      <c r="K961" s="106" t="e">
        <f t="shared" si="1711"/>
        <v>#DIV/0!</v>
      </c>
      <c r="L961" s="106" t="e">
        <f t="shared" si="1711"/>
        <v>#DIV/0!</v>
      </c>
      <c r="M961" s="107" t="e">
        <f t="shared" si="1711"/>
        <v>#DIV/0!</v>
      </c>
      <c r="N961" s="107" t="e">
        <f t="shared" si="1711"/>
        <v>#DIV/0!</v>
      </c>
      <c r="O961" s="107" t="e">
        <f t="shared" si="1711"/>
        <v>#DIV/0!</v>
      </c>
      <c r="P961" s="108" t="e">
        <f t="shared" si="1711"/>
        <v>#DIV/0!</v>
      </c>
      <c r="Q961" s="109" t="e">
        <f t="shared" si="1711"/>
        <v>#DIV/0!</v>
      </c>
      <c r="R961" s="110" t="e">
        <f t="shared" si="1711"/>
        <v>#DIV/0!</v>
      </c>
      <c r="S961" s="105"/>
      <c r="T961" s="91"/>
      <c r="U961" s="100"/>
      <c r="V961" s="92"/>
      <c r="W961" s="101" t="s">
        <v>102</v>
      </c>
      <c r="X961" s="106" t="e">
        <f t="shared" ref="X961:AK961" si="1712">X960/X959</f>
        <v>#DIV/0!</v>
      </c>
      <c r="Y961" s="106" t="e">
        <f t="shared" si="1712"/>
        <v>#DIV/0!</v>
      </c>
      <c r="Z961" s="106" t="e">
        <f t="shared" si="1712"/>
        <v>#DIV/0!</v>
      </c>
      <c r="AA961" s="106" t="e">
        <f t="shared" si="1712"/>
        <v>#DIV/0!</v>
      </c>
      <c r="AB961" s="106" t="e">
        <f t="shared" si="1712"/>
        <v>#DIV/0!</v>
      </c>
      <c r="AC961" s="106" t="e">
        <f t="shared" si="1712"/>
        <v>#DIV/0!</v>
      </c>
      <c r="AD961" s="106" t="e">
        <f t="shared" si="1712"/>
        <v>#DIV/0!</v>
      </c>
      <c r="AE961" s="106" t="e">
        <f t="shared" si="1712"/>
        <v>#DIV/0!</v>
      </c>
      <c r="AF961" s="107" t="e">
        <f t="shared" si="1712"/>
        <v>#DIV/0!</v>
      </c>
      <c r="AG961" s="107" t="e">
        <f t="shared" si="1712"/>
        <v>#DIV/0!</v>
      </c>
      <c r="AH961" s="107" t="e">
        <f t="shared" si="1712"/>
        <v>#DIV/0!</v>
      </c>
      <c r="AI961" s="108" t="e">
        <f t="shared" si="1712"/>
        <v>#DIV/0!</v>
      </c>
      <c r="AJ961" s="109" t="e">
        <f t="shared" si="1712"/>
        <v>#DIV/0!</v>
      </c>
      <c r="AK961" s="110" t="e">
        <f t="shared" si="1712"/>
        <v>#DIV/0!</v>
      </c>
      <c r="AL961" s="105"/>
    </row>
    <row r="962" spans="1:38" ht="15.6" hidden="1" thickBot="1">
      <c r="A962" s="91"/>
      <c r="B962" s="100"/>
      <c r="C962" s="111"/>
      <c r="D962" s="112" t="s">
        <v>103</v>
      </c>
      <c r="E962" s="113" t="e">
        <f t="shared" ref="E962:R962" si="1713">E960/E958</f>
        <v>#DIV/0!</v>
      </c>
      <c r="F962" s="113" t="e">
        <f t="shared" si="1713"/>
        <v>#DIV/0!</v>
      </c>
      <c r="G962" s="113" t="e">
        <f t="shared" si="1713"/>
        <v>#DIV/0!</v>
      </c>
      <c r="H962" s="113" t="e">
        <f t="shared" si="1713"/>
        <v>#DIV/0!</v>
      </c>
      <c r="I962" s="113" t="e">
        <f t="shared" si="1713"/>
        <v>#DIV/0!</v>
      </c>
      <c r="J962" s="113" t="e">
        <f t="shared" si="1713"/>
        <v>#DIV/0!</v>
      </c>
      <c r="K962" s="113" t="e">
        <f t="shared" si="1713"/>
        <v>#DIV/0!</v>
      </c>
      <c r="L962" s="113" t="e">
        <f t="shared" si="1713"/>
        <v>#DIV/0!</v>
      </c>
      <c r="M962" s="113" t="e">
        <f t="shared" si="1713"/>
        <v>#DIV/0!</v>
      </c>
      <c r="N962" s="113" t="e">
        <f t="shared" si="1713"/>
        <v>#DIV/0!</v>
      </c>
      <c r="O962" s="113" t="e">
        <f t="shared" si="1713"/>
        <v>#DIV/0!</v>
      </c>
      <c r="P962" s="114" t="e">
        <f t="shared" si="1713"/>
        <v>#DIV/0!</v>
      </c>
      <c r="Q962" s="115" t="e">
        <f t="shared" si="1713"/>
        <v>#DIV/0!</v>
      </c>
      <c r="R962" s="116" t="e">
        <f t="shared" si="1713"/>
        <v>#DIV/0!</v>
      </c>
      <c r="T962" s="91"/>
      <c r="U962" s="100"/>
      <c r="V962" s="111"/>
      <c r="W962" s="112" t="s">
        <v>103</v>
      </c>
      <c r="X962" s="113" t="e">
        <f t="shared" ref="X962:AK962" si="1714">X960/X958</f>
        <v>#DIV/0!</v>
      </c>
      <c r="Y962" s="113" t="e">
        <f t="shared" si="1714"/>
        <v>#DIV/0!</v>
      </c>
      <c r="Z962" s="113" t="e">
        <f t="shared" si="1714"/>
        <v>#DIV/0!</v>
      </c>
      <c r="AA962" s="113" t="e">
        <f t="shared" si="1714"/>
        <v>#DIV/0!</v>
      </c>
      <c r="AB962" s="113" t="e">
        <f t="shared" si="1714"/>
        <v>#DIV/0!</v>
      </c>
      <c r="AC962" s="113" t="e">
        <f t="shared" si="1714"/>
        <v>#DIV/0!</v>
      </c>
      <c r="AD962" s="113" t="e">
        <f t="shared" si="1714"/>
        <v>#DIV/0!</v>
      </c>
      <c r="AE962" s="113" t="e">
        <f t="shared" si="1714"/>
        <v>#DIV/0!</v>
      </c>
      <c r="AF962" s="113" t="e">
        <f t="shared" si="1714"/>
        <v>#DIV/0!</v>
      </c>
      <c r="AG962" s="113" t="e">
        <f t="shared" si="1714"/>
        <v>#DIV/0!</v>
      </c>
      <c r="AH962" s="113" t="e">
        <f t="shared" si="1714"/>
        <v>#DIV/0!</v>
      </c>
      <c r="AI962" s="114" t="e">
        <f t="shared" si="1714"/>
        <v>#DIV/0!</v>
      </c>
      <c r="AJ962" s="115" t="e">
        <f t="shared" si="1714"/>
        <v>#DIV/0!</v>
      </c>
      <c r="AK962" s="116" t="e">
        <f t="shared" si="1714"/>
        <v>#DIV/0!</v>
      </c>
    </row>
    <row r="963" spans="1:38" ht="15.6" hidden="1" thickBot="1">
      <c r="A963" s="91"/>
      <c r="B963" s="100"/>
      <c r="C963" s="86"/>
      <c r="D963" s="87">
        <v>2019</v>
      </c>
      <c r="E963" s="88"/>
      <c r="F963" s="121"/>
      <c r="G963" s="121"/>
      <c r="H963" s="121"/>
      <c r="I963" s="121"/>
      <c r="J963" s="121"/>
      <c r="K963" s="121"/>
      <c r="L963" s="121"/>
      <c r="M963" s="122"/>
      <c r="N963" s="122"/>
      <c r="O963" s="122"/>
      <c r="P963" s="123"/>
      <c r="Q963" s="89">
        <f t="shared" ref="Q963:Q965" si="1715">SUM(E963:P963)</f>
        <v>0</v>
      </c>
      <c r="R963" s="90">
        <f t="shared" ref="R963" si="1716">SUM(E963:M963)</f>
        <v>0</v>
      </c>
      <c r="T963" s="91"/>
      <c r="U963" s="100"/>
      <c r="V963" s="86">
        <f t="shared" ref="V963:V964" si="1717">C963</f>
        <v>0</v>
      </c>
      <c r="W963" s="87">
        <v>2019</v>
      </c>
      <c r="X963" s="88"/>
      <c r="Y963" s="121"/>
      <c r="Z963" s="121"/>
      <c r="AA963" s="121"/>
      <c r="AB963" s="121"/>
      <c r="AC963" s="121"/>
      <c r="AD963" s="121"/>
      <c r="AE963" s="121"/>
      <c r="AF963" s="122"/>
      <c r="AG963" s="122"/>
      <c r="AH963" s="122"/>
      <c r="AI963" s="123"/>
      <c r="AJ963" s="89">
        <f t="shared" ref="AJ963:AJ965" si="1718">SUM(X963:AI963)</f>
        <v>0</v>
      </c>
      <c r="AK963" s="90">
        <f t="shared" ref="AK963:AK965" si="1719">SUM(X963:AF963)</f>
        <v>0</v>
      </c>
    </row>
    <row r="964" spans="1:38" ht="15.6" hidden="1" thickBot="1">
      <c r="A964" s="91"/>
      <c r="B964" s="100"/>
      <c r="C964" s="92"/>
      <c r="D964" s="93" t="s">
        <v>92</v>
      </c>
      <c r="E964" s="94"/>
      <c r="F964" s="97"/>
      <c r="G964" s="97"/>
      <c r="H964" s="97"/>
      <c r="I964" s="97"/>
      <c r="J964" s="97"/>
      <c r="K964" s="97"/>
      <c r="L964" s="97"/>
      <c r="M964" s="98"/>
      <c r="N964" s="98"/>
      <c r="O964" s="98"/>
      <c r="P964" s="99"/>
      <c r="Q964" s="95">
        <f t="shared" si="1715"/>
        <v>0</v>
      </c>
      <c r="R964" s="96">
        <f t="shared" si="1635"/>
        <v>0</v>
      </c>
      <c r="T964" s="91"/>
      <c r="U964" s="100"/>
      <c r="V964" s="92">
        <f t="shared" si="1717"/>
        <v>0</v>
      </c>
      <c r="W964" s="93" t="s">
        <v>92</v>
      </c>
      <c r="X964" s="94"/>
      <c r="Y964" s="97"/>
      <c r="Z964" s="97"/>
      <c r="AA964" s="97"/>
      <c r="AB964" s="97"/>
      <c r="AC964" s="97"/>
      <c r="AD964" s="97"/>
      <c r="AE964" s="97"/>
      <c r="AF964" s="98"/>
      <c r="AG964" s="98"/>
      <c r="AH964" s="98"/>
      <c r="AI964" s="99"/>
      <c r="AJ964" s="95">
        <f t="shared" si="1718"/>
        <v>0</v>
      </c>
      <c r="AK964" s="96">
        <f t="shared" si="1719"/>
        <v>0</v>
      </c>
    </row>
    <row r="965" spans="1:38" ht="15.6" hidden="1" thickBot="1">
      <c r="A965" s="91"/>
      <c r="B965" s="100"/>
      <c r="C965" s="92"/>
      <c r="D965" s="101">
        <v>2020</v>
      </c>
      <c r="E965" s="102"/>
      <c r="F965" s="124"/>
      <c r="G965" s="124"/>
      <c r="H965" s="124"/>
      <c r="I965" s="124"/>
      <c r="J965" s="124"/>
      <c r="K965" s="124"/>
      <c r="L965" s="124"/>
      <c r="M965" s="125"/>
      <c r="N965" s="125"/>
      <c r="O965" s="125"/>
      <c r="P965" s="126"/>
      <c r="Q965" s="103">
        <f t="shared" si="1715"/>
        <v>0</v>
      </c>
      <c r="R965" s="104">
        <f t="shared" si="1635"/>
        <v>0</v>
      </c>
      <c r="S965" s="105"/>
      <c r="T965" s="91"/>
      <c r="U965" s="100"/>
      <c r="V965" s="92"/>
      <c r="W965" s="101">
        <v>2020</v>
      </c>
      <c r="X965" s="102"/>
      <c r="Y965" s="124"/>
      <c r="Z965" s="124"/>
      <c r="AA965" s="124"/>
      <c r="AB965" s="124"/>
      <c r="AC965" s="124"/>
      <c r="AD965" s="124"/>
      <c r="AE965" s="124"/>
      <c r="AF965" s="125"/>
      <c r="AG965" s="125"/>
      <c r="AH965" s="125"/>
      <c r="AI965" s="126"/>
      <c r="AJ965" s="103">
        <f t="shared" si="1718"/>
        <v>0</v>
      </c>
      <c r="AK965" s="104">
        <f t="shared" si="1719"/>
        <v>0</v>
      </c>
      <c r="AL965" s="105"/>
    </row>
    <row r="966" spans="1:38" ht="15.6" hidden="1" thickBot="1">
      <c r="A966" s="91"/>
      <c r="B966" s="100"/>
      <c r="C966" s="92"/>
      <c r="D966" s="101" t="s">
        <v>102</v>
      </c>
      <c r="E966" s="106" t="e">
        <f t="shared" ref="E966:R966" si="1720">E965/E964</f>
        <v>#DIV/0!</v>
      </c>
      <c r="F966" s="106" t="e">
        <f t="shared" si="1720"/>
        <v>#DIV/0!</v>
      </c>
      <c r="G966" s="106" t="e">
        <f t="shared" si="1720"/>
        <v>#DIV/0!</v>
      </c>
      <c r="H966" s="106" t="e">
        <f t="shared" si="1720"/>
        <v>#DIV/0!</v>
      </c>
      <c r="I966" s="106" t="e">
        <f t="shared" si="1720"/>
        <v>#DIV/0!</v>
      </c>
      <c r="J966" s="106" t="e">
        <f t="shared" si="1720"/>
        <v>#DIV/0!</v>
      </c>
      <c r="K966" s="106" t="e">
        <f t="shared" si="1720"/>
        <v>#DIV/0!</v>
      </c>
      <c r="L966" s="106" t="e">
        <f t="shared" si="1720"/>
        <v>#DIV/0!</v>
      </c>
      <c r="M966" s="107" t="e">
        <f t="shared" si="1720"/>
        <v>#DIV/0!</v>
      </c>
      <c r="N966" s="107" t="e">
        <f t="shared" si="1720"/>
        <v>#DIV/0!</v>
      </c>
      <c r="O966" s="107" t="e">
        <f t="shared" si="1720"/>
        <v>#DIV/0!</v>
      </c>
      <c r="P966" s="108" t="e">
        <f t="shared" si="1720"/>
        <v>#DIV/0!</v>
      </c>
      <c r="Q966" s="109" t="e">
        <f t="shared" si="1720"/>
        <v>#DIV/0!</v>
      </c>
      <c r="R966" s="110" t="e">
        <f t="shared" si="1720"/>
        <v>#DIV/0!</v>
      </c>
      <c r="S966" s="105"/>
      <c r="T966" s="91"/>
      <c r="U966" s="100"/>
      <c r="V966" s="92"/>
      <c r="W966" s="101" t="s">
        <v>102</v>
      </c>
      <c r="X966" s="106" t="e">
        <f t="shared" ref="X966:AK966" si="1721">X965/X964</f>
        <v>#DIV/0!</v>
      </c>
      <c r="Y966" s="106" t="e">
        <f t="shared" si="1721"/>
        <v>#DIV/0!</v>
      </c>
      <c r="Z966" s="106" t="e">
        <f t="shared" si="1721"/>
        <v>#DIV/0!</v>
      </c>
      <c r="AA966" s="106" t="e">
        <f t="shared" si="1721"/>
        <v>#DIV/0!</v>
      </c>
      <c r="AB966" s="106" t="e">
        <f t="shared" si="1721"/>
        <v>#DIV/0!</v>
      </c>
      <c r="AC966" s="106" t="e">
        <f t="shared" si="1721"/>
        <v>#DIV/0!</v>
      </c>
      <c r="AD966" s="106" t="e">
        <f t="shared" si="1721"/>
        <v>#DIV/0!</v>
      </c>
      <c r="AE966" s="106" t="e">
        <f t="shared" si="1721"/>
        <v>#DIV/0!</v>
      </c>
      <c r="AF966" s="107" t="e">
        <f t="shared" si="1721"/>
        <v>#DIV/0!</v>
      </c>
      <c r="AG966" s="107" t="e">
        <f t="shared" si="1721"/>
        <v>#DIV/0!</v>
      </c>
      <c r="AH966" s="107" t="e">
        <f t="shared" si="1721"/>
        <v>#DIV/0!</v>
      </c>
      <c r="AI966" s="108" t="e">
        <f t="shared" si="1721"/>
        <v>#DIV/0!</v>
      </c>
      <c r="AJ966" s="109" t="e">
        <f t="shared" si="1721"/>
        <v>#DIV/0!</v>
      </c>
      <c r="AK966" s="110" t="e">
        <f t="shared" si="1721"/>
        <v>#DIV/0!</v>
      </c>
      <c r="AL966" s="105"/>
    </row>
    <row r="967" spans="1:38" ht="15.6" hidden="1" thickBot="1">
      <c r="A967" s="91"/>
      <c r="B967" s="100"/>
      <c r="C967" s="111"/>
      <c r="D967" s="112" t="s">
        <v>103</v>
      </c>
      <c r="E967" s="113" t="e">
        <f t="shared" ref="E967:R967" si="1722">E965/E963</f>
        <v>#DIV/0!</v>
      </c>
      <c r="F967" s="113" t="e">
        <f t="shared" si="1722"/>
        <v>#DIV/0!</v>
      </c>
      <c r="G967" s="113" t="e">
        <f t="shared" si="1722"/>
        <v>#DIV/0!</v>
      </c>
      <c r="H967" s="113" t="e">
        <f t="shared" si="1722"/>
        <v>#DIV/0!</v>
      </c>
      <c r="I967" s="113" t="e">
        <f t="shared" si="1722"/>
        <v>#DIV/0!</v>
      </c>
      <c r="J967" s="113" t="e">
        <f t="shared" si="1722"/>
        <v>#DIV/0!</v>
      </c>
      <c r="K967" s="113" t="e">
        <f t="shared" si="1722"/>
        <v>#DIV/0!</v>
      </c>
      <c r="L967" s="113" t="e">
        <f t="shared" si="1722"/>
        <v>#DIV/0!</v>
      </c>
      <c r="M967" s="113" t="e">
        <f t="shared" si="1722"/>
        <v>#DIV/0!</v>
      </c>
      <c r="N967" s="113" t="e">
        <f t="shared" si="1722"/>
        <v>#DIV/0!</v>
      </c>
      <c r="O967" s="113" t="e">
        <f t="shared" si="1722"/>
        <v>#DIV/0!</v>
      </c>
      <c r="P967" s="114" t="e">
        <f t="shared" si="1722"/>
        <v>#DIV/0!</v>
      </c>
      <c r="Q967" s="115" t="e">
        <f t="shared" si="1722"/>
        <v>#DIV/0!</v>
      </c>
      <c r="R967" s="116" t="e">
        <f t="shared" si="1722"/>
        <v>#DIV/0!</v>
      </c>
      <c r="T967" s="91"/>
      <c r="U967" s="100"/>
      <c r="V967" s="111"/>
      <c r="W967" s="112" t="s">
        <v>103</v>
      </c>
      <c r="X967" s="113" t="e">
        <f t="shared" ref="X967:AK967" si="1723">X965/X963</f>
        <v>#DIV/0!</v>
      </c>
      <c r="Y967" s="113" t="e">
        <f t="shared" si="1723"/>
        <v>#DIV/0!</v>
      </c>
      <c r="Z967" s="113" t="e">
        <f t="shared" si="1723"/>
        <v>#DIV/0!</v>
      </c>
      <c r="AA967" s="113" t="e">
        <f t="shared" si="1723"/>
        <v>#DIV/0!</v>
      </c>
      <c r="AB967" s="113" t="e">
        <f t="shared" si="1723"/>
        <v>#DIV/0!</v>
      </c>
      <c r="AC967" s="113" t="e">
        <f t="shared" si="1723"/>
        <v>#DIV/0!</v>
      </c>
      <c r="AD967" s="113" t="e">
        <f t="shared" si="1723"/>
        <v>#DIV/0!</v>
      </c>
      <c r="AE967" s="113" t="e">
        <f t="shared" si="1723"/>
        <v>#DIV/0!</v>
      </c>
      <c r="AF967" s="113" t="e">
        <f t="shared" si="1723"/>
        <v>#DIV/0!</v>
      </c>
      <c r="AG967" s="113" t="e">
        <f t="shared" si="1723"/>
        <v>#DIV/0!</v>
      </c>
      <c r="AH967" s="113" t="e">
        <f t="shared" si="1723"/>
        <v>#DIV/0!</v>
      </c>
      <c r="AI967" s="114" t="e">
        <f t="shared" si="1723"/>
        <v>#DIV/0!</v>
      </c>
      <c r="AJ967" s="115" t="e">
        <f t="shared" si="1723"/>
        <v>#DIV/0!</v>
      </c>
      <c r="AK967" s="116" t="e">
        <f t="shared" si="1723"/>
        <v>#DIV/0!</v>
      </c>
    </row>
    <row r="968" spans="1:38" ht="15.6" hidden="1" thickBot="1">
      <c r="A968" s="91"/>
      <c r="B968" s="100"/>
      <c r="C968" s="86"/>
      <c r="D968" s="87">
        <v>2019</v>
      </c>
      <c r="E968" s="88"/>
      <c r="F968" s="121"/>
      <c r="G968" s="121"/>
      <c r="H968" s="121"/>
      <c r="I968" s="121"/>
      <c r="J968" s="121"/>
      <c r="K968" s="121"/>
      <c r="L968" s="121"/>
      <c r="M968" s="122"/>
      <c r="N968" s="122"/>
      <c r="O968" s="122"/>
      <c r="P968" s="123"/>
      <c r="Q968" s="89">
        <f t="shared" ref="Q968:Q970" si="1724">SUM(E968:P968)</f>
        <v>0</v>
      </c>
      <c r="R968" s="90">
        <f t="shared" ref="R968" si="1725">SUM(E968:M968)</f>
        <v>0</v>
      </c>
      <c r="T968" s="91"/>
      <c r="U968" s="100"/>
      <c r="V968" s="86">
        <f t="shared" ref="V968:V969" si="1726">C968</f>
        <v>0</v>
      </c>
      <c r="W968" s="87">
        <v>2019</v>
      </c>
      <c r="X968" s="88"/>
      <c r="Y968" s="121"/>
      <c r="Z968" s="121"/>
      <c r="AA968" s="121"/>
      <c r="AB968" s="121"/>
      <c r="AC968" s="121"/>
      <c r="AD968" s="121"/>
      <c r="AE968" s="121"/>
      <c r="AF968" s="122"/>
      <c r="AG968" s="122"/>
      <c r="AH968" s="122"/>
      <c r="AI968" s="123"/>
      <c r="AJ968" s="89">
        <f t="shared" ref="AJ968:AJ970" si="1727">SUM(X968:AI968)</f>
        <v>0</v>
      </c>
      <c r="AK968" s="90">
        <f t="shared" ref="AK968:AK970" si="1728">SUM(X968:AF968)</f>
        <v>0</v>
      </c>
    </row>
    <row r="969" spans="1:38" ht="15.6" hidden="1" thickBot="1">
      <c r="A969" s="91"/>
      <c r="B969" s="100"/>
      <c r="C969" s="92"/>
      <c r="D969" s="93" t="s">
        <v>92</v>
      </c>
      <c r="E969" s="94"/>
      <c r="F969" s="97"/>
      <c r="G969" s="97"/>
      <c r="H969" s="97"/>
      <c r="I969" s="97"/>
      <c r="J969" s="97"/>
      <c r="K969" s="97"/>
      <c r="L969" s="97"/>
      <c r="M969" s="98"/>
      <c r="N969" s="98"/>
      <c r="O969" s="98"/>
      <c r="P969" s="99"/>
      <c r="Q969" s="95">
        <f t="shared" si="1724"/>
        <v>0</v>
      </c>
      <c r="R969" s="96">
        <f t="shared" si="1635"/>
        <v>0</v>
      </c>
      <c r="T969" s="91"/>
      <c r="U969" s="100"/>
      <c r="V969" s="92">
        <f t="shared" si="1726"/>
        <v>0</v>
      </c>
      <c r="W969" s="93" t="s">
        <v>92</v>
      </c>
      <c r="X969" s="94"/>
      <c r="Y969" s="97"/>
      <c r="Z969" s="97"/>
      <c r="AA969" s="97"/>
      <c r="AB969" s="97"/>
      <c r="AC969" s="97"/>
      <c r="AD969" s="97"/>
      <c r="AE969" s="97"/>
      <c r="AF969" s="98"/>
      <c r="AG969" s="98"/>
      <c r="AH969" s="98"/>
      <c r="AI969" s="99"/>
      <c r="AJ969" s="95">
        <f t="shared" si="1727"/>
        <v>0</v>
      </c>
      <c r="AK969" s="96">
        <f t="shared" si="1728"/>
        <v>0</v>
      </c>
    </row>
    <row r="970" spans="1:38" ht="15.6" hidden="1" thickBot="1">
      <c r="A970" s="91"/>
      <c r="B970" s="100"/>
      <c r="C970" s="92"/>
      <c r="D970" s="101">
        <v>2020</v>
      </c>
      <c r="E970" s="102"/>
      <c r="F970" s="124"/>
      <c r="G970" s="124"/>
      <c r="H970" s="124"/>
      <c r="I970" s="124"/>
      <c r="J970" s="124"/>
      <c r="K970" s="124"/>
      <c r="L970" s="124"/>
      <c r="M970" s="125"/>
      <c r="N970" s="125"/>
      <c r="O970" s="125"/>
      <c r="P970" s="126"/>
      <c r="Q970" s="103">
        <f t="shared" si="1724"/>
        <v>0</v>
      </c>
      <c r="R970" s="104">
        <f t="shared" si="1635"/>
        <v>0</v>
      </c>
      <c r="S970" s="105"/>
      <c r="T970" s="91"/>
      <c r="U970" s="100"/>
      <c r="V970" s="92"/>
      <c r="W970" s="101">
        <v>2020</v>
      </c>
      <c r="X970" s="102"/>
      <c r="Y970" s="124"/>
      <c r="Z970" s="124"/>
      <c r="AA970" s="124"/>
      <c r="AB970" s="124"/>
      <c r="AC970" s="124"/>
      <c r="AD970" s="124"/>
      <c r="AE970" s="124"/>
      <c r="AF970" s="125"/>
      <c r="AG970" s="125"/>
      <c r="AH970" s="125"/>
      <c r="AI970" s="126"/>
      <c r="AJ970" s="103">
        <f t="shared" si="1727"/>
        <v>0</v>
      </c>
      <c r="AK970" s="104">
        <f t="shared" si="1728"/>
        <v>0</v>
      </c>
      <c r="AL970" s="105"/>
    </row>
    <row r="971" spans="1:38" ht="15.6" hidden="1" thickBot="1">
      <c r="A971" s="91"/>
      <c r="B971" s="100"/>
      <c r="C971" s="92"/>
      <c r="D971" s="101" t="s">
        <v>102</v>
      </c>
      <c r="E971" s="106" t="e">
        <f t="shared" ref="E971:R971" si="1729">E970/E969</f>
        <v>#DIV/0!</v>
      </c>
      <c r="F971" s="106" t="e">
        <f t="shared" si="1729"/>
        <v>#DIV/0!</v>
      </c>
      <c r="G971" s="106" t="e">
        <f t="shared" si="1729"/>
        <v>#DIV/0!</v>
      </c>
      <c r="H971" s="106" t="e">
        <f t="shared" si="1729"/>
        <v>#DIV/0!</v>
      </c>
      <c r="I971" s="106" t="e">
        <f t="shared" si="1729"/>
        <v>#DIV/0!</v>
      </c>
      <c r="J971" s="106" t="e">
        <f t="shared" si="1729"/>
        <v>#DIV/0!</v>
      </c>
      <c r="K971" s="106" t="e">
        <f t="shared" si="1729"/>
        <v>#DIV/0!</v>
      </c>
      <c r="L971" s="106" t="e">
        <f t="shared" si="1729"/>
        <v>#DIV/0!</v>
      </c>
      <c r="M971" s="107" t="e">
        <f t="shared" si="1729"/>
        <v>#DIV/0!</v>
      </c>
      <c r="N971" s="107" t="e">
        <f t="shared" si="1729"/>
        <v>#DIV/0!</v>
      </c>
      <c r="O971" s="107" t="e">
        <f t="shared" si="1729"/>
        <v>#DIV/0!</v>
      </c>
      <c r="P971" s="108" t="e">
        <f t="shared" si="1729"/>
        <v>#DIV/0!</v>
      </c>
      <c r="Q971" s="109" t="e">
        <f t="shared" si="1729"/>
        <v>#DIV/0!</v>
      </c>
      <c r="R971" s="110" t="e">
        <f t="shared" si="1729"/>
        <v>#DIV/0!</v>
      </c>
      <c r="S971" s="105"/>
      <c r="T971" s="91"/>
      <c r="U971" s="100"/>
      <c r="V971" s="92"/>
      <c r="W971" s="101" t="s">
        <v>102</v>
      </c>
      <c r="X971" s="106" t="e">
        <f t="shared" ref="X971:AK971" si="1730">X970/X969</f>
        <v>#DIV/0!</v>
      </c>
      <c r="Y971" s="106" t="e">
        <f t="shared" si="1730"/>
        <v>#DIV/0!</v>
      </c>
      <c r="Z971" s="106" t="e">
        <f t="shared" si="1730"/>
        <v>#DIV/0!</v>
      </c>
      <c r="AA971" s="106" t="e">
        <f t="shared" si="1730"/>
        <v>#DIV/0!</v>
      </c>
      <c r="AB971" s="106" t="e">
        <f t="shared" si="1730"/>
        <v>#DIV/0!</v>
      </c>
      <c r="AC971" s="106" t="e">
        <f t="shared" si="1730"/>
        <v>#DIV/0!</v>
      </c>
      <c r="AD971" s="106" t="e">
        <f t="shared" si="1730"/>
        <v>#DIV/0!</v>
      </c>
      <c r="AE971" s="106" t="e">
        <f t="shared" si="1730"/>
        <v>#DIV/0!</v>
      </c>
      <c r="AF971" s="107" t="e">
        <f t="shared" si="1730"/>
        <v>#DIV/0!</v>
      </c>
      <c r="AG971" s="107" t="e">
        <f t="shared" si="1730"/>
        <v>#DIV/0!</v>
      </c>
      <c r="AH971" s="107" t="e">
        <f t="shared" si="1730"/>
        <v>#DIV/0!</v>
      </c>
      <c r="AI971" s="108" t="e">
        <f t="shared" si="1730"/>
        <v>#DIV/0!</v>
      </c>
      <c r="AJ971" s="109" t="e">
        <f t="shared" si="1730"/>
        <v>#DIV/0!</v>
      </c>
      <c r="AK971" s="110" t="e">
        <f t="shared" si="1730"/>
        <v>#DIV/0!</v>
      </c>
      <c r="AL971" s="105"/>
    </row>
    <row r="972" spans="1:38" ht="15.6" hidden="1" thickBot="1">
      <c r="A972" s="91"/>
      <c r="B972" s="100"/>
      <c r="C972" s="111"/>
      <c r="D972" s="112" t="s">
        <v>103</v>
      </c>
      <c r="E972" s="113" t="e">
        <f t="shared" ref="E972:R972" si="1731">E970/E968</f>
        <v>#DIV/0!</v>
      </c>
      <c r="F972" s="113" t="e">
        <f t="shared" si="1731"/>
        <v>#DIV/0!</v>
      </c>
      <c r="G972" s="113" t="e">
        <f t="shared" si="1731"/>
        <v>#DIV/0!</v>
      </c>
      <c r="H972" s="113" t="e">
        <f t="shared" si="1731"/>
        <v>#DIV/0!</v>
      </c>
      <c r="I972" s="113" t="e">
        <f t="shared" si="1731"/>
        <v>#DIV/0!</v>
      </c>
      <c r="J972" s="113" t="e">
        <f t="shared" si="1731"/>
        <v>#DIV/0!</v>
      </c>
      <c r="K972" s="113" t="e">
        <f t="shared" si="1731"/>
        <v>#DIV/0!</v>
      </c>
      <c r="L972" s="113" t="e">
        <f t="shared" si="1731"/>
        <v>#DIV/0!</v>
      </c>
      <c r="M972" s="113" t="e">
        <f t="shared" si="1731"/>
        <v>#DIV/0!</v>
      </c>
      <c r="N972" s="113" t="e">
        <f t="shared" si="1731"/>
        <v>#DIV/0!</v>
      </c>
      <c r="O972" s="113" t="e">
        <f t="shared" si="1731"/>
        <v>#DIV/0!</v>
      </c>
      <c r="P972" s="114" t="e">
        <f t="shared" si="1731"/>
        <v>#DIV/0!</v>
      </c>
      <c r="Q972" s="115" t="e">
        <f t="shared" si="1731"/>
        <v>#DIV/0!</v>
      </c>
      <c r="R972" s="116" t="e">
        <f t="shared" si="1731"/>
        <v>#DIV/0!</v>
      </c>
      <c r="T972" s="91"/>
      <c r="U972" s="100"/>
      <c r="V972" s="111"/>
      <c r="W972" s="112" t="s">
        <v>103</v>
      </c>
      <c r="X972" s="113" t="e">
        <f t="shared" ref="X972:AK972" si="1732">X970/X968</f>
        <v>#DIV/0!</v>
      </c>
      <c r="Y972" s="113" t="e">
        <f t="shared" si="1732"/>
        <v>#DIV/0!</v>
      </c>
      <c r="Z972" s="113" t="e">
        <f t="shared" si="1732"/>
        <v>#DIV/0!</v>
      </c>
      <c r="AA972" s="113" t="e">
        <f t="shared" si="1732"/>
        <v>#DIV/0!</v>
      </c>
      <c r="AB972" s="113" t="e">
        <f t="shared" si="1732"/>
        <v>#DIV/0!</v>
      </c>
      <c r="AC972" s="113" t="e">
        <f t="shared" si="1732"/>
        <v>#DIV/0!</v>
      </c>
      <c r="AD972" s="113" t="e">
        <f t="shared" si="1732"/>
        <v>#DIV/0!</v>
      </c>
      <c r="AE972" s="113" t="e">
        <f t="shared" si="1732"/>
        <v>#DIV/0!</v>
      </c>
      <c r="AF972" s="113" t="e">
        <f t="shared" si="1732"/>
        <v>#DIV/0!</v>
      </c>
      <c r="AG972" s="113" t="e">
        <f t="shared" si="1732"/>
        <v>#DIV/0!</v>
      </c>
      <c r="AH972" s="113" t="e">
        <f t="shared" si="1732"/>
        <v>#DIV/0!</v>
      </c>
      <c r="AI972" s="114" t="e">
        <f t="shared" si="1732"/>
        <v>#DIV/0!</v>
      </c>
      <c r="AJ972" s="115" t="e">
        <f t="shared" si="1732"/>
        <v>#DIV/0!</v>
      </c>
      <c r="AK972" s="116" t="e">
        <f t="shared" si="1732"/>
        <v>#DIV/0!</v>
      </c>
    </row>
    <row r="973" spans="1:38" ht="15.6" hidden="1" thickBot="1">
      <c r="A973" s="91"/>
      <c r="B973" s="100"/>
      <c r="C973" s="86" t="s">
        <v>116</v>
      </c>
      <c r="D973" s="87">
        <v>2019</v>
      </c>
      <c r="E973" s="88"/>
      <c r="F973" s="121"/>
      <c r="G973" s="121"/>
      <c r="H973" s="121"/>
      <c r="I973" s="121"/>
      <c r="J973" s="121"/>
      <c r="K973" s="121"/>
      <c r="L973" s="121"/>
      <c r="M973" s="122"/>
      <c r="N973" s="122"/>
      <c r="O973" s="122"/>
      <c r="P973" s="123"/>
      <c r="Q973" s="89">
        <f t="shared" ref="Q973:Q975" si="1733">SUM(E973:P973)</f>
        <v>0</v>
      </c>
      <c r="R973" s="90">
        <f t="shared" ref="R973" si="1734">SUM(E973:M973)</f>
        <v>0</v>
      </c>
      <c r="T973" s="91"/>
      <c r="U973" s="100"/>
      <c r="V973" s="86" t="str">
        <f t="shared" ref="V973:V974" si="1735">C973</f>
        <v>その他</v>
      </c>
      <c r="W973" s="87">
        <v>2019</v>
      </c>
      <c r="X973" s="88"/>
      <c r="Y973" s="121"/>
      <c r="Z973" s="121"/>
      <c r="AA973" s="121"/>
      <c r="AB973" s="121"/>
      <c r="AC973" s="121"/>
      <c r="AD973" s="121"/>
      <c r="AE973" s="121"/>
      <c r="AF973" s="122"/>
      <c r="AG973" s="122"/>
      <c r="AH973" s="122"/>
      <c r="AI973" s="123"/>
      <c r="AJ973" s="89">
        <f t="shared" ref="AJ973:AJ975" si="1736">SUM(X973:AI973)</f>
        <v>0</v>
      </c>
      <c r="AK973" s="90">
        <f t="shared" ref="AK973:AK975" si="1737">SUM(X973:AF973)</f>
        <v>0</v>
      </c>
    </row>
    <row r="974" spans="1:38" ht="15.6" hidden="1" thickBot="1">
      <c r="A974" s="91"/>
      <c r="B974" s="100"/>
      <c r="C974" s="92" t="s">
        <v>129</v>
      </c>
      <c r="D974" s="93" t="s">
        <v>92</v>
      </c>
      <c r="E974" s="94"/>
      <c r="F974" s="97"/>
      <c r="G974" s="97"/>
      <c r="H974" s="97"/>
      <c r="I974" s="97"/>
      <c r="J974" s="97"/>
      <c r="K974" s="97"/>
      <c r="L974" s="97"/>
      <c r="M974" s="98"/>
      <c r="N974" s="98"/>
      <c r="O974" s="98"/>
      <c r="P974" s="99"/>
      <c r="Q974" s="95">
        <f t="shared" si="1733"/>
        <v>0</v>
      </c>
      <c r="R974" s="96">
        <f t="shared" si="1635"/>
        <v>0</v>
      </c>
      <c r="T974" s="91"/>
      <c r="U974" s="100"/>
      <c r="V974" s="92" t="str">
        <f t="shared" si="1735"/>
        <v>Others</v>
      </c>
      <c r="W974" s="93" t="s">
        <v>92</v>
      </c>
      <c r="X974" s="94"/>
      <c r="Y974" s="97"/>
      <c r="Z974" s="97"/>
      <c r="AA974" s="97"/>
      <c r="AB974" s="97"/>
      <c r="AC974" s="97"/>
      <c r="AD974" s="97"/>
      <c r="AE974" s="97"/>
      <c r="AF974" s="98"/>
      <c r="AG974" s="98"/>
      <c r="AH974" s="98"/>
      <c r="AI974" s="99"/>
      <c r="AJ974" s="95">
        <f t="shared" si="1736"/>
        <v>0</v>
      </c>
      <c r="AK974" s="96">
        <f t="shared" si="1737"/>
        <v>0</v>
      </c>
    </row>
    <row r="975" spans="1:38" ht="15.6" hidden="1" thickBot="1">
      <c r="A975" s="91"/>
      <c r="B975" s="100"/>
      <c r="C975" s="92"/>
      <c r="D975" s="101">
        <v>2020</v>
      </c>
      <c r="E975" s="102"/>
      <c r="F975" s="124"/>
      <c r="G975" s="124"/>
      <c r="H975" s="124"/>
      <c r="I975" s="124"/>
      <c r="J975" s="124"/>
      <c r="K975" s="124"/>
      <c r="L975" s="124"/>
      <c r="M975" s="125"/>
      <c r="N975" s="125"/>
      <c r="O975" s="125"/>
      <c r="P975" s="126"/>
      <c r="Q975" s="103">
        <f t="shared" si="1733"/>
        <v>0</v>
      </c>
      <c r="R975" s="104">
        <f t="shared" si="1635"/>
        <v>0</v>
      </c>
      <c r="S975" s="105"/>
      <c r="T975" s="91"/>
      <c r="U975" s="100"/>
      <c r="V975" s="92"/>
      <c r="W975" s="101">
        <v>2020</v>
      </c>
      <c r="X975" s="102"/>
      <c r="Y975" s="124"/>
      <c r="Z975" s="124"/>
      <c r="AA975" s="124"/>
      <c r="AB975" s="124"/>
      <c r="AC975" s="124"/>
      <c r="AD975" s="124"/>
      <c r="AE975" s="124"/>
      <c r="AF975" s="125"/>
      <c r="AG975" s="125"/>
      <c r="AH975" s="125"/>
      <c r="AI975" s="126"/>
      <c r="AJ975" s="103">
        <f t="shared" si="1736"/>
        <v>0</v>
      </c>
      <c r="AK975" s="104">
        <f t="shared" si="1737"/>
        <v>0</v>
      </c>
      <c r="AL975" s="105"/>
    </row>
    <row r="976" spans="1:38" ht="15.6" hidden="1" thickBot="1">
      <c r="A976" s="91"/>
      <c r="B976" s="100"/>
      <c r="C976" s="92"/>
      <c r="D976" s="101" t="s">
        <v>102</v>
      </c>
      <c r="E976" s="106" t="e">
        <f t="shared" ref="E976:R976" si="1738">E975/E974</f>
        <v>#DIV/0!</v>
      </c>
      <c r="F976" s="106" t="e">
        <f t="shared" si="1738"/>
        <v>#DIV/0!</v>
      </c>
      <c r="G976" s="106" t="e">
        <f t="shared" si="1738"/>
        <v>#DIV/0!</v>
      </c>
      <c r="H976" s="106" t="e">
        <f t="shared" si="1738"/>
        <v>#DIV/0!</v>
      </c>
      <c r="I976" s="106" t="e">
        <f t="shared" si="1738"/>
        <v>#DIV/0!</v>
      </c>
      <c r="J976" s="106" t="e">
        <f t="shared" si="1738"/>
        <v>#DIV/0!</v>
      </c>
      <c r="K976" s="106" t="e">
        <f t="shared" si="1738"/>
        <v>#DIV/0!</v>
      </c>
      <c r="L976" s="106" t="e">
        <f t="shared" si="1738"/>
        <v>#DIV/0!</v>
      </c>
      <c r="M976" s="107" t="e">
        <f t="shared" si="1738"/>
        <v>#DIV/0!</v>
      </c>
      <c r="N976" s="107" t="e">
        <f t="shared" si="1738"/>
        <v>#DIV/0!</v>
      </c>
      <c r="O976" s="107" t="e">
        <f t="shared" si="1738"/>
        <v>#DIV/0!</v>
      </c>
      <c r="P976" s="108" t="e">
        <f t="shared" si="1738"/>
        <v>#DIV/0!</v>
      </c>
      <c r="Q976" s="109" t="e">
        <f t="shared" si="1738"/>
        <v>#DIV/0!</v>
      </c>
      <c r="R976" s="110" t="e">
        <f t="shared" si="1738"/>
        <v>#DIV/0!</v>
      </c>
      <c r="S976" s="105"/>
      <c r="T976" s="91"/>
      <c r="U976" s="100"/>
      <c r="V976" s="92"/>
      <c r="W976" s="101" t="s">
        <v>102</v>
      </c>
      <c r="X976" s="106" t="e">
        <f t="shared" ref="X976:AK976" si="1739">X975/X974</f>
        <v>#DIV/0!</v>
      </c>
      <c r="Y976" s="106" t="e">
        <f t="shared" si="1739"/>
        <v>#DIV/0!</v>
      </c>
      <c r="Z976" s="106" t="e">
        <f t="shared" si="1739"/>
        <v>#DIV/0!</v>
      </c>
      <c r="AA976" s="106" t="e">
        <f t="shared" si="1739"/>
        <v>#DIV/0!</v>
      </c>
      <c r="AB976" s="106" t="e">
        <f t="shared" si="1739"/>
        <v>#DIV/0!</v>
      </c>
      <c r="AC976" s="106" t="e">
        <f t="shared" si="1739"/>
        <v>#DIV/0!</v>
      </c>
      <c r="AD976" s="106" t="e">
        <f t="shared" si="1739"/>
        <v>#DIV/0!</v>
      </c>
      <c r="AE976" s="106" t="e">
        <f t="shared" si="1739"/>
        <v>#DIV/0!</v>
      </c>
      <c r="AF976" s="107" t="e">
        <f t="shared" si="1739"/>
        <v>#DIV/0!</v>
      </c>
      <c r="AG976" s="107" t="e">
        <f t="shared" si="1739"/>
        <v>#DIV/0!</v>
      </c>
      <c r="AH976" s="107" t="e">
        <f t="shared" si="1739"/>
        <v>#DIV/0!</v>
      </c>
      <c r="AI976" s="108" t="e">
        <f t="shared" si="1739"/>
        <v>#DIV/0!</v>
      </c>
      <c r="AJ976" s="109" t="e">
        <f t="shared" si="1739"/>
        <v>#DIV/0!</v>
      </c>
      <c r="AK976" s="110" t="e">
        <f t="shared" si="1739"/>
        <v>#DIV/0!</v>
      </c>
      <c r="AL976" s="105"/>
    </row>
    <row r="977" spans="1:38" ht="15.6" hidden="1" thickBot="1">
      <c r="A977" s="91"/>
      <c r="B977" s="100"/>
      <c r="C977" s="111"/>
      <c r="D977" s="112" t="s">
        <v>103</v>
      </c>
      <c r="E977" s="113" t="e">
        <f t="shared" ref="E977:R977" si="1740">E975/E973</f>
        <v>#DIV/0!</v>
      </c>
      <c r="F977" s="113" t="e">
        <f t="shared" si="1740"/>
        <v>#DIV/0!</v>
      </c>
      <c r="G977" s="113" t="e">
        <f t="shared" si="1740"/>
        <v>#DIV/0!</v>
      </c>
      <c r="H977" s="113" t="e">
        <f t="shared" si="1740"/>
        <v>#DIV/0!</v>
      </c>
      <c r="I977" s="113" t="e">
        <f t="shared" si="1740"/>
        <v>#DIV/0!</v>
      </c>
      <c r="J977" s="113" t="e">
        <f t="shared" si="1740"/>
        <v>#DIV/0!</v>
      </c>
      <c r="K977" s="113" t="e">
        <f t="shared" si="1740"/>
        <v>#DIV/0!</v>
      </c>
      <c r="L977" s="113" t="e">
        <f t="shared" si="1740"/>
        <v>#DIV/0!</v>
      </c>
      <c r="M977" s="113" t="e">
        <f t="shared" si="1740"/>
        <v>#DIV/0!</v>
      </c>
      <c r="N977" s="113" t="e">
        <f t="shared" si="1740"/>
        <v>#DIV/0!</v>
      </c>
      <c r="O977" s="113" t="e">
        <f t="shared" si="1740"/>
        <v>#DIV/0!</v>
      </c>
      <c r="P977" s="114" t="e">
        <f t="shared" si="1740"/>
        <v>#DIV/0!</v>
      </c>
      <c r="Q977" s="115" t="e">
        <f t="shared" si="1740"/>
        <v>#DIV/0!</v>
      </c>
      <c r="R977" s="116" t="e">
        <f t="shared" si="1740"/>
        <v>#DIV/0!</v>
      </c>
      <c r="T977" s="91"/>
      <c r="U977" s="100"/>
      <c r="V977" s="111"/>
      <c r="W977" s="112" t="s">
        <v>103</v>
      </c>
      <c r="X977" s="113" t="e">
        <f t="shared" ref="X977:AK977" si="1741">X975/X973</f>
        <v>#DIV/0!</v>
      </c>
      <c r="Y977" s="113" t="e">
        <f t="shared" si="1741"/>
        <v>#DIV/0!</v>
      </c>
      <c r="Z977" s="113" t="e">
        <f t="shared" si="1741"/>
        <v>#DIV/0!</v>
      </c>
      <c r="AA977" s="113" t="e">
        <f t="shared" si="1741"/>
        <v>#DIV/0!</v>
      </c>
      <c r="AB977" s="113" t="e">
        <f t="shared" si="1741"/>
        <v>#DIV/0!</v>
      </c>
      <c r="AC977" s="113" t="e">
        <f t="shared" si="1741"/>
        <v>#DIV/0!</v>
      </c>
      <c r="AD977" s="113" t="e">
        <f t="shared" si="1741"/>
        <v>#DIV/0!</v>
      </c>
      <c r="AE977" s="113" t="e">
        <f t="shared" si="1741"/>
        <v>#DIV/0!</v>
      </c>
      <c r="AF977" s="113" t="e">
        <f t="shared" si="1741"/>
        <v>#DIV/0!</v>
      </c>
      <c r="AG977" s="113" t="e">
        <f t="shared" si="1741"/>
        <v>#DIV/0!</v>
      </c>
      <c r="AH977" s="113" t="e">
        <f t="shared" si="1741"/>
        <v>#DIV/0!</v>
      </c>
      <c r="AI977" s="114" t="e">
        <f t="shared" si="1741"/>
        <v>#DIV/0!</v>
      </c>
      <c r="AJ977" s="115" t="e">
        <f t="shared" si="1741"/>
        <v>#DIV/0!</v>
      </c>
      <c r="AK977" s="116" t="e">
        <f t="shared" si="1741"/>
        <v>#DIV/0!</v>
      </c>
    </row>
    <row r="978" spans="1:38" ht="15" hidden="1" customHeight="1">
      <c r="A978" s="91"/>
      <c r="B978" s="303" t="s">
        <v>165</v>
      </c>
      <c r="C978" s="304"/>
      <c r="D978" s="127">
        <v>2019</v>
      </c>
      <c r="E978" s="128">
        <f>SUM(E973,E968,E963,E958,E953,E948,E943,E938,E933,E928,E923,E918,E913,E908)</f>
        <v>0</v>
      </c>
      <c r="F978" s="129">
        <f t="shared" ref="F978:P978" si="1742">SUM(F973,F968,F963,F958,F953,F948,F943,F938,F933,F928,F923,F918,F913,F908)</f>
        <v>0</v>
      </c>
      <c r="G978" s="129">
        <f t="shared" si="1742"/>
        <v>0</v>
      </c>
      <c r="H978" s="129">
        <f t="shared" si="1742"/>
        <v>0</v>
      </c>
      <c r="I978" s="129">
        <f t="shared" si="1742"/>
        <v>0</v>
      </c>
      <c r="J978" s="129">
        <f t="shared" si="1742"/>
        <v>0</v>
      </c>
      <c r="K978" s="129">
        <f t="shared" si="1742"/>
        <v>0</v>
      </c>
      <c r="L978" s="129">
        <f t="shared" si="1742"/>
        <v>0</v>
      </c>
      <c r="M978" s="129">
        <f t="shared" si="1742"/>
        <v>0</v>
      </c>
      <c r="N978" s="129">
        <f t="shared" si="1742"/>
        <v>0</v>
      </c>
      <c r="O978" s="129">
        <f t="shared" si="1742"/>
        <v>0</v>
      </c>
      <c r="P978" s="130">
        <f t="shared" si="1742"/>
        <v>0</v>
      </c>
      <c r="Q978" s="131">
        <f>SUM(E978:P978)</f>
        <v>0</v>
      </c>
      <c r="R978" s="90">
        <f t="shared" ref="R978" si="1743">SUM(E978:M978)</f>
        <v>0</v>
      </c>
      <c r="T978" s="91"/>
      <c r="U978" s="309" t="s">
        <v>165</v>
      </c>
      <c r="V978" s="310"/>
      <c r="W978" s="132">
        <v>2019</v>
      </c>
      <c r="X978" s="133">
        <f>SUM(X973,X968,X963,X958,X953,X948,X943,X938,X933,X928,X923,X918,X913,X908)</f>
        <v>0</v>
      </c>
      <c r="Y978" s="134">
        <f t="shared" ref="Y978:AI978" si="1744">SUM(Y973,Y968,Y963,Y958,Y953,Y948,Y943,Y938,Y933,Y928,Y923,Y918,Y913,Y908)</f>
        <v>0</v>
      </c>
      <c r="Z978" s="134">
        <f t="shared" si="1744"/>
        <v>0</v>
      </c>
      <c r="AA978" s="134">
        <f t="shared" si="1744"/>
        <v>0</v>
      </c>
      <c r="AB978" s="134">
        <f t="shared" si="1744"/>
        <v>0</v>
      </c>
      <c r="AC978" s="134">
        <f t="shared" si="1744"/>
        <v>0</v>
      </c>
      <c r="AD978" s="134">
        <f t="shared" si="1744"/>
        <v>0</v>
      </c>
      <c r="AE978" s="134">
        <f t="shared" si="1744"/>
        <v>0</v>
      </c>
      <c r="AF978" s="134">
        <f t="shared" si="1744"/>
        <v>0</v>
      </c>
      <c r="AG978" s="134">
        <f t="shared" si="1744"/>
        <v>0</v>
      </c>
      <c r="AH978" s="134">
        <f t="shared" si="1744"/>
        <v>0</v>
      </c>
      <c r="AI978" s="135">
        <f t="shared" si="1744"/>
        <v>0</v>
      </c>
      <c r="AJ978" s="136">
        <f>SUM(X978:AI978)</f>
        <v>0</v>
      </c>
      <c r="AK978" s="90">
        <f t="shared" ref="AK978:AK980" si="1745">SUM(X978:AF978)</f>
        <v>0</v>
      </c>
    </row>
    <row r="979" spans="1:38" ht="15" hidden="1" customHeight="1">
      <c r="A979" s="91"/>
      <c r="B979" s="305"/>
      <c r="C979" s="306"/>
      <c r="D979" s="137" t="s">
        <v>92</v>
      </c>
      <c r="E979" s="138">
        <f t="shared" ref="E979:P980" si="1746">SUM(E974,E969,E964,E959,E954,E949,E944,E939,E934,E929,E924,E919,E914,E909)</f>
        <v>0</v>
      </c>
      <c r="F979" s="138">
        <f t="shared" si="1746"/>
        <v>0</v>
      </c>
      <c r="G979" s="138">
        <f t="shared" si="1746"/>
        <v>0</v>
      </c>
      <c r="H979" s="138">
        <f t="shared" si="1746"/>
        <v>0</v>
      </c>
      <c r="I979" s="138">
        <f t="shared" si="1746"/>
        <v>0</v>
      </c>
      <c r="J979" s="138">
        <f t="shared" si="1746"/>
        <v>0</v>
      </c>
      <c r="K979" s="138">
        <f t="shared" si="1746"/>
        <v>0</v>
      </c>
      <c r="L979" s="138">
        <f t="shared" si="1746"/>
        <v>0</v>
      </c>
      <c r="M979" s="138">
        <f t="shared" si="1746"/>
        <v>0</v>
      </c>
      <c r="N979" s="138">
        <f t="shared" si="1746"/>
        <v>0</v>
      </c>
      <c r="O979" s="138">
        <f t="shared" si="1746"/>
        <v>0</v>
      </c>
      <c r="P979" s="138">
        <f t="shared" si="1746"/>
        <v>0</v>
      </c>
      <c r="Q979" s="139">
        <f t="shared" ref="Q979:Q980" si="1747">SUM(E979:P979)</f>
        <v>0</v>
      </c>
      <c r="R979" s="96">
        <f t="shared" si="1635"/>
        <v>0</v>
      </c>
      <c r="T979" s="91"/>
      <c r="U979" s="311"/>
      <c r="V979" s="312"/>
      <c r="W979" s="140" t="s">
        <v>92</v>
      </c>
      <c r="X979" s="141">
        <f t="shared" ref="X979:AI980" si="1748">SUM(X974,X969,X964,X959,X954,X949,X944,X939,X934,X929,X924,X919,X914,X909)</f>
        <v>0</v>
      </c>
      <c r="Y979" s="141">
        <f t="shared" si="1748"/>
        <v>0</v>
      </c>
      <c r="Z979" s="141">
        <f t="shared" si="1748"/>
        <v>0</v>
      </c>
      <c r="AA979" s="141">
        <f t="shared" si="1748"/>
        <v>0</v>
      </c>
      <c r="AB979" s="141">
        <f t="shared" si="1748"/>
        <v>0</v>
      </c>
      <c r="AC979" s="141">
        <f t="shared" si="1748"/>
        <v>0</v>
      </c>
      <c r="AD979" s="141">
        <f t="shared" si="1748"/>
        <v>0</v>
      </c>
      <c r="AE979" s="141">
        <f t="shared" si="1748"/>
        <v>0</v>
      </c>
      <c r="AF979" s="141">
        <f t="shared" si="1748"/>
        <v>0</v>
      </c>
      <c r="AG979" s="141">
        <f t="shared" si="1748"/>
        <v>0</v>
      </c>
      <c r="AH979" s="141">
        <f t="shared" si="1748"/>
        <v>0</v>
      </c>
      <c r="AI979" s="141">
        <f t="shared" si="1748"/>
        <v>0</v>
      </c>
      <c r="AJ979" s="142">
        <f t="shared" ref="AJ979:AJ980" si="1749">SUM(X979:AI979)</f>
        <v>0</v>
      </c>
      <c r="AK979" s="96">
        <f t="shared" si="1745"/>
        <v>0</v>
      </c>
    </row>
    <row r="980" spans="1:38" ht="15" hidden="1" customHeight="1">
      <c r="A980" s="91"/>
      <c r="B980" s="305"/>
      <c r="C980" s="306"/>
      <c r="D980" s="143">
        <v>2020</v>
      </c>
      <c r="E980" s="144">
        <f>SUM(E975,E970,E965,E960,E955,E950,E945,E940,E935,E930,E925,E920,E915,E910)</f>
        <v>0</v>
      </c>
      <c r="F980" s="144">
        <f t="shared" si="1746"/>
        <v>0</v>
      </c>
      <c r="G980" s="144">
        <f t="shared" si="1746"/>
        <v>0</v>
      </c>
      <c r="H980" s="144">
        <f t="shared" si="1746"/>
        <v>0</v>
      </c>
      <c r="I980" s="144">
        <f t="shared" si="1746"/>
        <v>0</v>
      </c>
      <c r="J980" s="144">
        <f t="shared" si="1746"/>
        <v>0</v>
      </c>
      <c r="K980" s="144">
        <f t="shared" si="1746"/>
        <v>0</v>
      </c>
      <c r="L980" s="144">
        <f t="shared" si="1746"/>
        <v>0</v>
      </c>
      <c r="M980" s="144">
        <f t="shared" si="1746"/>
        <v>0</v>
      </c>
      <c r="N980" s="144">
        <f t="shared" si="1746"/>
        <v>0</v>
      </c>
      <c r="O980" s="144">
        <f t="shared" si="1746"/>
        <v>0</v>
      </c>
      <c r="P980" s="144">
        <f t="shared" si="1746"/>
        <v>0</v>
      </c>
      <c r="Q980" s="145">
        <f t="shared" si="1747"/>
        <v>0</v>
      </c>
      <c r="R980" s="104">
        <f t="shared" si="1635"/>
        <v>0</v>
      </c>
      <c r="S980" s="105"/>
      <c r="T980" s="91"/>
      <c r="U980" s="311"/>
      <c r="V980" s="312"/>
      <c r="W980" s="146">
        <v>2020</v>
      </c>
      <c r="X980" s="147">
        <f>SUM(X975,X970,X965,X960,X955,X950,X945,X940,X935,X930,X925,X920,X915,X910)</f>
        <v>0</v>
      </c>
      <c r="Y980" s="147">
        <f t="shared" si="1748"/>
        <v>0</v>
      </c>
      <c r="Z980" s="147">
        <f t="shared" si="1748"/>
        <v>0</v>
      </c>
      <c r="AA980" s="147">
        <f t="shared" si="1748"/>
        <v>0</v>
      </c>
      <c r="AB980" s="147">
        <f t="shared" si="1748"/>
        <v>0</v>
      </c>
      <c r="AC980" s="147">
        <f t="shared" si="1748"/>
        <v>0</v>
      </c>
      <c r="AD980" s="147">
        <f t="shared" si="1748"/>
        <v>0</v>
      </c>
      <c r="AE980" s="147">
        <f t="shared" si="1748"/>
        <v>0</v>
      </c>
      <c r="AF980" s="147">
        <f t="shared" si="1748"/>
        <v>0</v>
      </c>
      <c r="AG980" s="147">
        <f t="shared" si="1748"/>
        <v>0</v>
      </c>
      <c r="AH980" s="147">
        <f t="shared" si="1748"/>
        <v>0</v>
      </c>
      <c r="AI980" s="147">
        <f t="shared" si="1748"/>
        <v>0</v>
      </c>
      <c r="AJ980" s="148">
        <f t="shared" si="1749"/>
        <v>0</v>
      </c>
      <c r="AK980" s="104">
        <f t="shared" si="1745"/>
        <v>0</v>
      </c>
      <c r="AL980" s="105"/>
    </row>
    <row r="981" spans="1:38" ht="15" hidden="1" customHeight="1">
      <c r="A981" s="91"/>
      <c r="B981" s="305"/>
      <c r="C981" s="306"/>
      <c r="D981" s="143" t="s">
        <v>102</v>
      </c>
      <c r="E981" s="149" t="e">
        <f t="shared" ref="E981:R981" si="1750">E980/E979</f>
        <v>#DIV/0!</v>
      </c>
      <c r="F981" s="149" t="e">
        <f t="shared" si="1750"/>
        <v>#DIV/0!</v>
      </c>
      <c r="G981" s="149" t="e">
        <f t="shared" si="1750"/>
        <v>#DIV/0!</v>
      </c>
      <c r="H981" s="149" t="e">
        <f t="shared" si="1750"/>
        <v>#DIV/0!</v>
      </c>
      <c r="I981" s="149" t="e">
        <f t="shared" si="1750"/>
        <v>#DIV/0!</v>
      </c>
      <c r="J981" s="149" t="e">
        <f t="shared" si="1750"/>
        <v>#DIV/0!</v>
      </c>
      <c r="K981" s="149" t="e">
        <f t="shared" si="1750"/>
        <v>#DIV/0!</v>
      </c>
      <c r="L981" s="149" t="e">
        <f t="shared" si="1750"/>
        <v>#DIV/0!</v>
      </c>
      <c r="M981" s="149" t="e">
        <f t="shared" si="1750"/>
        <v>#DIV/0!</v>
      </c>
      <c r="N981" s="149" t="e">
        <f t="shared" si="1750"/>
        <v>#DIV/0!</v>
      </c>
      <c r="O981" s="149" t="e">
        <f t="shared" si="1750"/>
        <v>#DIV/0!</v>
      </c>
      <c r="P981" s="150" t="e">
        <f t="shared" si="1750"/>
        <v>#DIV/0!</v>
      </c>
      <c r="Q981" s="151" t="e">
        <f t="shared" si="1750"/>
        <v>#DIV/0!</v>
      </c>
      <c r="R981" s="104" t="e">
        <f t="shared" si="1750"/>
        <v>#DIV/0!</v>
      </c>
      <c r="S981" s="105"/>
      <c r="T981" s="91"/>
      <c r="U981" s="311"/>
      <c r="V981" s="312"/>
      <c r="W981" s="146" t="s">
        <v>102</v>
      </c>
      <c r="X981" s="152" t="e">
        <f t="shared" ref="X981:AK981" si="1751">X980/X979</f>
        <v>#DIV/0!</v>
      </c>
      <c r="Y981" s="152" t="e">
        <f t="shared" si="1751"/>
        <v>#DIV/0!</v>
      </c>
      <c r="Z981" s="152" t="e">
        <f t="shared" si="1751"/>
        <v>#DIV/0!</v>
      </c>
      <c r="AA981" s="152" t="e">
        <f t="shared" si="1751"/>
        <v>#DIV/0!</v>
      </c>
      <c r="AB981" s="152" t="e">
        <f t="shared" si="1751"/>
        <v>#DIV/0!</v>
      </c>
      <c r="AC981" s="152" t="e">
        <f t="shared" si="1751"/>
        <v>#DIV/0!</v>
      </c>
      <c r="AD981" s="152" t="e">
        <f t="shared" si="1751"/>
        <v>#DIV/0!</v>
      </c>
      <c r="AE981" s="152" t="e">
        <f t="shared" si="1751"/>
        <v>#DIV/0!</v>
      </c>
      <c r="AF981" s="152" t="e">
        <f t="shared" si="1751"/>
        <v>#DIV/0!</v>
      </c>
      <c r="AG981" s="152" t="e">
        <f t="shared" si="1751"/>
        <v>#DIV/0!</v>
      </c>
      <c r="AH981" s="152" t="e">
        <f t="shared" si="1751"/>
        <v>#DIV/0!</v>
      </c>
      <c r="AI981" s="153" t="e">
        <f t="shared" si="1751"/>
        <v>#DIV/0!</v>
      </c>
      <c r="AJ981" s="154" t="e">
        <f t="shared" si="1751"/>
        <v>#DIV/0!</v>
      </c>
      <c r="AK981" s="104" t="e">
        <f t="shared" si="1751"/>
        <v>#DIV/0!</v>
      </c>
      <c r="AL981" s="105"/>
    </row>
    <row r="982" spans="1:38" ht="15" hidden="1" customHeight="1">
      <c r="A982" s="155"/>
      <c r="B982" s="307"/>
      <c r="C982" s="308"/>
      <c r="D982" s="156" t="s">
        <v>103</v>
      </c>
      <c r="E982" s="165" t="e">
        <f t="shared" ref="E982:R982" si="1752">E980/E978</f>
        <v>#DIV/0!</v>
      </c>
      <c r="F982" s="165" t="e">
        <f t="shared" si="1752"/>
        <v>#DIV/0!</v>
      </c>
      <c r="G982" s="165" t="e">
        <f t="shared" si="1752"/>
        <v>#DIV/0!</v>
      </c>
      <c r="H982" s="165" t="e">
        <f t="shared" si="1752"/>
        <v>#DIV/0!</v>
      </c>
      <c r="I982" s="165" t="e">
        <f t="shared" si="1752"/>
        <v>#DIV/0!</v>
      </c>
      <c r="J982" s="165" t="e">
        <f t="shared" si="1752"/>
        <v>#DIV/0!</v>
      </c>
      <c r="K982" s="165" t="e">
        <f t="shared" si="1752"/>
        <v>#DIV/0!</v>
      </c>
      <c r="L982" s="165" t="e">
        <f t="shared" si="1752"/>
        <v>#DIV/0!</v>
      </c>
      <c r="M982" s="165" t="e">
        <f t="shared" si="1752"/>
        <v>#DIV/0!</v>
      </c>
      <c r="N982" s="165" t="e">
        <f t="shared" si="1752"/>
        <v>#DIV/0!</v>
      </c>
      <c r="O982" s="165" t="e">
        <f t="shared" si="1752"/>
        <v>#DIV/0!</v>
      </c>
      <c r="P982" s="166" t="e">
        <f t="shared" si="1752"/>
        <v>#DIV/0!</v>
      </c>
      <c r="Q982" s="167" t="e">
        <f t="shared" si="1752"/>
        <v>#DIV/0!</v>
      </c>
      <c r="R982" s="168" t="e">
        <f t="shared" si="1752"/>
        <v>#DIV/0!</v>
      </c>
      <c r="T982" s="155"/>
      <c r="U982" s="313"/>
      <c r="V982" s="314"/>
      <c r="W982" s="160" t="s">
        <v>103</v>
      </c>
      <c r="X982" s="169" t="e">
        <f t="shared" ref="X982:AK982" si="1753">X980/X978</f>
        <v>#DIV/0!</v>
      </c>
      <c r="Y982" s="169" t="e">
        <f t="shared" si="1753"/>
        <v>#DIV/0!</v>
      </c>
      <c r="Z982" s="169" t="e">
        <f t="shared" si="1753"/>
        <v>#DIV/0!</v>
      </c>
      <c r="AA982" s="169" t="e">
        <f t="shared" si="1753"/>
        <v>#DIV/0!</v>
      </c>
      <c r="AB982" s="169" t="e">
        <f t="shared" si="1753"/>
        <v>#DIV/0!</v>
      </c>
      <c r="AC982" s="169" t="e">
        <f t="shared" si="1753"/>
        <v>#DIV/0!</v>
      </c>
      <c r="AD982" s="169" t="e">
        <f t="shared" si="1753"/>
        <v>#DIV/0!</v>
      </c>
      <c r="AE982" s="169" t="e">
        <f t="shared" si="1753"/>
        <v>#DIV/0!</v>
      </c>
      <c r="AF982" s="169" t="e">
        <f t="shared" si="1753"/>
        <v>#DIV/0!</v>
      </c>
      <c r="AG982" s="169" t="e">
        <f t="shared" si="1753"/>
        <v>#DIV/0!</v>
      </c>
      <c r="AH982" s="169" t="e">
        <f t="shared" si="1753"/>
        <v>#DIV/0!</v>
      </c>
      <c r="AI982" s="170" t="e">
        <f t="shared" si="1753"/>
        <v>#DIV/0!</v>
      </c>
      <c r="AJ982" s="171" t="e">
        <f t="shared" si="1753"/>
        <v>#DIV/0!</v>
      </c>
      <c r="AK982" s="168" t="e">
        <f t="shared" si="1753"/>
        <v>#DIV/0!</v>
      </c>
    </row>
    <row r="983" spans="1:38" ht="15.6" hidden="1" thickBot="1">
      <c r="A983" s="84" t="s">
        <v>160</v>
      </c>
      <c r="B983" s="85" t="s">
        <v>143</v>
      </c>
      <c r="C983" s="86" t="s">
        <v>122</v>
      </c>
      <c r="D983" s="87">
        <v>2019</v>
      </c>
      <c r="E983" s="88"/>
      <c r="F983" s="121"/>
      <c r="G983" s="121"/>
      <c r="H983" s="121"/>
      <c r="I983" s="121"/>
      <c r="J983" s="121"/>
      <c r="K983" s="121"/>
      <c r="L983" s="121"/>
      <c r="M983" s="122"/>
      <c r="N983" s="122"/>
      <c r="O983" s="122"/>
      <c r="P983" s="123"/>
      <c r="Q983" s="89">
        <f>SUM(E983:P983)</f>
        <v>0</v>
      </c>
      <c r="R983" s="90">
        <f t="shared" ref="R983:R1045" si="1754">SUM(E983:M983)</f>
        <v>0</v>
      </c>
      <c r="T983" s="84" t="s">
        <v>160</v>
      </c>
      <c r="U983" s="85" t="s">
        <v>143</v>
      </c>
      <c r="V983" s="86" t="str">
        <f>C983</f>
        <v>得意先名</v>
      </c>
      <c r="W983" s="87">
        <v>2019</v>
      </c>
      <c r="X983" s="88"/>
      <c r="Y983" s="121"/>
      <c r="Z983" s="121"/>
      <c r="AA983" s="121"/>
      <c r="AB983" s="121"/>
      <c r="AC983" s="121"/>
      <c r="AD983" s="121"/>
      <c r="AE983" s="121"/>
      <c r="AF983" s="122"/>
      <c r="AG983" s="122"/>
      <c r="AH983" s="122"/>
      <c r="AI983" s="123"/>
      <c r="AJ983" s="89">
        <f>SUM(X983:AI983)</f>
        <v>0</v>
      </c>
      <c r="AK983" s="90">
        <f t="shared" ref="AK983:AK985" si="1755">SUM(X983:AF983)</f>
        <v>0</v>
      </c>
    </row>
    <row r="984" spans="1:38" ht="15.6" hidden="1" thickBot="1">
      <c r="A984" s="91"/>
      <c r="B984" s="85" t="s">
        <v>144</v>
      </c>
      <c r="C984" s="92" t="s">
        <v>124</v>
      </c>
      <c r="D984" s="93" t="s">
        <v>92</v>
      </c>
      <c r="E984" s="94"/>
      <c r="F984" s="97"/>
      <c r="G984" s="97"/>
      <c r="H984" s="97"/>
      <c r="I984" s="97"/>
      <c r="J984" s="97"/>
      <c r="K984" s="97"/>
      <c r="L984" s="97"/>
      <c r="M984" s="98"/>
      <c r="N984" s="98"/>
      <c r="O984" s="98"/>
      <c r="P984" s="99"/>
      <c r="Q984" s="95">
        <f>SUM(E984:P984)</f>
        <v>0</v>
      </c>
      <c r="R984" s="96">
        <f t="shared" si="1754"/>
        <v>0</v>
      </c>
      <c r="T984" s="91"/>
      <c r="U984" s="85" t="s">
        <v>144</v>
      </c>
      <c r="V984" s="92" t="str">
        <f>C984</f>
        <v>得意先名（英語）</v>
      </c>
      <c r="W984" s="93" t="s">
        <v>92</v>
      </c>
      <c r="X984" s="94"/>
      <c r="Y984" s="97"/>
      <c r="Z984" s="97"/>
      <c r="AA984" s="97"/>
      <c r="AB984" s="97"/>
      <c r="AC984" s="97"/>
      <c r="AD984" s="97"/>
      <c r="AE984" s="97"/>
      <c r="AF984" s="98"/>
      <c r="AG984" s="98"/>
      <c r="AH984" s="98"/>
      <c r="AI984" s="99"/>
      <c r="AJ984" s="95">
        <f>SUM(X984:AI984)</f>
        <v>0</v>
      </c>
      <c r="AK984" s="96">
        <f t="shared" si="1755"/>
        <v>0</v>
      </c>
    </row>
    <row r="985" spans="1:38" ht="15.6" hidden="1" thickBot="1">
      <c r="A985" s="91"/>
      <c r="B985" s="100"/>
      <c r="C985" s="92"/>
      <c r="D985" s="101">
        <v>2020</v>
      </c>
      <c r="E985" s="102"/>
      <c r="F985" s="124"/>
      <c r="G985" s="124"/>
      <c r="H985" s="124"/>
      <c r="I985" s="124"/>
      <c r="J985" s="124"/>
      <c r="K985" s="124"/>
      <c r="L985" s="124"/>
      <c r="M985" s="125"/>
      <c r="N985" s="125"/>
      <c r="O985" s="125"/>
      <c r="P985" s="126"/>
      <c r="Q985" s="103">
        <f>SUM(E985:P985)</f>
        <v>0</v>
      </c>
      <c r="R985" s="104">
        <f t="shared" si="1754"/>
        <v>0</v>
      </c>
      <c r="S985" s="105"/>
      <c r="T985" s="91"/>
      <c r="U985" s="100"/>
      <c r="V985" s="92"/>
      <c r="W985" s="101">
        <v>2020</v>
      </c>
      <c r="X985" s="102"/>
      <c r="Y985" s="124"/>
      <c r="Z985" s="124"/>
      <c r="AA985" s="124"/>
      <c r="AB985" s="124"/>
      <c r="AC985" s="124"/>
      <c r="AD985" s="124"/>
      <c r="AE985" s="124"/>
      <c r="AF985" s="125"/>
      <c r="AG985" s="125"/>
      <c r="AH985" s="125"/>
      <c r="AI985" s="126"/>
      <c r="AJ985" s="103">
        <f>SUM(X985:AI985)</f>
        <v>0</v>
      </c>
      <c r="AK985" s="104">
        <f t="shared" si="1755"/>
        <v>0</v>
      </c>
      <c r="AL985" s="105"/>
    </row>
    <row r="986" spans="1:38" ht="15.6" hidden="1" thickBot="1">
      <c r="A986" s="91"/>
      <c r="B986" s="100"/>
      <c r="C986" s="92"/>
      <c r="D986" s="101" t="s">
        <v>102</v>
      </c>
      <c r="E986" s="106" t="e">
        <f>E985/E984</f>
        <v>#DIV/0!</v>
      </c>
      <c r="F986" s="106" t="e">
        <f t="shared" ref="F986:R986" si="1756">F985/F984</f>
        <v>#DIV/0!</v>
      </c>
      <c r="G986" s="106" t="e">
        <f t="shared" si="1756"/>
        <v>#DIV/0!</v>
      </c>
      <c r="H986" s="106" t="e">
        <f t="shared" si="1756"/>
        <v>#DIV/0!</v>
      </c>
      <c r="I986" s="106" t="e">
        <f t="shared" si="1756"/>
        <v>#DIV/0!</v>
      </c>
      <c r="J986" s="106" t="e">
        <f t="shared" si="1756"/>
        <v>#DIV/0!</v>
      </c>
      <c r="K986" s="106" t="e">
        <f t="shared" si="1756"/>
        <v>#DIV/0!</v>
      </c>
      <c r="L986" s="106" t="e">
        <f t="shared" si="1756"/>
        <v>#DIV/0!</v>
      </c>
      <c r="M986" s="107" t="e">
        <f t="shared" si="1756"/>
        <v>#DIV/0!</v>
      </c>
      <c r="N986" s="107" t="e">
        <f t="shared" si="1756"/>
        <v>#DIV/0!</v>
      </c>
      <c r="O986" s="107" t="e">
        <f t="shared" si="1756"/>
        <v>#DIV/0!</v>
      </c>
      <c r="P986" s="108" t="e">
        <f t="shared" si="1756"/>
        <v>#DIV/0!</v>
      </c>
      <c r="Q986" s="109" t="e">
        <f t="shared" si="1756"/>
        <v>#DIV/0!</v>
      </c>
      <c r="R986" s="110" t="e">
        <f t="shared" si="1756"/>
        <v>#DIV/0!</v>
      </c>
      <c r="S986" s="105"/>
      <c r="T986" s="91"/>
      <c r="U986" s="100"/>
      <c r="V986" s="92"/>
      <c r="W986" s="101" t="s">
        <v>102</v>
      </c>
      <c r="X986" s="106" t="e">
        <f>X985/X984</f>
        <v>#DIV/0!</v>
      </c>
      <c r="Y986" s="106" t="e">
        <f t="shared" ref="Y986:AK986" si="1757">Y985/Y984</f>
        <v>#DIV/0!</v>
      </c>
      <c r="Z986" s="106" t="e">
        <f t="shared" si="1757"/>
        <v>#DIV/0!</v>
      </c>
      <c r="AA986" s="106" t="e">
        <f t="shared" si="1757"/>
        <v>#DIV/0!</v>
      </c>
      <c r="AB986" s="106" t="e">
        <f t="shared" si="1757"/>
        <v>#DIV/0!</v>
      </c>
      <c r="AC986" s="106" t="e">
        <f t="shared" si="1757"/>
        <v>#DIV/0!</v>
      </c>
      <c r="AD986" s="106" t="e">
        <f t="shared" si="1757"/>
        <v>#DIV/0!</v>
      </c>
      <c r="AE986" s="106" t="e">
        <f t="shared" si="1757"/>
        <v>#DIV/0!</v>
      </c>
      <c r="AF986" s="107" t="e">
        <f t="shared" si="1757"/>
        <v>#DIV/0!</v>
      </c>
      <c r="AG986" s="107" t="e">
        <f t="shared" si="1757"/>
        <v>#DIV/0!</v>
      </c>
      <c r="AH986" s="107" t="e">
        <f t="shared" si="1757"/>
        <v>#DIV/0!</v>
      </c>
      <c r="AI986" s="108" t="e">
        <f t="shared" si="1757"/>
        <v>#DIV/0!</v>
      </c>
      <c r="AJ986" s="109" t="e">
        <f t="shared" si="1757"/>
        <v>#DIV/0!</v>
      </c>
      <c r="AK986" s="110" t="e">
        <f t="shared" si="1757"/>
        <v>#DIV/0!</v>
      </c>
      <c r="AL986" s="105"/>
    </row>
    <row r="987" spans="1:38" ht="15.6" hidden="1" thickBot="1">
      <c r="A987" s="91"/>
      <c r="B987" s="100"/>
      <c r="C987" s="111"/>
      <c r="D987" s="112" t="s">
        <v>103</v>
      </c>
      <c r="E987" s="113" t="e">
        <f>E985/E983</f>
        <v>#DIV/0!</v>
      </c>
      <c r="F987" s="113" t="e">
        <f t="shared" ref="F987:R987" si="1758">F985/F983</f>
        <v>#DIV/0!</v>
      </c>
      <c r="G987" s="113" t="e">
        <f t="shared" si="1758"/>
        <v>#DIV/0!</v>
      </c>
      <c r="H987" s="113" t="e">
        <f t="shared" si="1758"/>
        <v>#DIV/0!</v>
      </c>
      <c r="I987" s="113" t="e">
        <f t="shared" si="1758"/>
        <v>#DIV/0!</v>
      </c>
      <c r="J987" s="113" t="e">
        <f t="shared" si="1758"/>
        <v>#DIV/0!</v>
      </c>
      <c r="K987" s="113" t="e">
        <f t="shared" si="1758"/>
        <v>#DIV/0!</v>
      </c>
      <c r="L987" s="113" t="e">
        <f t="shared" si="1758"/>
        <v>#DIV/0!</v>
      </c>
      <c r="M987" s="113" t="e">
        <f t="shared" si="1758"/>
        <v>#DIV/0!</v>
      </c>
      <c r="N987" s="113" t="e">
        <f t="shared" si="1758"/>
        <v>#DIV/0!</v>
      </c>
      <c r="O987" s="113" t="e">
        <f t="shared" si="1758"/>
        <v>#DIV/0!</v>
      </c>
      <c r="P987" s="114" t="e">
        <f t="shared" si="1758"/>
        <v>#DIV/0!</v>
      </c>
      <c r="Q987" s="115" t="e">
        <f t="shared" si="1758"/>
        <v>#DIV/0!</v>
      </c>
      <c r="R987" s="116" t="e">
        <f t="shared" si="1758"/>
        <v>#DIV/0!</v>
      </c>
      <c r="T987" s="91"/>
      <c r="U987" s="100"/>
      <c r="V987" s="111"/>
      <c r="W987" s="112" t="s">
        <v>103</v>
      </c>
      <c r="X987" s="113" t="e">
        <f>X985/X983</f>
        <v>#DIV/0!</v>
      </c>
      <c r="Y987" s="113" t="e">
        <f t="shared" ref="Y987:AK987" si="1759">Y985/Y983</f>
        <v>#DIV/0!</v>
      </c>
      <c r="Z987" s="113" t="e">
        <f t="shared" si="1759"/>
        <v>#DIV/0!</v>
      </c>
      <c r="AA987" s="113" t="e">
        <f t="shared" si="1759"/>
        <v>#DIV/0!</v>
      </c>
      <c r="AB987" s="113" t="e">
        <f t="shared" si="1759"/>
        <v>#DIV/0!</v>
      </c>
      <c r="AC987" s="113" t="e">
        <f t="shared" si="1759"/>
        <v>#DIV/0!</v>
      </c>
      <c r="AD987" s="113" t="e">
        <f t="shared" si="1759"/>
        <v>#DIV/0!</v>
      </c>
      <c r="AE987" s="113" t="e">
        <f t="shared" si="1759"/>
        <v>#DIV/0!</v>
      </c>
      <c r="AF987" s="113" t="e">
        <f t="shared" si="1759"/>
        <v>#DIV/0!</v>
      </c>
      <c r="AG987" s="113" t="e">
        <f t="shared" si="1759"/>
        <v>#DIV/0!</v>
      </c>
      <c r="AH987" s="113" t="e">
        <f t="shared" si="1759"/>
        <v>#DIV/0!</v>
      </c>
      <c r="AI987" s="114" t="e">
        <f t="shared" si="1759"/>
        <v>#DIV/0!</v>
      </c>
      <c r="AJ987" s="115" t="e">
        <f t="shared" si="1759"/>
        <v>#DIV/0!</v>
      </c>
      <c r="AK987" s="116" t="e">
        <f t="shared" si="1759"/>
        <v>#DIV/0!</v>
      </c>
    </row>
    <row r="988" spans="1:38" ht="15.6" hidden="1" thickBot="1">
      <c r="A988" s="91"/>
      <c r="B988" s="100"/>
      <c r="C988" s="86"/>
      <c r="D988" s="87">
        <v>2019</v>
      </c>
      <c r="E988" s="88"/>
      <c r="F988" s="121"/>
      <c r="G988" s="121"/>
      <c r="H988" s="121"/>
      <c r="I988" s="121"/>
      <c r="J988" s="121"/>
      <c r="K988" s="121"/>
      <c r="L988" s="121"/>
      <c r="M988" s="122"/>
      <c r="N988" s="122"/>
      <c r="O988" s="122"/>
      <c r="P988" s="123"/>
      <c r="Q988" s="89">
        <f t="shared" ref="Q988:Q990" si="1760">SUM(E988:P988)</f>
        <v>0</v>
      </c>
      <c r="R988" s="90">
        <f t="shared" ref="R988" si="1761">SUM(E988:M988)</f>
        <v>0</v>
      </c>
      <c r="T988" s="91"/>
      <c r="U988" s="100"/>
      <c r="V988" s="86">
        <f t="shared" ref="V988:V989" si="1762">C988</f>
        <v>0</v>
      </c>
      <c r="W988" s="87">
        <v>2019</v>
      </c>
      <c r="X988" s="88"/>
      <c r="Y988" s="121"/>
      <c r="Z988" s="121"/>
      <c r="AA988" s="121"/>
      <c r="AB988" s="121"/>
      <c r="AC988" s="121"/>
      <c r="AD988" s="121"/>
      <c r="AE988" s="121"/>
      <c r="AF988" s="122"/>
      <c r="AG988" s="122"/>
      <c r="AH988" s="122"/>
      <c r="AI988" s="123"/>
      <c r="AJ988" s="89">
        <f t="shared" ref="AJ988:AJ990" si="1763">SUM(X988:AI988)</f>
        <v>0</v>
      </c>
      <c r="AK988" s="90">
        <f t="shared" ref="AK988:AK990" si="1764">SUM(X988:AF988)</f>
        <v>0</v>
      </c>
    </row>
    <row r="989" spans="1:38" ht="15.6" hidden="1" thickBot="1">
      <c r="A989" s="91"/>
      <c r="B989" s="100"/>
      <c r="C989" s="92"/>
      <c r="D989" s="93" t="s">
        <v>92</v>
      </c>
      <c r="E989" s="94"/>
      <c r="F989" s="97"/>
      <c r="G989" s="97"/>
      <c r="H989" s="97"/>
      <c r="I989" s="97"/>
      <c r="J989" s="97"/>
      <c r="K989" s="97"/>
      <c r="L989" s="97"/>
      <c r="M989" s="98"/>
      <c r="N989" s="98"/>
      <c r="O989" s="98"/>
      <c r="P989" s="99"/>
      <c r="Q989" s="95">
        <f t="shared" si="1760"/>
        <v>0</v>
      </c>
      <c r="R989" s="96">
        <f t="shared" si="1754"/>
        <v>0</v>
      </c>
      <c r="T989" s="91"/>
      <c r="U989" s="100"/>
      <c r="V989" s="92">
        <f t="shared" si="1762"/>
        <v>0</v>
      </c>
      <c r="W989" s="93" t="s">
        <v>92</v>
      </c>
      <c r="X989" s="94"/>
      <c r="Y989" s="97"/>
      <c r="Z989" s="97"/>
      <c r="AA989" s="97"/>
      <c r="AB989" s="97"/>
      <c r="AC989" s="97"/>
      <c r="AD989" s="97"/>
      <c r="AE989" s="97"/>
      <c r="AF989" s="98"/>
      <c r="AG989" s="98"/>
      <c r="AH989" s="98"/>
      <c r="AI989" s="99"/>
      <c r="AJ989" s="95">
        <f t="shared" si="1763"/>
        <v>0</v>
      </c>
      <c r="AK989" s="96">
        <f t="shared" si="1764"/>
        <v>0</v>
      </c>
    </row>
    <row r="990" spans="1:38" ht="15.6" hidden="1" thickBot="1">
      <c r="A990" s="91"/>
      <c r="B990" s="100"/>
      <c r="C990" s="92"/>
      <c r="D990" s="101">
        <v>2020</v>
      </c>
      <c r="E990" s="102"/>
      <c r="F990" s="124"/>
      <c r="G990" s="124"/>
      <c r="H990" s="124"/>
      <c r="I990" s="124"/>
      <c r="J990" s="124"/>
      <c r="K990" s="124"/>
      <c r="L990" s="124"/>
      <c r="M990" s="125"/>
      <c r="N990" s="125"/>
      <c r="O990" s="125"/>
      <c r="P990" s="126"/>
      <c r="Q990" s="103">
        <f t="shared" si="1760"/>
        <v>0</v>
      </c>
      <c r="R990" s="104">
        <f t="shared" si="1754"/>
        <v>0</v>
      </c>
      <c r="S990" s="105"/>
      <c r="T990" s="91"/>
      <c r="U990" s="100"/>
      <c r="V990" s="92"/>
      <c r="W990" s="101">
        <v>2020</v>
      </c>
      <c r="X990" s="102"/>
      <c r="Y990" s="124"/>
      <c r="Z990" s="124"/>
      <c r="AA990" s="124"/>
      <c r="AB990" s="124"/>
      <c r="AC990" s="124"/>
      <c r="AD990" s="124"/>
      <c r="AE990" s="124"/>
      <c r="AF990" s="125"/>
      <c r="AG990" s="125"/>
      <c r="AH990" s="125"/>
      <c r="AI990" s="126"/>
      <c r="AJ990" s="103">
        <f t="shared" si="1763"/>
        <v>0</v>
      </c>
      <c r="AK990" s="104">
        <f t="shared" si="1764"/>
        <v>0</v>
      </c>
      <c r="AL990" s="105"/>
    </row>
    <row r="991" spans="1:38" ht="15.6" hidden="1" thickBot="1">
      <c r="A991" s="91"/>
      <c r="B991" s="100"/>
      <c r="C991" s="92"/>
      <c r="D991" s="101" t="s">
        <v>102</v>
      </c>
      <c r="E991" s="106" t="e">
        <f t="shared" ref="E991:R991" si="1765">E990/E989</f>
        <v>#DIV/0!</v>
      </c>
      <c r="F991" s="106" t="e">
        <f t="shared" si="1765"/>
        <v>#DIV/0!</v>
      </c>
      <c r="G991" s="106" t="e">
        <f t="shared" si="1765"/>
        <v>#DIV/0!</v>
      </c>
      <c r="H991" s="106" t="e">
        <f t="shared" si="1765"/>
        <v>#DIV/0!</v>
      </c>
      <c r="I991" s="106" t="e">
        <f t="shared" si="1765"/>
        <v>#DIV/0!</v>
      </c>
      <c r="J991" s="106" t="e">
        <f t="shared" si="1765"/>
        <v>#DIV/0!</v>
      </c>
      <c r="K991" s="106" t="e">
        <f t="shared" si="1765"/>
        <v>#DIV/0!</v>
      </c>
      <c r="L991" s="106" t="e">
        <f t="shared" si="1765"/>
        <v>#DIV/0!</v>
      </c>
      <c r="M991" s="107" t="e">
        <f t="shared" si="1765"/>
        <v>#DIV/0!</v>
      </c>
      <c r="N991" s="107" t="e">
        <f t="shared" si="1765"/>
        <v>#DIV/0!</v>
      </c>
      <c r="O991" s="107" t="e">
        <f t="shared" si="1765"/>
        <v>#DIV/0!</v>
      </c>
      <c r="P991" s="108" t="e">
        <f t="shared" si="1765"/>
        <v>#DIV/0!</v>
      </c>
      <c r="Q991" s="109" t="e">
        <f t="shared" si="1765"/>
        <v>#DIV/0!</v>
      </c>
      <c r="R991" s="110" t="e">
        <f t="shared" si="1765"/>
        <v>#DIV/0!</v>
      </c>
      <c r="S991" s="105"/>
      <c r="T991" s="91"/>
      <c r="U991" s="100"/>
      <c r="V991" s="92"/>
      <c r="W991" s="101" t="s">
        <v>102</v>
      </c>
      <c r="X991" s="106" t="e">
        <f t="shared" ref="X991:AK991" si="1766">X990/X989</f>
        <v>#DIV/0!</v>
      </c>
      <c r="Y991" s="106" t="e">
        <f t="shared" si="1766"/>
        <v>#DIV/0!</v>
      </c>
      <c r="Z991" s="106" t="e">
        <f t="shared" si="1766"/>
        <v>#DIV/0!</v>
      </c>
      <c r="AA991" s="106" t="e">
        <f t="shared" si="1766"/>
        <v>#DIV/0!</v>
      </c>
      <c r="AB991" s="106" t="e">
        <f t="shared" si="1766"/>
        <v>#DIV/0!</v>
      </c>
      <c r="AC991" s="106" t="e">
        <f t="shared" si="1766"/>
        <v>#DIV/0!</v>
      </c>
      <c r="AD991" s="106" t="e">
        <f t="shared" si="1766"/>
        <v>#DIV/0!</v>
      </c>
      <c r="AE991" s="106" t="e">
        <f t="shared" si="1766"/>
        <v>#DIV/0!</v>
      </c>
      <c r="AF991" s="107" t="e">
        <f t="shared" si="1766"/>
        <v>#DIV/0!</v>
      </c>
      <c r="AG991" s="107" t="e">
        <f t="shared" si="1766"/>
        <v>#DIV/0!</v>
      </c>
      <c r="AH991" s="107" t="e">
        <f t="shared" si="1766"/>
        <v>#DIV/0!</v>
      </c>
      <c r="AI991" s="108" t="e">
        <f t="shared" si="1766"/>
        <v>#DIV/0!</v>
      </c>
      <c r="AJ991" s="109" t="e">
        <f t="shared" si="1766"/>
        <v>#DIV/0!</v>
      </c>
      <c r="AK991" s="110" t="e">
        <f t="shared" si="1766"/>
        <v>#DIV/0!</v>
      </c>
      <c r="AL991" s="105"/>
    </row>
    <row r="992" spans="1:38" ht="15.6" hidden="1" thickBot="1">
      <c r="A992" s="91"/>
      <c r="B992" s="100"/>
      <c r="C992" s="111"/>
      <c r="D992" s="112" t="s">
        <v>103</v>
      </c>
      <c r="E992" s="113" t="e">
        <f t="shared" ref="E992:R992" si="1767">E990/E988</f>
        <v>#DIV/0!</v>
      </c>
      <c r="F992" s="113" t="e">
        <f t="shared" si="1767"/>
        <v>#DIV/0!</v>
      </c>
      <c r="G992" s="113" t="e">
        <f t="shared" si="1767"/>
        <v>#DIV/0!</v>
      </c>
      <c r="H992" s="113" t="e">
        <f t="shared" si="1767"/>
        <v>#DIV/0!</v>
      </c>
      <c r="I992" s="113" t="e">
        <f t="shared" si="1767"/>
        <v>#DIV/0!</v>
      </c>
      <c r="J992" s="113" t="e">
        <f t="shared" si="1767"/>
        <v>#DIV/0!</v>
      </c>
      <c r="K992" s="113" t="e">
        <f t="shared" si="1767"/>
        <v>#DIV/0!</v>
      </c>
      <c r="L992" s="113" t="e">
        <f t="shared" si="1767"/>
        <v>#DIV/0!</v>
      </c>
      <c r="M992" s="113" t="e">
        <f t="shared" si="1767"/>
        <v>#DIV/0!</v>
      </c>
      <c r="N992" s="113" t="e">
        <f t="shared" si="1767"/>
        <v>#DIV/0!</v>
      </c>
      <c r="O992" s="113" t="e">
        <f t="shared" si="1767"/>
        <v>#DIV/0!</v>
      </c>
      <c r="P992" s="114" t="e">
        <f t="shared" si="1767"/>
        <v>#DIV/0!</v>
      </c>
      <c r="Q992" s="115" t="e">
        <f t="shared" si="1767"/>
        <v>#DIV/0!</v>
      </c>
      <c r="R992" s="116" t="e">
        <f t="shared" si="1767"/>
        <v>#DIV/0!</v>
      </c>
      <c r="T992" s="91"/>
      <c r="U992" s="100"/>
      <c r="V992" s="111"/>
      <c r="W992" s="112" t="s">
        <v>103</v>
      </c>
      <c r="X992" s="113" t="e">
        <f t="shared" ref="X992:AK992" si="1768">X990/X988</f>
        <v>#DIV/0!</v>
      </c>
      <c r="Y992" s="113" t="e">
        <f t="shared" si="1768"/>
        <v>#DIV/0!</v>
      </c>
      <c r="Z992" s="113" t="e">
        <f t="shared" si="1768"/>
        <v>#DIV/0!</v>
      </c>
      <c r="AA992" s="113" t="e">
        <f t="shared" si="1768"/>
        <v>#DIV/0!</v>
      </c>
      <c r="AB992" s="113" t="e">
        <f t="shared" si="1768"/>
        <v>#DIV/0!</v>
      </c>
      <c r="AC992" s="113" t="e">
        <f t="shared" si="1768"/>
        <v>#DIV/0!</v>
      </c>
      <c r="AD992" s="113" t="e">
        <f t="shared" si="1768"/>
        <v>#DIV/0!</v>
      </c>
      <c r="AE992" s="113" t="e">
        <f t="shared" si="1768"/>
        <v>#DIV/0!</v>
      </c>
      <c r="AF992" s="113" t="e">
        <f t="shared" si="1768"/>
        <v>#DIV/0!</v>
      </c>
      <c r="AG992" s="113" t="e">
        <f t="shared" si="1768"/>
        <v>#DIV/0!</v>
      </c>
      <c r="AH992" s="113" t="e">
        <f t="shared" si="1768"/>
        <v>#DIV/0!</v>
      </c>
      <c r="AI992" s="114" t="e">
        <f t="shared" si="1768"/>
        <v>#DIV/0!</v>
      </c>
      <c r="AJ992" s="115" t="e">
        <f t="shared" si="1768"/>
        <v>#DIV/0!</v>
      </c>
      <c r="AK992" s="116" t="e">
        <f t="shared" si="1768"/>
        <v>#DIV/0!</v>
      </c>
    </row>
    <row r="993" spans="1:38" ht="15.6" hidden="1" thickBot="1">
      <c r="A993" s="91"/>
      <c r="B993" s="100"/>
      <c r="C993" s="86"/>
      <c r="D993" s="87">
        <v>2019</v>
      </c>
      <c r="E993" s="88"/>
      <c r="F993" s="121"/>
      <c r="G993" s="121"/>
      <c r="H993" s="121"/>
      <c r="I993" s="121"/>
      <c r="J993" s="121"/>
      <c r="K993" s="121"/>
      <c r="L993" s="121"/>
      <c r="M993" s="122"/>
      <c r="N993" s="122"/>
      <c r="O993" s="122"/>
      <c r="P993" s="123"/>
      <c r="Q993" s="89">
        <f t="shared" ref="Q993:Q995" si="1769">SUM(E993:P993)</f>
        <v>0</v>
      </c>
      <c r="R993" s="90">
        <f t="shared" ref="R993" si="1770">SUM(E993:M993)</f>
        <v>0</v>
      </c>
      <c r="T993" s="91"/>
      <c r="U993" s="100"/>
      <c r="V993" s="86">
        <f t="shared" ref="V993:V994" si="1771">C993</f>
        <v>0</v>
      </c>
      <c r="W993" s="87">
        <v>2019</v>
      </c>
      <c r="X993" s="88"/>
      <c r="Y993" s="121"/>
      <c r="Z993" s="121"/>
      <c r="AA993" s="121"/>
      <c r="AB993" s="121"/>
      <c r="AC993" s="121"/>
      <c r="AD993" s="121"/>
      <c r="AE993" s="121"/>
      <c r="AF993" s="122"/>
      <c r="AG993" s="122"/>
      <c r="AH993" s="122"/>
      <c r="AI993" s="123"/>
      <c r="AJ993" s="89">
        <f t="shared" ref="AJ993:AJ995" si="1772">SUM(X993:AI993)</f>
        <v>0</v>
      </c>
      <c r="AK993" s="90">
        <f t="shared" ref="AK993:AK995" si="1773">SUM(X993:AF993)</f>
        <v>0</v>
      </c>
    </row>
    <row r="994" spans="1:38" ht="15.6" hidden="1" thickBot="1">
      <c r="A994" s="91"/>
      <c r="B994" s="100"/>
      <c r="C994" s="92"/>
      <c r="D994" s="93" t="s">
        <v>92</v>
      </c>
      <c r="E994" s="94"/>
      <c r="F994" s="97"/>
      <c r="G994" s="97"/>
      <c r="H994" s="97"/>
      <c r="I994" s="97"/>
      <c r="J994" s="97"/>
      <c r="K994" s="97"/>
      <c r="L994" s="97"/>
      <c r="M994" s="98"/>
      <c r="N994" s="98"/>
      <c r="O994" s="98"/>
      <c r="P994" s="99"/>
      <c r="Q994" s="95">
        <f t="shared" si="1769"/>
        <v>0</v>
      </c>
      <c r="R994" s="96">
        <f t="shared" si="1754"/>
        <v>0</v>
      </c>
      <c r="T994" s="91"/>
      <c r="U994" s="100"/>
      <c r="V994" s="92">
        <f t="shared" si="1771"/>
        <v>0</v>
      </c>
      <c r="W994" s="93" t="s">
        <v>92</v>
      </c>
      <c r="X994" s="94"/>
      <c r="Y994" s="97"/>
      <c r="Z994" s="97"/>
      <c r="AA994" s="97"/>
      <c r="AB994" s="97"/>
      <c r="AC994" s="97"/>
      <c r="AD994" s="97"/>
      <c r="AE994" s="97"/>
      <c r="AF994" s="98"/>
      <c r="AG994" s="98"/>
      <c r="AH994" s="98"/>
      <c r="AI994" s="99"/>
      <c r="AJ994" s="95">
        <f t="shared" si="1772"/>
        <v>0</v>
      </c>
      <c r="AK994" s="96">
        <f t="shared" si="1773"/>
        <v>0</v>
      </c>
    </row>
    <row r="995" spans="1:38" ht="15.6" hidden="1" thickBot="1">
      <c r="A995" s="91"/>
      <c r="B995" s="100"/>
      <c r="C995" s="92"/>
      <c r="D995" s="101">
        <v>2020</v>
      </c>
      <c r="E995" s="102"/>
      <c r="F995" s="124"/>
      <c r="G995" s="124"/>
      <c r="H995" s="124"/>
      <c r="I995" s="124"/>
      <c r="J995" s="124"/>
      <c r="K995" s="124"/>
      <c r="L995" s="124"/>
      <c r="M995" s="125"/>
      <c r="N995" s="125"/>
      <c r="O995" s="125"/>
      <c r="P995" s="126"/>
      <c r="Q995" s="103">
        <f t="shared" si="1769"/>
        <v>0</v>
      </c>
      <c r="R995" s="104">
        <f t="shared" si="1754"/>
        <v>0</v>
      </c>
      <c r="S995" s="105"/>
      <c r="T995" s="91"/>
      <c r="U995" s="100"/>
      <c r="V995" s="92"/>
      <c r="W995" s="101">
        <v>2020</v>
      </c>
      <c r="X995" s="102"/>
      <c r="Y995" s="124"/>
      <c r="Z995" s="124"/>
      <c r="AA995" s="124"/>
      <c r="AB995" s="124"/>
      <c r="AC995" s="124"/>
      <c r="AD995" s="124"/>
      <c r="AE995" s="124"/>
      <c r="AF995" s="125"/>
      <c r="AG995" s="125"/>
      <c r="AH995" s="125"/>
      <c r="AI995" s="126"/>
      <c r="AJ995" s="103">
        <f t="shared" si="1772"/>
        <v>0</v>
      </c>
      <c r="AK995" s="104">
        <f t="shared" si="1773"/>
        <v>0</v>
      </c>
      <c r="AL995" s="105"/>
    </row>
    <row r="996" spans="1:38" ht="15.6" hidden="1" thickBot="1">
      <c r="A996" s="91"/>
      <c r="B996" s="100"/>
      <c r="C996" s="92"/>
      <c r="D996" s="101" t="s">
        <v>102</v>
      </c>
      <c r="E996" s="106" t="e">
        <f t="shared" ref="E996:R996" si="1774">E995/E994</f>
        <v>#DIV/0!</v>
      </c>
      <c r="F996" s="106" t="e">
        <f t="shared" si="1774"/>
        <v>#DIV/0!</v>
      </c>
      <c r="G996" s="106" t="e">
        <f t="shared" si="1774"/>
        <v>#DIV/0!</v>
      </c>
      <c r="H996" s="106" t="e">
        <f t="shared" si="1774"/>
        <v>#DIV/0!</v>
      </c>
      <c r="I996" s="106" t="e">
        <f t="shared" si="1774"/>
        <v>#DIV/0!</v>
      </c>
      <c r="J996" s="106" t="e">
        <f t="shared" si="1774"/>
        <v>#DIV/0!</v>
      </c>
      <c r="K996" s="106" t="e">
        <f t="shared" si="1774"/>
        <v>#DIV/0!</v>
      </c>
      <c r="L996" s="106" t="e">
        <f t="shared" si="1774"/>
        <v>#DIV/0!</v>
      </c>
      <c r="M996" s="107" t="e">
        <f t="shared" si="1774"/>
        <v>#DIV/0!</v>
      </c>
      <c r="N996" s="107" t="e">
        <f t="shared" si="1774"/>
        <v>#DIV/0!</v>
      </c>
      <c r="O996" s="107" t="e">
        <f t="shared" si="1774"/>
        <v>#DIV/0!</v>
      </c>
      <c r="P996" s="108" t="e">
        <f t="shared" si="1774"/>
        <v>#DIV/0!</v>
      </c>
      <c r="Q996" s="109" t="e">
        <f t="shared" si="1774"/>
        <v>#DIV/0!</v>
      </c>
      <c r="R996" s="110" t="e">
        <f t="shared" si="1774"/>
        <v>#DIV/0!</v>
      </c>
      <c r="S996" s="105"/>
      <c r="T996" s="91"/>
      <c r="U996" s="100"/>
      <c r="V996" s="92"/>
      <c r="W996" s="101" t="s">
        <v>102</v>
      </c>
      <c r="X996" s="106" t="e">
        <f t="shared" ref="X996:AK996" si="1775">X995/X994</f>
        <v>#DIV/0!</v>
      </c>
      <c r="Y996" s="106" t="e">
        <f t="shared" si="1775"/>
        <v>#DIV/0!</v>
      </c>
      <c r="Z996" s="106" t="e">
        <f t="shared" si="1775"/>
        <v>#DIV/0!</v>
      </c>
      <c r="AA996" s="106" t="e">
        <f t="shared" si="1775"/>
        <v>#DIV/0!</v>
      </c>
      <c r="AB996" s="106" t="e">
        <f t="shared" si="1775"/>
        <v>#DIV/0!</v>
      </c>
      <c r="AC996" s="106" t="e">
        <f t="shared" si="1775"/>
        <v>#DIV/0!</v>
      </c>
      <c r="AD996" s="106" t="e">
        <f t="shared" si="1775"/>
        <v>#DIV/0!</v>
      </c>
      <c r="AE996" s="106" t="e">
        <f t="shared" si="1775"/>
        <v>#DIV/0!</v>
      </c>
      <c r="AF996" s="107" t="e">
        <f t="shared" si="1775"/>
        <v>#DIV/0!</v>
      </c>
      <c r="AG996" s="107" t="e">
        <f t="shared" si="1775"/>
        <v>#DIV/0!</v>
      </c>
      <c r="AH996" s="107" t="e">
        <f t="shared" si="1775"/>
        <v>#DIV/0!</v>
      </c>
      <c r="AI996" s="108" t="e">
        <f t="shared" si="1775"/>
        <v>#DIV/0!</v>
      </c>
      <c r="AJ996" s="109" t="e">
        <f t="shared" si="1775"/>
        <v>#DIV/0!</v>
      </c>
      <c r="AK996" s="110" t="e">
        <f t="shared" si="1775"/>
        <v>#DIV/0!</v>
      </c>
      <c r="AL996" s="105"/>
    </row>
    <row r="997" spans="1:38" ht="15.6" hidden="1" thickBot="1">
      <c r="A997" s="91"/>
      <c r="B997" s="100"/>
      <c r="C997" s="111"/>
      <c r="D997" s="112" t="s">
        <v>103</v>
      </c>
      <c r="E997" s="113" t="e">
        <f t="shared" ref="E997:R997" si="1776">E995/E993</f>
        <v>#DIV/0!</v>
      </c>
      <c r="F997" s="113" t="e">
        <f t="shared" si="1776"/>
        <v>#DIV/0!</v>
      </c>
      <c r="G997" s="113" t="e">
        <f t="shared" si="1776"/>
        <v>#DIV/0!</v>
      </c>
      <c r="H997" s="113" t="e">
        <f t="shared" si="1776"/>
        <v>#DIV/0!</v>
      </c>
      <c r="I997" s="113" t="e">
        <f t="shared" si="1776"/>
        <v>#DIV/0!</v>
      </c>
      <c r="J997" s="113" t="e">
        <f t="shared" si="1776"/>
        <v>#DIV/0!</v>
      </c>
      <c r="K997" s="113" t="e">
        <f t="shared" si="1776"/>
        <v>#DIV/0!</v>
      </c>
      <c r="L997" s="113" t="e">
        <f t="shared" si="1776"/>
        <v>#DIV/0!</v>
      </c>
      <c r="M997" s="113" t="e">
        <f t="shared" si="1776"/>
        <v>#DIV/0!</v>
      </c>
      <c r="N997" s="113" t="e">
        <f t="shared" si="1776"/>
        <v>#DIV/0!</v>
      </c>
      <c r="O997" s="113" t="e">
        <f t="shared" si="1776"/>
        <v>#DIV/0!</v>
      </c>
      <c r="P997" s="114" t="e">
        <f t="shared" si="1776"/>
        <v>#DIV/0!</v>
      </c>
      <c r="Q997" s="115" t="e">
        <f t="shared" si="1776"/>
        <v>#DIV/0!</v>
      </c>
      <c r="R997" s="116" t="e">
        <f t="shared" si="1776"/>
        <v>#DIV/0!</v>
      </c>
      <c r="T997" s="91"/>
      <c r="U997" s="100"/>
      <c r="V997" s="111"/>
      <c r="W997" s="112" t="s">
        <v>103</v>
      </c>
      <c r="X997" s="113" t="e">
        <f t="shared" ref="X997:AK997" si="1777">X995/X993</f>
        <v>#DIV/0!</v>
      </c>
      <c r="Y997" s="113" t="e">
        <f t="shared" si="1777"/>
        <v>#DIV/0!</v>
      </c>
      <c r="Z997" s="113" t="e">
        <f t="shared" si="1777"/>
        <v>#DIV/0!</v>
      </c>
      <c r="AA997" s="113" t="e">
        <f t="shared" si="1777"/>
        <v>#DIV/0!</v>
      </c>
      <c r="AB997" s="113" t="e">
        <f t="shared" si="1777"/>
        <v>#DIV/0!</v>
      </c>
      <c r="AC997" s="113" t="e">
        <f t="shared" si="1777"/>
        <v>#DIV/0!</v>
      </c>
      <c r="AD997" s="113" t="e">
        <f t="shared" si="1777"/>
        <v>#DIV/0!</v>
      </c>
      <c r="AE997" s="113" t="e">
        <f t="shared" si="1777"/>
        <v>#DIV/0!</v>
      </c>
      <c r="AF997" s="113" t="e">
        <f t="shared" si="1777"/>
        <v>#DIV/0!</v>
      </c>
      <c r="AG997" s="113" t="e">
        <f t="shared" si="1777"/>
        <v>#DIV/0!</v>
      </c>
      <c r="AH997" s="113" t="e">
        <f t="shared" si="1777"/>
        <v>#DIV/0!</v>
      </c>
      <c r="AI997" s="114" t="e">
        <f t="shared" si="1777"/>
        <v>#DIV/0!</v>
      </c>
      <c r="AJ997" s="115" t="e">
        <f t="shared" si="1777"/>
        <v>#DIV/0!</v>
      </c>
      <c r="AK997" s="116" t="e">
        <f t="shared" si="1777"/>
        <v>#DIV/0!</v>
      </c>
    </row>
    <row r="998" spans="1:38" ht="15.6" hidden="1" thickBot="1">
      <c r="A998" s="91"/>
      <c r="B998" s="100"/>
      <c r="C998" s="86"/>
      <c r="D998" s="87">
        <v>2019</v>
      </c>
      <c r="E998" s="88"/>
      <c r="F998" s="121"/>
      <c r="G998" s="121"/>
      <c r="H998" s="121"/>
      <c r="I998" s="121"/>
      <c r="J998" s="121"/>
      <c r="K998" s="121"/>
      <c r="L998" s="121"/>
      <c r="M998" s="122"/>
      <c r="N998" s="122"/>
      <c r="O998" s="122"/>
      <c r="P998" s="123"/>
      <c r="Q998" s="89">
        <f t="shared" ref="Q998:Q1000" si="1778">SUM(E998:P998)</f>
        <v>0</v>
      </c>
      <c r="R998" s="90">
        <f t="shared" ref="R998" si="1779">SUM(E998:M998)</f>
        <v>0</v>
      </c>
      <c r="T998" s="91"/>
      <c r="U998" s="100"/>
      <c r="V998" s="86">
        <f t="shared" ref="V998:V999" si="1780">C998</f>
        <v>0</v>
      </c>
      <c r="W998" s="87">
        <v>2019</v>
      </c>
      <c r="X998" s="88"/>
      <c r="Y998" s="121"/>
      <c r="Z998" s="121"/>
      <c r="AA998" s="121"/>
      <c r="AB998" s="121"/>
      <c r="AC998" s="121"/>
      <c r="AD998" s="121"/>
      <c r="AE998" s="121"/>
      <c r="AF998" s="122"/>
      <c r="AG998" s="122"/>
      <c r="AH998" s="122"/>
      <c r="AI998" s="123"/>
      <c r="AJ998" s="89">
        <f t="shared" ref="AJ998:AJ1000" si="1781">SUM(X998:AI998)</f>
        <v>0</v>
      </c>
      <c r="AK998" s="90">
        <f t="shared" ref="AK998:AK1000" si="1782">SUM(X998:AF998)</f>
        <v>0</v>
      </c>
    </row>
    <row r="999" spans="1:38" ht="15.6" hidden="1" thickBot="1">
      <c r="A999" s="91"/>
      <c r="B999" s="100"/>
      <c r="C999" s="92"/>
      <c r="D999" s="93" t="s">
        <v>92</v>
      </c>
      <c r="E999" s="94"/>
      <c r="F999" s="97"/>
      <c r="G999" s="97"/>
      <c r="H999" s="97"/>
      <c r="I999" s="97"/>
      <c r="J999" s="97"/>
      <c r="K999" s="97"/>
      <c r="L999" s="97"/>
      <c r="M999" s="98"/>
      <c r="N999" s="98"/>
      <c r="O999" s="98"/>
      <c r="P999" s="99"/>
      <c r="Q999" s="95">
        <f t="shared" si="1778"/>
        <v>0</v>
      </c>
      <c r="R999" s="96">
        <f t="shared" si="1754"/>
        <v>0</v>
      </c>
      <c r="T999" s="91"/>
      <c r="U999" s="100"/>
      <c r="V999" s="92">
        <f t="shared" si="1780"/>
        <v>0</v>
      </c>
      <c r="W999" s="93" t="s">
        <v>92</v>
      </c>
      <c r="X999" s="94"/>
      <c r="Y999" s="97"/>
      <c r="Z999" s="97"/>
      <c r="AA999" s="97"/>
      <c r="AB999" s="97"/>
      <c r="AC999" s="97"/>
      <c r="AD999" s="97"/>
      <c r="AE999" s="97"/>
      <c r="AF999" s="98"/>
      <c r="AG999" s="98"/>
      <c r="AH999" s="98"/>
      <c r="AI999" s="99"/>
      <c r="AJ999" s="95">
        <f t="shared" si="1781"/>
        <v>0</v>
      </c>
      <c r="AK999" s="96">
        <f t="shared" si="1782"/>
        <v>0</v>
      </c>
    </row>
    <row r="1000" spans="1:38" ht="15.6" hidden="1" thickBot="1">
      <c r="A1000" s="91"/>
      <c r="B1000" s="100"/>
      <c r="C1000" s="92"/>
      <c r="D1000" s="101">
        <v>2020</v>
      </c>
      <c r="E1000" s="102"/>
      <c r="F1000" s="124"/>
      <c r="G1000" s="124"/>
      <c r="H1000" s="124"/>
      <c r="I1000" s="124"/>
      <c r="J1000" s="124"/>
      <c r="K1000" s="124"/>
      <c r="L1000" s="124"/>
      <c r="M1000" s="125"/>
      <c r="N1000" s="125"/>
      <c r="O1000" s="125"/>
      <c r="P1000" s="126"/>
      <c r="Q1000" s="103">
        <f t="shared" si="1778"/>
        <v>0</v>
      </c>
      <c r="R1000" s="104">
        <f t="shared" si="1754"/>
        <v>0</v>
      </c>
      <c r="S1000" s="105"/>
      <c r="T1000" s="91"/>
      <c r="U1000" s="100"/>
      <c r="V1000" s="92"/>
      <c r="W1000" s="101">
        <v>2020</v>
      </c>
      <c r="X1000" s="102"/>
      <c r="Y1000" s="124"/>
      <c r="Z1000" s="124"/>
      <c r="AA1000" s="124"/>
      <c r="AB1000" s="124"/>
      <c r="AC1000" s="124"/>
      <c r="AD1000" s="124"/>
      <c r="AE1000" s="124"/>
      <c r="AF1000" s="125"/>
      <c r="AG1000" s="125"/>
      <c r="AH1000" s="125"/>
      <c r="AI1000" s="126"/>
      <c r="AJ1000" s="103">
        <f t="shared" si="1781"/>
        <v>0</v>
      </c>
      <c r="AK1000" s="104">
        <f t="shared" si="1782"/>
        <v>0</v>
      </c>
      <c r="AL1000" s="105"/>
    </row>
    <row r="1001" spans="1:38" ht="15.6" hidden="1" thickBot="1">
      <c r="A1001" s="91"/>
      <c r="B1001" s="100"/>
      <c r="C1001" s="92"/>
      <c r="D1001" s="101" t="s">
        <v>102</v>
      </c>
      <c r="E1001" s="106" t="e">
        <f t="shared" ref="E1001:R1001" si="1783">E1000/E999</f>
        <v>#DIV/0!</v>
      </c>
      <c r="F1001" s="106" t="e">
        <f t="shared" si="1783"/>
        <v>#DIV/0!</v>
      </c>
      <c r="G1001" s="106" t="e">
        <f t="shared" si="1783"/>
        <v>#DIV/0!</v>
      </c>
      <c r="H1001" s="106" t="e">
        <f t="shared" si="1783"/>
        <v>#DIV/0!</v>
      </c>
      <c r="I1001" s="106" t="e">
        <f t="shared" si="1783"/>
        <v>#DIV/0!</v>
      </c>
      <c r="J1001" s="106" t="e">
        <f t="shared" si="1783"/>
        <v>#DIV/0!</v>
      </c>
      <c r="K1001" s="106" t="e">
        <f t="shared" si="1783"/>
        <v>#DIV/0!</v>
      </c>
      <c r="L1001" s="106" t="e">
        <f t="shared" si="1783"/>
        <v>#DIV/0!</v>
      </c>
      <c r="M1001" s="107" t="e">
        <f t="shared" si="1783"/>
        <v>#DIV/0!</v>
      </c>
      <c r="N1001" s="107" t="e">
        <f t="shared" si="1783"/>
        <v>#DIV/0!</v>
      </c>
      <c r="O1001" s="107" t="e">
        <f t="shared" si="1783"/>
        <v>#DIV/0!</v>
      </c>
      <c r="P1001" s="108" t="e">
        <f t="shared" si="1783"/>
        <v>#DIV/0!</v>
      </c>
      <c r="Q1001" s="109" t="e">
        <f t="shared" si="1783"/>
        <v>#DIV/0!</v>
      </c>
      <c r="R1001" s="110" t="e">
        <f t="shared" si="1783"/>
        <v>#DIV/0!</v>
      </c>
      <c r="S1001" s="105"/>
      <c r="T1001" s="91"/>
      <c r="U1001" s="100"/>
      <c r="V1001" s="92"/>
      <c r="W1001" s="101" t="s">
        <v>102</v>
      </c>
      <c r="X1001" s="106" t="e">
        <f t="shared" ref="X1001:AK1001" si="1784">X1000/X999</f>
        <v>#DIV/0!</v>
      </c>
      <c r="Y1001" s="106" t="e">
        <f t="shared" si="1784"/>
        <v>#DIV/0!</v>
      </c>
      <c r="Z1001" s="106" t="e">
        <f t="shared" si="1784"/>
        <v>#DIV/0!</v>
      </c>
      <c r="AA1001" s="106" t="e">
        <f t="shared" si="1784"/>
        <v>#DIV/0!</v>
      </c>
      <c r="AB1001" s="106" t="e">
        <f t="shared" si="1784"/>
        <v>#DIV/0!</v>
      </c>
      <c r="AC1001" s="106" t="e">
        <f t="shared" si="1784"/>
        <v>#DIV/0!</v>
      </c>
      <c r="AD1001" s="106" t="e">
        <f t="shared" si="1784"/>
        <v>#DIV/0!</v>
      </c>
      <c r="AE1001" s="106" t="e">
        <f t="shared" si="1784"/>
        <v>#DIV/0!</v>
      </c>
      <c r="AF1001" s="107" t="e">
        <f t="shared" si="1784"/>
        <v>#DIV/0!</v>
      </c>
      <c r="AG1001" s="107" t="e">
        <f t="shared" si="1784"/>
        <v>#DIV/0!</v>
      </c>
      <c r="AH1001" s="107" t="e">
        <f t="shared" si="1784"/>
        <v>#DIV/0!</v>
      </c>
      <c r="AI1001" s="108" t="e">
        <f t="shared" si="1784"/>
        <v>#DIV/0!</v>
      </c>
      <c r="AJ1001" s="109" t="e">
        <f t="shared" si="1784"/>
        <v>#DIV/0!</v>
      </c>
      <c r="AK1001" s="110" t="e">
        <f t="shared" si="1784"/>
        <v>#DIV/0!</v>
      </c>
      <c r="AL1001" s="105"/>
    </row>
    <row r="1002" spans="1:38" ht="15.6" hidden="1" thickBot="1">
      <c r="A1002" s="91"/>
      <c r="B1002" s="100"/>
      <c r="C1002" s="111"/>
      <c r="D1002" s="112" t="s">
        <v>103</v>
      </c>
      <c r="E1002" s="113" t="e">
        <f t="shared" ref="E1002:R1002" si="1785">E1000/E998</f>
        <v>#DIV/0!</v>
      </c>
      <c r="F1002" s="113" t="e">
        <f t="shared" si="1785"/>
        <v>#DIV/0!</v>
      </c>
      <c r="G1002" s="113" t="e">
        <f t="shared" si="1785"/>
        <v>#DIV/0!</v>
      </c>
      <c r="H1002" s="113" t="e">
        <f t="shared" si="1785"/>
        <v>#DIV/0!</v>
      </c>
      <c r="I1002" s="113" t="e">
        <f t="shared" si="1785"/>
        <v>#DIV/0!</v>
      </c>
      <c r="J1002" s="113" t="e">
        <f t="shared" si="1785"/>
        <v>#DIV/0!</v>
      </c>
      <c r="K1002" s="113" t="e">
        <f t="shared" si="1785"/>
        <v>#DIV/0!</v>
      </c>
      <c r="L1002" s="113" t="e">
        <f t="shared" si="1785"/>
        <v>#DIV/0!</v>
      </c>
      <c r="M1002" s="113" t="e">
        <f t="shared" si="1785"/>
        <v>#DIV/0!</v>
      </c>
      <c r="N1002" s="113" t="e">
        <f t="shared" si="1785"/>
        <v>#DIV/0!</v>
      </c>
      <c r="O1002" s="113" t="e">
        <f t="shared" si="1785"/>
        <v>#DIV/0!</v>
      </c>
      <c r="P1002" s="114" t="e">
        <f t="shared" si="1785"/>
        <v>#DIV/0!</v>
      </c>
      <c r="Q1002" s="115" t="e">
        <f t="shared" si="1785"/>
        <v>#DIV/0!</v>
      </c>
      <c r="R1002" s="116" t="e">
        <f t="shared" si="1785"/>
        <v>#DIV/0!</v>
      </c>
      <c r="T1002" s="91"/>
      <c r="U1002" s="100"/>
      <c r="V1002" s="111"/>
      <c r="W1002" s="112" t="s">
        <v>103</v>
      </c>
      <c r="X1002" s="113" t="e">
        <f t="shared" ref="X1002:AK1002" si="1786">X1000/X998</f>
        <v>#DIV/0!</v>
      </c>
      <c r="Y1002" s="113" t="e">
        <f t="shared" si="1786"/>
        <v>#DIV/0!</v>
      </c>
      <c r="Z1002" s="113" t="e">
        <f t="shared" si="1786"/>
        <v>#DIV/0!</v>
      </c>
      <c r="AA1002" s="113" t="e">
        <f t="shared" si="1786"/>
        <v>#DIV/0!</v>
      </c>
      <c r="AB1002" s="113" t="e">
        <f t="shared" si="1786"/>
        <v>#DIV/0!</v>
      </c>
      <c r="AC1002" s="113" t="e">
        <f t="shared" si="1786"/>
        <v>#DIV/0!</v>
      </c>
      <c r="AD1002" s="113" t="e">
        <f t="shared" si="1786"/>
        <v>#DIV/0!</v>
      </c>
      <c r="AE1002" s="113" t="e">
        <f t="shared" si="1786"/>
        <v>#DIV/0!</v>
      </c>
      <c r="AF1002" s="113" t="e">
        <f t="shared" si="1786"/>
        <v>#DIV/0!</v>
      </c>
      <c r="AG1002" s="113" t="e">
        <f t="shared" si="1786"/>
        <v>#DIV/0!</v>
      </c>
      <c r="AH1002" s="113" t="e">
        <f t="shared" si="1786"/>
        <v>#DIV/0!</v>
      </c>
      <c r="AI1002" s="114" t="e">
        <f t="shared" si="1786"/>
        <v>#DIV/0!</v>
      </c>
      <c r="AJ1002" s="115" t="e">
        <f t="shared" si="1786"/>
        <v>#DIV/0!</v>
      </c>
      <c r="AK1002" s="116" t="e">
        <f t="shared" si="1786"/>
        <v>#DIV/0!</v>
      </c>
    </row>
    <row r="1003" spans="1:38" ht="15.6" hidden="1" thickBot="1">
      <c r="A1003" s="91"/>
      <c r="B1003" s="100"/>
      <c r="C1003" s="86"/>
      <c r="D1003" s="87">
        <v>2019</v>
      </c>
      <c r="E1003" s="88"/>
      <c r="F1003" s="121"/>
      <c r="G1003" s="121"/>
      <c r="H1003" s="121"/>
      <c r="I1003" s="121"/>
      <c r="J1003" s="121"/>
      <c r="K1003" s="121"/>
      <c r="L1003" s="121"/>
      <c r="M1003" s="122"/>
      <c r="N1003" s="122"/>
      <c r="O1003" s="122"/>
      <c r="P1003" s="123"/>
      <c r="Q1003" s="89">
        <f t="shared" ref="Q1003:Q1005" si="1787">SUM(E1003:P1003)</f>
        <v>0</v>
      </c>
      <c r="R1003" s="90">
        <f t="shared" ref="R1003" si="1788">SUM(E1003:M1003)</f>
        <v>0</v>
      </c>
      <c r="T1003" s="91"/>
      <c r="U1003" s="100"/>
      <c r="V1003" s="86">
        <f t="shared" ref="V1003:V1004" si="1789">C1003</f>
        <v>0</v>
      </c>
      <c r="W1003" s="87">
        <v>2019</v>
      </c>
      <c r="X1003" s="88"/>
      <c r="Y1003" s="121"/>
      <c r="Z1003" s="121"/>
      <c r="AA1003" s="121"/>
      <c r="AB1003" s="121"/>
      <c r="AC1003" s="121"/>
      <c r="AD1003" s="121"/>
      <c r="AE1003" s="121"/>
      <c r="AF1003" s="122"/>
      <c r="AG1003" s="122"/>
      <c r="AH1003" s="122"/>
      <c r="AI1003" s="123"/>
      <c r="AJ1003" s="89">
        <f t="shared" ref="AJ1003:AJ1005" si="1790">SUM(X1003:AI1003)</f>
        <v>0</v>
      </c>
      <c r="AK1003" s="90">
        <f t="shared" ref="AK1003:AK1005" si="1791">SUM(X1003:AF1003)</f>
        <v>0</v>
      </c>
    </row>
    <row r="1004" spans="1:38" ht="15.6" hidden="1" thickBot="1">
      <c r="A1004" s="91"/>
      <c r="B1004" s="100"/>
      <c r="C1004" s="92"/>
      <c r="D1004" s="93" t="s">
        <v>92</v>
      </c>
      <c r="E1004" s="94"/>
      <c r="F1004" s="97"/>
      <c r="G1004" s="97"/>
      <c r="H1004" s="97"/>
      <c r="I1004" s="97"/>
      <c r="J1004" s="97"/>
      <c r="K1004" s="97"/>
      <c r="L1004" s="97"/>
      <c r="M1004" s="98"/>
      <c r="N1004" s="98"/>
      <c r="O1004" s="98"/>
      <c r="P1004" s="99"/>
      <c r="Q1004" s="95">
        <f t="shared" si="1787"/>
        <v>0</v>
      </c>
      <c r="R1004" s="96">
        <f t="shared" si="1754"/>
        <v>0</v>
      </c>
      <c r="T1004" s="91"/>
      <c r="U1004" s="100"/>
      <c r="V1004" s="92">
        <f t="shared" si="1789"/>
        <v>0</v>
      </c>
      <c r="W1004" s="93" t="s">
        <v>92</v>
      </c>
      <c r="X1004" s="94"/>
      <c r="Y1004" s="97"/>
      <c r="Z1004" s="97"/>
      <c r="AA1004" s="97"/>
      <c r="AB1004" s="97"/>
      <c r="AC1004" s="97"/>
      <c r="AD1004" s="97"/>
      <c r="AE1004" s="97"/>
      <c r="AF1004" s="98"/>
      <c r="AG1004" s="98"/>
      <c r="AH1004" s="98"/>
      <c r="AI1004" s="99"/>
      <c r="AJ1004" s="95">
        <f t="shared" si="1790"/>
        <v>0</v>
      </c>
      <c r="AK1004" s="96">
        <f t="shared" si="1791"/>
        <v>0</v>
      </c>
    </row>
    <row r="1005" spans="1:38" ht="15.6" hidden="1" thickBot="1">
      <c r="A1005" s="91"/>
      <c r="B1005" s="100"/>
      <c r="C1005" s="92"/>
      <c r="D1005" s="101">
        <v>2020</v>
      </c>
      <c r="E1005" s="102"/>
      <c r="F1005" s="124"/>
      <c r="G1005" s="124"/>
      <c r="H1005" s="124"/>
      <c r="I1005" s="124"/>
      <c r="J1005" s="124"/>
      <c r="K1005" s="124"/>
      <c r="L1005" s="124"/>
      <c r="M1005" s="125"/>
      <c r="N1005" s="125"/>
      <c r="O1005" s="125"/>
      <c r="P1005" s="126"/>
      <c r="Q1005" s="103">
        <f t="shared" si="1787"/>
        <v>0</v>
      </c>
      <c r="R1005" s="104">
        <f t="shared" si="1754"/>
        <v>0</v>
      </c>
      <c r="S1005" s="105"/>
      <c r="T1005" s="91"/>
      <c r="U1005" s="100"/>
      <c r="V1005" s="92"/>
      <c r="W1005" s="101">
        <v>2020</v>
      </c>
      <c r="X1005" s="102"/>
      <c r="Y1005" s="124"/>
      <c r="Z1005" s="124"/>
      <c r="AA1005" s="124"/>
      <c r="AB1005" s="124"/>
      <c r="AC1005" s="124"/>
      <c r="AD1005" s="124"/>
      <c r="AE1005" s="124"/>
      <c r="AF1005" s="125"/>
      <c r="AG1005" s="125"/>
      <c r="AH1005" s="125"/>
      <c r="AI1005" s="126"/>
      <c r="AJ1005" s="103">
        <f t="shared" si="1790"/>
        <v>0</v>
      </c>
      <c r="AK1005" s="104">
        <f t="shared" si="1791"/>
        <v>0</v>
      </c>
      <c r="AL1005" s="105"/>
    </row>
    <row r="1006" spans="1:38" ht="15.6" hidden="1" thickBot="1">
      <c r="A1006" s="91"/>
      <c r="B1006" s="100"/>
      <c r="C1006" s="92"/>
      <c r="D1006" s="101" t="s">
        <v>102</v>
      </c>
      <c r="E1006" s="106" t="e">
        <f t="shared" ref="E1006:R1006" si="1792">E1005/E1004</f>
        <v>#DIV/0!</v>
      </c>
      <c r="F1006" s="106" t="e">
        <f t="shared" si="1792"/>
        <v>#DIV/0!</v>
      </c>
      <c r="G1006" s="106" t="e">
        <f t="shared" si="1792"/>
        <v>#DIV/0!</v>
      </c>
      <c r="H1006" s="106" t="e">
        <f t="shared" si="1792"/>
        <v>#DIV/0!</v>
      </c>
      <c r="I1006" s="106" t="e">
        <f t="shared" si="1792"/>
        <v>#DIV/0!</v>
      </c>
      <c r="J1006" s="106" t="e">
        <f t="shared" si="1792"/>
        <v>#DIV/0!</v>
      </c>
      <c r="K1006" s="106" t="e">
        <f t="shared" si="1792"/>
        <v>#DIV/0!</v>
      </c>
      <c r="L1006" s="106" t="e">
        <f t="shared" si="1792"/>
        <v>#DIV/0!</v>
      </c>
      <c r="M1006" s="107" t="e">
        <f t="shared" si="1792"/>
        <v>#DIV/0!</v>
      </c>
      <c r="N1006" s="107" t="e">
        <f t="shared" si="1792"/>
        <v>#DIV/0!</v>
      </c>
      <c r="O1006" s="107" t="e">
        <f t="shared" si="1792"/>
        <v>#DIV/0!</v>
      </c>
      <c r="P1006" s="108" t="e">
        <f t="shared" si="1792"/>
        <v>#DIV/0!</v>
      </c>
      <c r="Q1006" s="109" t="e">
        <f t="shared" si="1792"/>
        <v>#DIV/0!</v>
      </c>
      <c r="R1006" s="110" t="e">
        <f t="shared" si="1792"/>
        <v>#DIV/0!</v>
      </c>
      <c r="S1006" s="105"/>
      <c r="T1006" s="91"/>
      <c r="U1006" s="100"/>
      <c r="V1006" s="92"/>
      <c r="W1006" s="101" t="s">
        <v>102</v>
      </c>
      <c r="X1006" s="106" t="e">
        <f t="shared" ref="X1006:AK1006" si="1793">X1005/X1004</f>
        <v>#DIV/0!</v>
      </c>
      <c r="Y1006" s="106" t="e">
        <f t="shared" si="1793"/>
        <v>#DIV/0!</v>
      </c>
      <c r="Z1006" s="106" t="e">
        <f t="shared" si="1793"/>
        <v>#DIV/0!</v>
      </c>
      <c r="AA1006" s="106" t="e">
        <f t="shared" si="1793"/>
        <v>#DIV/0!</v>
      </c>
      <c r="AB1006" s="106" t="e">
        <f t="shared" si="1793"/>
        <v>#DIV/0!</v>
      </c>
      <c r="AC1006" s="106" t="e">
        <f t="shared" si="1793"/>
        <v>#DIV/0!</v>
      </c>
      <c r="AD1006" s="106" t="e">
        <f t="shared" si="1793"/>
        <v>#DIV/0!</v>
      </c>
      <c r="AE1006" s="106" t="e">
        <f t="shared" si="1793"/>
        <v>#DIV/0!</v>
      </c>
      <c r="AF1006" s="107" t="e">
        <f t="shared" si="1793"/>
        <v>#DIV/0!</v>
      </c>
      <c r="AG1006" s="107" t="e">
        <f t="shared" si="1793"/>
        <v>#DIV/0!</v>
      </c>
      <c r="AH1006" s="107" t="e">
        <f t="shared" si="1793"/>
        <v>#DIV/0!</v>
      </c>
      <c r="AI1006" s="108" t="e">
        <f t="shared" si="1793"/>
        <v>#DIV/0!</v>
      </c>
      <c r="AJ1006" s="109" t="e">
        <f t="shared" si="1793"/>
        <v>#DIV/0!</v>
      </c>
      <c r="AK1006" s="110" t="e">
        <f t="shared" si="1793"/>
        <v>#DIV/0!</v>
      </c>
      <c r="AL1006" s="105"/>
    </row>
    <row r="1007" spans="1:38" ht="15.6" hidden="1" thickBot="1">
      <c r="A1007" s="91"/>
      <c r="B1007" s="100"/>
      <c r="C1007" s="111"/>
      <c r="D1007" s="112" t="s">
        <v>103</v>
      </c>
      <c r="E1007" s="113" t="e">
        <f t="shared" ref="E1007:R1007" si="1794">E1005/E1003</f>
        <v>#DIV/0!</v>
      </c>
      <c r="F1007" s="113" t="e">
        <f t="shared" si="1794"/>
        <v>#DIV/0!</v>
      </c>
      <c r="G1007" s="113" t="e">
        <f t="shared" si="1794"/>
        <v>#DIV/0!</v>
      </c>
      <c r="H1007" s="113" t="e">
        <f t="shared" si="1794"/>
        <v>#DIV/0!</v>
      </c>
      <c r="I1007" s="113" t="e">
        <f t="shared" si="1794"/>
        <v>#DIV/0!</v>
      </c>
      <c r="J1007" s="113" t="e">
        <f t="shared" si="1794"/>
        <v>#DIV/0!</v>
      </c>
      <c r="K1007" s="113" t="e">
        <f t="shared" si="1794"/>
        <v>#DIV/0!</v>
      </c>
      <c r="L1007" s="113" t="e">
        <f t="shared" si="1794"/>
        <v>#DIV/0!</v>
      </c>
      <c r="M1007" s="113" t="e">
        <f t="shared" si="1794"/>
        <v>#DIV/0!</v>
      </c>
      <c r="N1007" s="113" t="e">
        <f t="shared" si="1794"/>
        <v>#DIV/0!</v>
      </c>
      <c r="O1007" s="113" t="e">
        <f t="shared" si="1794"/>
        <v>#DIV/0!</v>
      </c>
      <c r="P1007" s="114" t="e">
        <f t="shared" si="1794"/>
        <v>#DIV/0!</v>
      </c>
      <c r="Q1007" s="115" t="e">
        <f t="shared" si="1794"/>
        <v>#DIV/0!</v>
      </c>
      <c r="R1007" s="116" t="e">
        <f t="shared" si="1794"/>
        <v>#DIV/0!</v>
      </c>
      <c r="T1007" s="91"/>
      <c r="U1007" s="100"/>
      <c r="V1007" s="111"/>
      <c r="W1007" s="112" t="s">
        <v>103</v>
      </c>
      <c r="X1007" s="113" t="e">
        <f t="shared" ref="X1007:AK1007" si="1795">X1005/X1003</f>
        <v>#DIV/0!</v>
      </c>
      <c r="Y1007" s="113" t="e">
        <f t="shared" si="1795"/>
        <v>#DIV/0!</v>
      </c>
      <c r="Z1007" s="113" t="e">
        <f t="shared" si="1795"/>
        <v>#DIV/0!</v>
      </c>
      <c r="AA1007" s="113" t="e">
        <f t="shared" si="1795"/>
        <v>#DIV/0!</v>
      </c>
      <c r="AB1007" s="113" t="e">
        <f t="shared" si="1795"/>
        <v>#DIV/0!</v>
      </c>
      <c r="AC1007" s="113" t="e">
        <f t="shared" si="1795"/>
        <v>#DIV/0!</v>
      </c>
      <c r="AD1007" s="113" t="e">
        <f t="shared" si="1795"/>
        <v>#DIV/0!</v>
      </c>
      <c r="AE1007" s="113" t="e">
        <f t="shared" si="1795"/>
        <v>#DIV/0!</v>
      </c>
      <c r="AF1007" s="113" t="e">
        <f t="shared" si="1795"/>
        <v>#DIV/0!</v>
      </c>
      <c r="AG1007" s="113" t="e">
        <f t="shared" si="1795"/>
        <v>#DIV/0!</v>
      </c>
      <c r="AH1007" s="113" t="e">
        <f t="shared" si="1795"/>
        <v>#DIV/0!</v>
      </c>
      <c r="AI1007" s="114" t="e">
        <f t="shared" si="1795"/>
        <v>#DIV/0!</v>
      </c>
      <c r="AJ1007" s="115" t="e">
        <f t="shared" si="1795"/>
        <v>#DIV/0!</v>
      </c>
      <c r="AK1007" s="116" t="e">
        <f t="shared" si="1795"/>
        <v>#DIV/0!</v>
      </c>
    </row>
    <row r="1008" spans="1:38" ht="15.6" hidden="1" thickBot="1">
      <c r="A1008" s="91"/>
      <c r="B1008" s="100"/>
      <c r="C1008" s="86"/>
      <c r="D1008" s="87">
        <v>2019</v>
      </c>
      <c r="E1008" s="88"/>
      <c r="F1008" s="121"/>
      <c r="G1008" s="121"/>
      <c r="H1008" s="121"/>
      <c r="I1008" s="121"/>
      <c r="J1008" s="121"/>
      <c r="K1008" s="121"/>
      <c r="L1008" s="121"/>
      <c r="M1008" s="122"/>
      <c r="N1008" s="122"/>
      <c r="O1008" s="122"/>
      <c r="P1008" s="123"/>
      <c r="Q1008" s="89">
        <f t="shared" ref="Q1008:Q1010" si="1796">SUM(E1008:P1008)</f>
        <v>0</v>
      </c>
      <c r="R1008" s="90">
        <f t="shared" ref="R1008" si="1797">SUM(E1008:M1008)</f>
        <v>0</v>
      </c>
      <c r="T1008" s="91"/>
      <c r="U1008" s="100"/>
      <c r="V1008" s="86">
        <f t="shared" ref="V1008:V1009" si="1798">C1008</f>
        <v>0</v>
      </c>
      <c r="W1008" s="87">
        <v>2019</v>
      </c>
      <c r="X1008" s="88"/>
      <c r="Y1008" s="121"/>
      <c r="Z1008" s="121"/>
      <c r="AA1008" s="121"/>
      <c r="AB1008" s="121"/>
      <c r="AC1008" s="121"/>
      <c r="AD1008" s="121"/>
      <c r="AE1008" s="121"/>
      <c r="AF1008" s="122"/>
      <c r="AG1008" s="122"/>
      <c r="AH1008" s="122"/>
      <c r="AI1008" s="123"/>
      <c r="AJ1008" s="89">
        <f t="shared" ref="AJ1008:AJ1010" si="1799">SUM(X1008:AI1008)</f>
        <v>0</v>
      </c>
      <c r="AK1008" s="90">
        <f t="shared" ref="AK1008:AK1010" si="1800">SUM(X1008:AF1008)</f>
        <v>0</v>
      </c>
    </row>
    <row r="1009" spans="1:38" ht="15.6" hidden="1" thickBot="1">
      <c r="A1009" s="91"/>
      <c r="B1009" s="100"/>
      <c r="C1009" s="92"/>
      <c r="D1009" s="93" t="s">
        <v>92</v>
      </c>
      <c r="E1009" s="94"/>
      <c r="F1009" s="97"/>
      <c r="G1009" s="97"/>
      <c r="H1009" s="97"/>
      <c r="I1009" s="97"/>
      <c r="J1009" s="97"/>
      <c r="K1009" s="97"/>
      <c r="L1009" s="97"/>
      <c r="M1009" s="98"/>
      <c r="N1009" s="98"/>
      <c r="O1009" s="98"/>
      <c r="P1009" s="99"/>
      <c r="Q1009" s="95">
        <f t="shared" si="1796"/>
        <v>0</v>
      </c>
      <c r="R1009" s="96">
        <f t="shared" si="1754"/>
        <v>0</v>
      </c>
      <c r="T1009" s="91"/>
      <c r="U1009" s="100"/>
      <c r="V1009" s="92">
        <f t="shared" si="1798"/>
        <v>0</v>
      </c>
      <c r="W1009" s="93" t="s">
        <v>92</v>
      </c>
      <c r="X1009" s="94"/>
      <c r="Y1009" s="97"/>
      <c r="Z1009" s="97"/>
      <c r="AA1009" s="97"/>
      <c r="AB1009" s="97"/>
      <c r="AC1009" s="97"/>
      <c r="AD1009" s="97"/>
      <c r="AE1009" s="97"/>
      <c r="AF1009" s="98"/>
      <c r="AG1009" s="98"/>
      <c r="AH1009" s="98"/>
      <c r="AI1009" s="99"/>
      <c r="AJ1009" s="95">
        <f t="shared" si="1799"/>
        <v>0</v>
      </c>
      <c r="AK1009" s="96">
        <f t="shared" si="1800"/>
        <v>0</v>
      </c>
    </row>
    <row r="1010" spans="1:38" ht="15.6" hidden="1" thickBot="1">
      <c r="A1010" s="91"/>
      <c r="B1010" s="100"/>
      <c r="C1010" s="92"/>
      <c r="D1010" s="101">
        <v>2020</v>
      </c>
      <c r="E1010" s="102"/>
      <c r="F1010" s="124"/>
      <c r="G1010" s="124"/>
      <c r="H1010" s="124"/>
      <c r="I1010" s="124"/>
      <c r="J1010" s="124"/>
      <c r="K1010" s="124"/>
      <c r="L1010" s="124"/>
      <c r="M1010" s="125"/>
      <c r="N1010" s="125"/>
      <c r="O1010" s="125"/>
      <c r="P1010" s="126"/>
      <c r="Q1010" s="103">
        <f t="shared" si="1796"/>
        <v>0</v>
      </c>
      <c r="R1010" s="104">
        <f t="shared" si="1754"/>
        <v>0</v>
      </c>
      <c r="S1010" s="105"/>
      <c r="T1010" s="91"/>
      <c r="U1010" s="100"/>
      <c r="V1010" s="92"/>
      <c r="W1010" s="101">
        <v>2020</v>
      </c>
      <c r="X1010" s="102"/>
      <c r="Y1010" s="124"/>
      <c r="Z1010" s="124"/>
      <c r="AA1010" s="124"/>
      <c r="AB1010" s="124"/>
      <c r="AC1010" s="124"/>
      <c r="AD1010" s="124"/>
      <c r="AE1010" s="124"/>
      <c r="AF1010" s="125"/>
      <c r="AG1010" s="125"/>
      <c r="AH1010" s="125"/>
      <c r="AI1010" s="126"/>
      <c r="AJ1010" s="103">
        <f t="shared" si="1799"/>
        <v>0</v>
      </c>
      <c r="AK1010" s="104">
        <f t="shared" si="1800"/>
        <v>0</v>
      </c>
      <c r="AL1010" s="105"/>
    </row>
    <row r="1011" spans="1:38" ht="15.6" hidden="1" thickBot="1">
      <c r="A1011" s="91"/>
      <c r="B1011" s="100"/>
      <c r="C1011" s="92"/>
      <c r="D1011" s="101" t="s">
        <v>102</v>
      </c>
      <c r="E1011" s="106" t="e">
        <f t="shared" ref="E1011:R1011" si="1801">E1010/E1009</f>
        <v>#DIV/0!</v>
      </c>
      <c r="F1011" s="106" t="e">
        <f t="shared" si="1801"/>
        <v>#DIV/0!</v>
      </c>
      <c r="G1011" s="106" t="e">
        <f t="shared" si="1801"/>
        <v>#DIV/0!</v>
      </c>
      <c r="H1011" s="106" t="e">
        <f t="shared" si="1801"/>
        <v>#DIV/0!</v>
      </c>
      <c r="I1011" s="106" t="e">
        <f t="shared" si="1801"/>
        <v>#DIV/0!</v>
      </c>
      <c r="J1011" s="106" t="e">
        <f t="shared" si="1801"/>
        <v>#DIV/0!</v>
      </c>
      <c r="K1011" s="106" t="e">
        <f t="shared" si="1801"/>
        <v>#DIV/0!</v>
      </c>
      <c r="L1011" s="106" t="e">
        <f t="shared" si="1801"/>
        <v>#DIV/0!</v>
      </c>
      <c r="M1011" s="107" t="e">
        <f t="shared" si="1801"/>
        <v>#DIV/0!</v>
      </c>
      <c r="N1011" s="107" t="e">
        <f t="shared" si="1801"/>
        <v>#DIV/0!</v>
      </c>
      <c r="O1011" s="107" t="e">
        <f t="shared" si="1801"/>
        <v>#DIV/0!</v>
      </c>
      <c r="P1011" s="108" t="e">
        <f t="shared" si="1801"/>
        <v>#DIV/0!</v>
      </c>
      <c r="Q1011" s="109" t="e">
        <f t="shared" si="1801"/>
        <v>#DIV/0!</v>
      </c>
      <c r="R1011" s="110" t="e">
        <f t="shared" si="1801"/>
        <v>#DIV/0!</v>
      </c>
      <c r="S1011" s="105"/>
      <c r="T1011" s="91"/>
      <c r="U1011" s="100"/>
      <c r="V1011" s="92"/>
      <c r="W1011" s="101" t="s">
        <v>102</v>
      </c>
      <c r="X1011" s="106" t="e">
        <f t="shared" ref="X1011:AK1011" si="1802">X1010/X1009</f>
        <v>#DIV/0!</v>
      </c>
      <c r="Y1011" s="106" t="e">
        <f t="shared" si="1802"/>
        <v>#DIV/0!</v>
      </c>
      <c r="Z1011" s="106" t="e">
        <f t="shared" si="1802"/>
        <v>#DIV/0!</v>
      </c>
      <c r="AA1011" s="106" t="e">
        <f t="shared" si="1802"/>
        <v>#DIV/0!</v>
      </c>
      <c r="AB1011" s="106" t="e">
        <f t="shared" si="1802"/>
        <v>#DIV/0!</v>
      </c>
      <c r="AC1011" s="106" t="e">
        <f t="shared" si="1802"/>
        <v>#DIV/0!</v>
      </c>
      <c r="AD1011" s="106" t="e">
        <f t="shared" si="1802"/>
        <v>#DIV/0!</v>
      </c>
      <c r="AE1011" s="106" t="e">
        <f t="shared" si="1802"/>
        <v>#DIV/0!</v>
      </c>
      <c r="AF1011" s="107" t="e">
        <f t="shared" si="1802"/>
        <v>#DIV/0!</v>
      </c>
      <c r="AG1011" s="107" t="e">
        <f t="shared" si="1802"/>
        <v>#DIV/0!</v>
      </c>
      <c r="AH1011" s="107" t="e">
        <f t="shared" si="1802"/>
        <v>#DIV/0!</v>
      </c>
      <c r="AI1011" s="108" t="e">
        <f t="shared" si="1802"/>
        <v>#DIV/0!</v>
      </c>
      <c r="AJ1011" s="109" t="e">
        <f t="shared" si="1802"/>
        <v>#DIV/0!</v>
      </c>
      <c r="AK1011" s="110" t="e">
        <f t="shared" si="1802"/>
        <v>#DIV/0!</v>
      </c>
      <c r="AL1011" s="105"/>
    </row>
    <row r="1012" spans="1:38" ht="15.6" hidden="1" thickBot="1">
      <c r="A1012" s="91"/>
      <c r="B1012" s="100"/>
      <c r="C1012" s="111"/>
      <c r="D1012" s="112" t="s">
        <v>103</v>
      </c>
      <c r="E1012" s="113" t="e">
        <f t="shared" ref="E1012:R1012" si="1803">E1010/E1008</f>
        <v>#DIV/0!</v>
      </c>
      <c r="F1012" s="113" t="e">
        <f t="shared" si="1803"/>
        <v>#DIV/0!</v>
      </c>
      <c r="G1012" s="113" t="e">
        <f t="shared" si="1803"/>
        <v>#DIV/0!</v>
      </c>
      <c r="H1012" s="113" t="e">
        <f t="shared" si="1803"/>
        <v>#DIV/0!</v>
      </c>
      <c r="I1012" s="113" t="e">
        <f t="shared" si="1803"/>
        <v>#DIV/0!</v>
      </c>
      <c r="J1012" s="113" t="e">
        <f t="shared" si="1803"/>
        <v>#DIV/0!</v>
      </c>
      <c r="K1012" s="113" t="e">
        <f t="shared" si="1803"/>
        <v>#DIV/0!</v>
      </c>
      <c r="L1012" s="113" t="e">
        <f t="shared" si="1803"/>
        <v>#DIV/0!</v>
      </c>
      <c r="M1012" s="113" t="e">
        <f t="shared" si="1803"/>
        <v>#DIV/0!</v>
      </c>
      <c r="N1012" s="113" t="e">
        <f t="shared" si="1803"/>
        <v>#DIV/0!</v>
      </c>
      <c r="O1012" s="113" t="e">
        <f t="shared" si="1803"/>
        <v>#DIV/0!</v>
      </c>
      <c r="P1012" s="114" t="e">
        <f t="shared" si="1803"/>
        <v>#DIV/0!</v>
      </c>
      <c r="Q1012" s="115" t="e">
        <f t="shared" si="1803"/>
        <v>#DIV/0!</v>
      </c>
      <c r="R1012" s="116" t="e">
        <f t="shared" si="1803"/>
        <v>#DIV/0!</v>
      </c>
      <c r="T1012" s="91"/>
      <c r="U1012" s="100"/>
      <c r="V1012" s="111"/>
      <c r="W1012" s="112" t="s">
        <v>103</v>
      </c>
      <c r="X1012" s="113" t="e">
        <f t="shared" ref="X1012:AK1012" si="1804">X1010/X1008</f>
        <v>#DIV/0!</v>
      </c>
      <c r="Y1012" s="113" t="e">
        <f t="shared" si="1804"/>
        <v>#DIV/0!</v>
      </c>
      <c r="Z1012" s="113" t="e">
        <f t="shared" si="1804"/>
        <v>#DIV/0!</v>
      </c>
      <c r="AA1012" s="113" t="e">
        <f t="shared" si="1804"/>
        <v>#DIV/0!</v>
      </c>
      <c r="AB1012" s="113" t="e">
        <f t="shared" si="1804"/>
        <v>#DIV/0!</v>
      </c>
      <c r="AC1012" s="113" t="e">
        <f t="shared" si="1804"/>
        <v>#DIV/0!</v>
      </c>
      <c r="AD1012" s="113" t="e">
        <f t="shared" si="1804"/>
        <v>#DIV/0!</v>
      </c>
      <c r="AE1012" s="113" t="e">
        <f t="shared" si="1804"/>
        <v>#DIV/0!</v>
      </c>
      <c r="AF1012" s="113" t="e">
        <f t="shared" si="1804"/>
        <v>#DIV/0!</v>
      </c>
      <c r="AG1012" s="113" t="e">
        <f t="shared" si="1804"/>
        <v>#DIV/0!</v>
      </c>
      <c r="AH1012" s="113" t="e">
        <f t="shared" si="1804"/>
        <v>#DIV/0!</v>
      </c>
      <c r="AI1012" s="114" t="e">
        <f t="shared" si="1804"/>
        <v>#DIV/0!</v>
      </c>
      <c r="AJ1012" s="115" t="e">
        <f t="shared" si="1804"/>
        <v>#DIV/0!</v>
      </c>
      <c r="AK1012" s="116" t="e">
        <f t="shared" si="1804"/>
        <v>#DIV/0!</v>
      </c>
    </row>
    <row r="1013" spans="1:38" ht="15.6" hidden="1" thickBot="1">
      <c r="A1013" s="91"/>
      <c r="B1013" s="100"/>
      <c r="C1013" s="86"/>
      <c r="D1013" s="87">
        <v>2019</v>
      </c>
      <c r="E1013" s="88"/>
      <c r="F1013" s="121"/>
      <c r="G1013" s="121"/>
      <c r="H1013" s="121"/>
      <c r="I1013" s="121"/>
      <c r="J1013" s="121"/>
      <c r="K1013" s="121"/>
      <c r="L1013" s="121"/>
      <c r="M1013" s="122"/>
      <c r="N1013" s="122"/>
      <c r="O1013" s="122"/>
      <c r="P1013" s="123"/>
      <c r="Q1013" s="89">
        <f t="shared" ref="Q1013:Q1015" si="1805">SUM(E1013:P1013)</f>
        <v>0</v>
      </c>
      <c r="R1013" s="90">
        <f t="shared" ref="R1013" si="1806">SUM(E1013:M1013)</f>
        <v>0</v>
      </c>
      <c r="T1013" s="91"/>
      <c r="U1013" s="100"/>
      <c r="V1013" s="86">
        <f t="shared" ref="V1013:V1014" si="1807">C1013</f>
        <v>0</v>
      </c>
      <c r="W1013" s="87">
        <v>2019</v>
      </c>
      <c r="X1013" s="88"/>
      <c r="Y1013" s="121"/>
      <c r="Z1013" s="121"/>
      <c r="AA1013" s="121"/>
      <c r="AB1013" s="121"/>
      <c r="AC1013" s="121"/>
      <c r="AD1013" s="121"/>
      <c r="AE1013" s="121"/>
      <c r="AF1013" s="122"/>
      <c r="AG1013" s="122"/>
      <c r="AH1013" s="122"/>
      <c r="AI1013" s="123"/>
      <c r="AJ1013" s="89">
        <f t="shared" ref="AJ1013:AJ1015" si="1808">SUM(X1013:AI1013)</f>
        <v>0</v>
      </c>
      <c r="AK1013" s="90">
        <f t="shared" ref="AK1013:AK1015" si="1809">SUM(X1013:AF1013)</f>
        <v>0</v>
      </c>
    </row>
    <row r="1014" spans="1:38" ht="15.6" hidden="1" thickBot="1">
      <c r="A1014" s="91"/>
      <c r="B1014" s="100"/>
      <c r="C1014" s="92"/>
      <c r="D1014" s="93" t="s">
        <v>92</v>
      </c>
      <c r="E1014" s="94"/>
      <c r="F1014" s="97"/>
      <c r="G1014" s="97"/>
      <c r="H1014" s="97"/>
      <c r="I1014" s="97"/>
      <c r="J1014" s="97"/>
      <c r="K1014" s="97"/>
      <c r="L1014" s="97"/>
      <c r="M1014" s="98"/>
      <c r="N1014" s="98"/>
      <c r="O1014" s="98"/>
      <c r="P1014" s="99"/>
      <c r="Q1014" s="95">
        <f t="shared" si="1805"/>
        <v>0</v>
      </c>
      <c r="R1014" s="96">
        <f t="shared" si="1754"/>
        <v>0</v>
      </c>
      <c r="T1014" s="91"/>
      <c r="U1014" s="100"/>
      <c r="V1014" s="92">
        <f t="shared" si="1807"/>
        <v>0</v>
      </c>
      <c r="W1014" s="93" t="s">
        <v>92</v>
      </c>
      <c r="X1014" s="94"/>
      <c r="Y1014" s="97"/>
      <c r="Z1014" s="97"/>
      <c r="AA1014" s="97"/>
      <c r="AB1014" s="97"/>
      <c r="AC1014" s="97"/>
      <c r="AD1014" s="97"/>
      <c r="AE1014" s="97"/>
      <c r="AF1014" s="98"/>
      <c r="AG1014" s="98"/>
      <c r="AH1014" s="98"/>
      <c r="AI1014" s="99"/>
      <c r="AJ1014" s="95">
        <f t="shared" si="1808"/>
        <v>0</v>
      </c>
      <c r="AK1014" s="96">
        <f t="shared" si="1809"/>
        <v>0</v>
      </c>
    </row>
    <row r="1015" spans="1:38" ht="15.6" hidden="1" thickBot="1">
      <c r="A1015" s="91"/>
      <c r="B1015" s="100"/>
      <c r="C1015" s="92"/>
      <c r="D1015" s="101">
        <v>2020</v>
      </c>
      <c r="E1015" s="102"/>
      <c r="F1015" s="124"/>
      <c r="G1015" s="124"/>
      <c r="H1015" s="124"/>
      <c r="I1015" s="124"/>
      <c r="J1015" s="124"/>
      <c r="K1015" s="124"/>
      <c r="L1015" s="124"/>
      <c r="M1015" s="125"/>
      <c r="N1015" s="125"/>
      <c r="O1015" s="125"/>
      <c r="P1015" s="126"/>
      <c r="Q1015" s="103">
        <f t="shared" si="1805"/>
        <v>0</v>
      </c>
      <c r="R1015" s="104">
        <f t="shared" si="1754"/>
        <v>0</v>
      </c>
      <c r="S1015" s="105"/>
      <c r="T1015" s="91"/>
      <c r="U1015" s="100"/>
      <c r="V1015" s="92"/>
      <c r="W1015" s="101">
        <v>2020</v>
      </c>
      <c r="X1015" s="102"/>
      <c r="Y1015" s="124"/>
      <c r="Z1015" s="124"/>
      <c r="AA1015" s="124"/>
      <c r="AB1015" s="124"/>
      <c r="AC1015" s="124"/>
      <c r="AD1015" s="124"/>
      <c r="AE1015" s="124"/>
      <c r="AF1015" s="125"/>
      <c r="AG1015" s="125"/>
      <c r="AH1015" s="125"/>
      <c r="AI1015" s="126"/>
      <c r="AJ1015" s="103">
        <f t="shared" si="1808"/>
        <v>0</v>
      </c>
      <c r="AK1015" s="104">
        <f t="shared" si="1809"/>
        <v>0</v>
      </c>
      <c r="AL1015" s="105"/>
    </row>
    <row r="1016" spans="1:38" ht="15.6" hidden="1" thickBot="1">
      <c r="A1016" s="91"/>
      <c r="B1016" s="100"/>
      <c r="C1016" s="92"/>
      <c r="D1016" s="101" t="s">
        <v>102</v>
      </c>
      <c r="E1016" s="106" t="e">
        <f t="shared" ref="E1016:R1016" si="1810">E1015/E1014</f>
        <v>#DIV/0!</v>
      </c>
      <c r="F1016" s="106" t="e">
        <f t="shared" si="1810"/>
        <v>#DIV/0!</v>
      </c>
      <c r="G1016" s="106" t="e">
        <f t="shared" si="1810"/>
        <v>#DIV/0!</v>
      </c>
      <c r="H1016" s="106" t="e">
        <f t="shared" si="1810"/>
        <v>#DIV/0!</v>
      </c>
      <c r="I1016" s="106" t="e">
        <f t="shared" si="1810"/>
        <v>#DIV/0!</v>
      </c>
      <c r="J1016" s="106" t="e">
        <f t="shared" si="1810"/>
        <v>#DIV/0!</v>
      </c>
      <c r="K1016" s="106" t="e">
        <f t="shared" si="1810"/>
        <v>#DIV/0!</v>
      </c>
      <c r="L1016" s="106" t="e">
        <f t="shared" si="1810"/>
        <v>#DIV/0!</v>
      </c>
      <c r="M1016" s="107" t="e">
        <f t="shared" si="1810"/>
        <v>#DIV/0!</v>
      </c>
      <c r="N1016" s="107" t="e">
        <f t="shared" si="1810"/>
        <v>#DIV/0!</v>
      </c>
      <c r="O1016" s="107" t="e">
        <f t="shared" si="1810"/>
        <v>#DIV/0!</v>
      </c>
      <c r="P1016" s="108" t="e">
        <f t="shared" si="1810"/>
        <v>#DIV/0!</v>
      </c>
      <c r="Q1016" s="109" t="e">
        <f t="shared" si="1810"/>
        <v>#DIV/0!</v>
      </c>
      <c r="R1016" s="110" t="e">
        <f t="shared" si="1810"/>
        <v>#DIV/0!</v>
      </c>
      <c r="S1016" s="105"/>
      <c r="T1016" s="91"/>
      <c r="U1016" s="100"/>
      <c r="V1016" s="92"/>
      <c r="W1016" s="101" t="s">
        <v>102</v>
      </c>
      <c r="X1016" s="106" t="e">
        <f t="shared" ref="X1016:AK1016" si="1811">X1015/X1014</f>
        <v>#DIV/0!</v>
      </c>
      <c r="Y1016" s="106" t="e">
        <f t="shared" si="1811"/>
        <v>#DIV/0!</v>
      </c>
      <c r="Z1016" s="106" t="e">
        <f t="shared" si="1811"/>
        <v>#DIV/0!</v>
      </c>
      <c r="AA1016" s="106" t="e">
        <f t="shared" si="1811"/>
        <v>#DIV/0!</v>
      </c>
      <c r="AB1016" s="106" t="e">
        <f t="shared" si="1811"/>
        <v>#DIV/0!</v>
      </c>
      <c r="AC1016" s="106" t="e">
        <f t="shared" si="1811"/>
        <v>#DIV/0!</v>
      </c>
      <c r="AD1016" s="106" t="e">
        <f t="shared" si="1811"/>
        <v>#DIV/0!</v>
      </c>
      <c r="AE1016" s="106" t="e">
        <f t="shared" si="1811"/>
        <v>#DIV/0!</v>
      </c>
      <c r="AF1016" s="107" t="e">
        <f t="shared" si="1811"/>
        <v>#DIV/0!</v>
      </c>
      <c r="AG1016" s="107" t="e">
        <f t="shared" si="1811"/>
        <v>#DIV/0!</v>
      </c>
      <c r="AH1016" s="107" t="e">
        <f t="shared" si="1811"/>
        <v>#DIV/0!</v>
      </c>
      <c r="AI1016" s="108" t="e">
        <f t="shared" si="1811"/>
        <v>#DIV/0!</v>
      </c>
      <c r="AJ1016" s="109" t="e">
        <f t="shared" si="1811"/>
        <v>#DIV/0!</v>
      </c>
      <c r="AK1016" s="110" t="e">
        <f t="shared" si="1811"/>
        <v>#DIV/0!</v>
      </c>
      <c r="AL1016" s="105"/>
    </row>
    <row r="1017" spans="1:38" ht="15.6" hidden="1" thickBot="1">
      <c r="A1017" s="91"/>
      <c r="B1017" s="100"/>
      <c r="C1017" s="111"/>
      <c r="D1017" s="112" t="s">
        <v>103</v>
      </c>
      <c r="E1017" s="113" t="e">
        <f t="shared" ref="E1017:R1017" si="1812">E1015/E1013</f>
        <v>#DIV/0!</v>
      </c>
      <c r="F1017" s="113" t="e">
        <f t="shared" si="1812"/>
        <v>#DIV/0!</v>
      </c>
      <c r="G1017" s="113" t="e">
        <f t="shared" si="1812"/>
        <v>#DIV/0!</v>
      </c>
      <c r="H1017" s="113" t="e">
        <f t="shared" si="1812"/>
        <v>#DIV/0!</v>
      </c>
      <c r="I1017" s="113" t="e">
        <f t="shared" si="1812"/>
        <v>#DIV/0!</v>
      </c>
      <c r="J1017" s="113" t="e">
        <f t="shared" si="1812"/>
        <v>#DIV/0!</v>
      </c>
      <c r="K1017" s="113" t="e">
        <f t="shared" si="1812"/>
        <v>#DIV/0!</v>
      </c>
      <c r="L1017" s="113" t="e">
        <f t="shared" si="1812"/>
        <v>#DIV/0!</v>
      </c>
      <c r="M1017" s="113" t="e">
        <f t="shared" si="1812"/>
        <v>#DIV/0!</v>
      </c>
      <c r="N1017" s="113" t="e">
        <f t="shared" si="1812"/>
        <v>#DIV/0!</v>
      </c>
      <c r="O1017" s="113" t="e">
        <f t="shared" si="1812"/>
        <v>#DIV/0!</v>
      </c>
      <c r="P1017" s="114" t="e">
        <f t="shared" si="1812"/>
        <v>#DIV/0!</v>
      </c>
      <c r="Q1017" s="115" t="e">
        <f t="shared" si="1812"/>
        <v>#DIV/0!</v>
      </c>
      <c r="R1017" s="116" t="e">
        <f t="shared" si="1812"/>
        <v>#DIV/0!</v>
      </c>
      <c r="T1017" s="91"/>
      <c r="U1017" s="100"/>
      <c r="V1017" s="111"/>
      <c r="W1017" s="112" t="s">
        <v>103</v>
      </c>
      <c r="X1017" s="113" t="e">
        <f t="shared" ref="X1017:AK1017" si="1813">X1015/X1013</f>
        <v>#DIV/0!</v>
      </c>
      <c r="Y1017" s="113" t="e">
        <f t="shared" si="1813"/>
        <v>#DIV/0!</v>
      </c>
      <c r="Z1017" s="113" t="e">
        <f t="shared" si="1813"/>
        <v>#DIV/0!</v>
      </c>
      <c r="AA1017" s="113" t="e">
        <f t="shared" si="1813"/>
        <v>#DIV/0!</v>
      </c>
      <c r="AB1017" s="113" t="e">
        <f t="shared" si="1813"/>
        <v>#DIV/0!</v>
      </c>
      <c r="AC1017" s="113" t="e">
        <f t="shared" si="1813"/>
        <v>#DIV/0!</v>
      </c>
      <c r="AD1017" s="113" t="e">
        <f t="shared" si="1813"/>
        <v>#DIV/0!</v>
      </c>
      <c r="AE1017" s="113" t="e">
        <f t="shared" si="1813"/>
        <v>#DIV/0!</v>
      </c>
      <c r="AF1017" s="113" t="e">
        <f t="shared" si="1813"/>
        <v>#DIV/0!</v>
      </c>
      <c r="AG1017" s="113" t="e">
        <f t="shared" si="1813"/>
        <v>#DIV/0!</v>
      </c>
      <c r="AH1017" s="113" t="e">
        <f t="shared" si="1813"/>
        <v>#DIV/0!</v>
      </c>
      <c r="AI1017" s="114" t="e">
        <f t="shared" si="1813"/>
        <v>#DIV/0!</v>
      </c>
      <c r="AJ1017" s="115" t="e">
        <f t="shared" si="1813"/>
        <v>#DIV/0!</v>
      </c>
      <c r="AK1017" s="116" t="e">
        <f t="shared" si="1813"/>
        <v>#DIV/0!</v>
      </c>
    </row>
    <row r="1018" spans="1:38" ht="15.6" hidden="1" thickBot="1">
      <c r="A1018" s="91"/>
      <c r="B1018" s="100"/>
      <c r="C1018" s="86"/>
      <c r="D1018" s="87">
        <v>2019</v>
      </c>
      <c r="E1018" s="88"/>
      <c r="F1018" s="121"/>
      <c r="G1018" s="121"/>
      <c r="H1018" s="121"/>
      <c r="I1018" s="121"/>
      <c r="J1018" s="121"/>
      <c r="K1018" s="121"/>
      <c r="L1018" s="121"/>
      <c r="M1018" s="122"/>
      <c r="N1018" s="122"/>
      <c r="O1018" s="122"/>
      <c r="P1018" s="123"/>
      <c r="Q1018" s="89">
        <f t="shared" ref="Q1018:Q1020" si="1814">SUM(E1018:P1018)</f>
        <v>0</v>
      </c>
      <c r="R1018" s="90">
        <f t="shared" ref="R1018" si="1815">SUM(E1018:M1018)</f>
        <v>0</v>
      </c>
      <c r="T1018" s="91"/>
      <c r="U1018" s="100"/>
      <c r="V1018" s="86">
        <f t="shared" ref="V1018:V1019" si="1816">C1018</f>
        <v>0</v>
      </c>
      <c r="W1018" s="87">
        <v>2019</v>
      </c>
      <c r="X1018" s="88"/>
      <c r="Y1018" s="121"/>
      <c r="Z1018" s="121"/>
      <c r="AA1018" s="121"/>
      <c r="AB1018" s="121"/>
      <c r="AC1018" s="121"/>
      <c r="AD1018" s="121"/>
      <c r="AE1018" s="121"/>
      <c r="AF1018" s="122"/>
      <c r="AG1018" s="122"/>
      <c r="AH1018" s="122"/>
      <c r="AI1018" s="123"/>
      <c r="AJ1018" s="89">
        <f t="shared" ref="AJ1018:AJ1020" si="1817">SUM(X1018:AI1018)</f>
        <v>0</v>
      </c>
      <c r="AK1018" s="90">
        <f t="shared" ref="AK1018:AK1020" si="1818">SUM(X1018:AF1018)</f>
        <v>0</v>
      </c>
    </row>
    <row r="1019" spans="1:38" ht="15.6" hidden="1" thickBot="1">
      <c r="A1019" s="91"/>
      <c r="B1019" s="100"/>
      <c r="C1019" s="92"/>
      <c r="D1019" s="93" t="s">
        <v>92</v>
      </c>
      <c r="E1019" s="94"/>
      <c r="F1019" s="97"/>
      <c r="G1019" s="97"/>
      <c r="H1019" s="97"/>
      <c r="I1019" s="97"/>
      <c r="J1019" s="97"/>
      <c r="K1019" s="97"/>
      <c r="L1019" s="97"/>
      <c r="M1019" s="98"/>
      <c r="N1019" s="98"/>
      <c r="O1019" s="98"/>
      <c r="P1019" s="99"/>
      <c r="Q1019" s="95">
        <f t="shared" si="1814"/>
        <v>0</v>
      </c>
      <c r="R1019" s="96">
        <f t="shared" si="1754"/>
        <v>0</v>
      </c>
      <c r="T1019" s="91"/>
      <c r="U1019" s="100"/>
      <c r="V1019" s="92">
        <f t="shared" si="1816"/>
        <v>0</v>
      </c>
      <c r="W1019" s="93" t="s">
        <v>92</v>
      </c>
      <c r="X1019" s="94"/>
      <c r="Y1019" s="97"/>
      <c r="Z1019" s="97"/>
      <c r="AA1019" s="97"/>
      <c r="AB1019" s="97"/>
      <c r="AC1019" s="97"/>
      <c r="AD1019" s="97"/>
      <c r="AE1019" s="97"/>
      <c r="AF1019" s="98"/>
      <c r="AG1019" s="98"/>
      <c r="AH1019" s="98"/>
      <c r="AI1019" s="99"/>
      <c r="AJ1019" s="95">
        <f t="shared" si="1817"/>
        <v>0</v>
      </c>
      <c r="AK1019" s="96">
        <f t="shared" si="1818"/>
        <v>0</v>
      </c>
    </row>
    <row r="1020" spans="1:38" ht="15.6" hidden="1" thickBot="1">
      <c r="A1020" s="91"/>
      <c r="B1020" s="100"/>
      <c r="C1020" s="92"/>
      <c r="D1020" s="101">
        <v>2020</v>
      </c>
      <c r="E1020" s="102"/>
      <c r="F1020" s="124"/>
      <c r="G1020" s="124"/>
      <c r="H1020" s="124"/>
      <c r="I1020" s="124"/>
      <c r="J1020" s="124"/>
      <c r="K1020" s="124"/>
      <c r="L1020" s="124"/>
      <c r="M1020" s="125"/>
      <c r="N1020" s="125"/>
      <c r="O1020" s="125"/>
      <c r="P1020" s="126"/>
      <c r="Q1020" s="103">
        <f t="shared" si="1814"/>
        <v>0</v>
      </c>
      <c r="R1020" s="104">
        <f t="shared" si="1754"/>
        <v>0</v>
      </c>
      <c r="S1020" s="105"/>
      <c r="T1020" s="91"/>
      <c r="U1020" s="100"/>
      <c r="V1020" s="92"/>
      <c r="W1020" s="101">
        <v>2020</v>
      </c>
      <c r="X1020" s="102"/>
      <c r="Y1020" s="124"/>
      <c r="Z1020" s="124"/>
      <c r="AA1020" s="124"/>
      <c r="AB1020" s="124"/>
      <c r="AC1020" s="124"/>
      <c r="AD1020" s="124"/>
      <c r="AE1020" s="124"/>
      <c r="AF1020" s="125"/>
      <c r="AG1020" s="125"/>
      <c r="AH1020" s="125"/>
      <c r="AI1020" s="126"/>
      <c r="AJ1020" s="103">
        <f t="shared" si="1817"/>
        <v>0</v>
      </c>
      <c r="AK1020" s="104">
        <f t="shared" si="1818"/>
        <v>0</v>
      </c>
      <c r="AL1020" s="105"/>
    </row>
    <row r="1021" spans="1:38" ht="15.6" hidden="1" thickBot="1">
      <c r="A1021" s="91"/>
      <c r="B1021" s="100"/>
      <c r="C1021" s="92"/>
      <c r="D1021" s="101" t="s">
        <v>102</v>
      </c>
      <c r="E1021" s="106" t="e">
        <f t="shared" ref="E1021:R1021" si="1819">E1020/E1019</f>
        <v>#DIV/0!</v>
      </c>
      <c r="F1021" s="106" t="e">
        <f t="shared" si="1819"/>
        <v>#DIV/0!</v>
      </c>
      <c r="G1021" s="106" t="e">
        <f t="shared" si="1819"/>
        <v>#DIV/0!</v>
      </c>
      <c r="H1021" s="106" t="e">
        <f t="shared" si="1819"/>
        <v>#DIV/0!</v>
      </c>
      <c r="I1021" s="106" t="e">
        <f t="shared" si="1819"/>
        <v>#DIV/0!</v>
      </c>
      <c r="J1021" s="106" t="e">
        <f t="shared" si="1819"/>
        <v>#DIV/0!</v>
      </c>
      <c r="K1021" s="106" t="e">
        <f t="shared" si="1819"/>
        <v>#DIV/0!</v>
      </c>
      <c r="L1021" s="106" t="e">
        <f t="shared" si="1819"/>
        <v>#DIV/0!</v>
      </c>
      <c r="M1021" s="107" t="e">
        <f t="shared" si="1819"/>
        <v>#DIV/0!</v>
      </c>
      <c r="N1021" s="107" t="e">
        <f t="shared" si="1819"/>
        <v>#DIV/0!</v>
      </c>
      <c r="O1021" s="107" t="e">
        <f t="shared" si="1819"/>
        <v>#DIV/0!</v>
      </c>
      <c r="P1021" s="108" t="e">
        <f t="shared" si="1819"/>
        <v>#DIV/0!</v>
      </c>
      <c r="Q1021" s="109" t="e">
        <f t="shared" si="1819"/>
        <v>#DIV/0!</v>
      </c>
      <c r="R1021" s="110" t="e">
        <f t="shared" si="1819"/>
        <v>#DIV/0!</v>
      </c>
      <c r="S1021" s="105"/>
      <c r="T1021" s="91"/>
      <c r="U1021" s="100"/>
      <c r="V1021" s="92"/>
      <c r="W1021" s="101" t="s">
        <v>102</v>
      </c>
      <c r="X1021" s="106" t="e">
        <f t="shared" ref="X1021:AK1021" si="1820">X1020/X1019</f>
        <v>#DIV/0!</v>
      </c>
      <c r="Y1021" s="106" t="e">
        <f t="shared" si="1820"/>
        <v>#DIV/0!</v>
      </c>
      <c r="Z1021" s="106" t="e">
        <f t="shared" si="1820"/>
        <v>#DIV/0!</v>
      </c>
      <c r="AA1021" s="106" t="e">
        <f t="shared" si="1820"/>
        <v>#DIV/0!</v>
      </c>
      <c r="AB1021" s="106" t="e">
        <f t="shared" si="1820"/>
        <v>#DIV/0!</v>
      </c>
      <c r="AC1021" s="106" t="e">
        <f t="shared" si="1820"/>
        <v>#DIV/0!</v>
      </c>
      <c r="AD1021" s="106" t="e">
        <f t="shared" si="1820"/>
        <v>#DIV/0!</v>
      </c>
      <c r="AE1021" s="106" t="e">
        <f t="shared" si="1820"/>
        <v>#DIV/0!</v>
      </c>
      <c r="AF1021" s="107" t="e">
        <f t="shared" si="1820"/>
        <v>#DIV/0!</v>
      </c>
      <c r="AG1021" s="107" t="e">
        <f t="shared" si="1820"/>
        <v>#DIV/0!</v>
      </c>
      <c r="AH1021" s="107" t="e">
        <f t="shared" si="1820"/>
        <v>#DIV/0!</v>
      </c>
      <c r="AI1021" s="108" t="e">
        <f t="shared" si="1820"/>
        <v>#DIV/0!</v>
      </c>
      <c r="AJ1021" s="109" t="e">
        <f t="shared" si="1820"/>
        <v>#DIV/0!</v>
      </c>
      <c r="AK1021" s="110" t="e">
        <f t="shared" si="1820"/>
        <v>#DIV/0!</v>
      </c>
      <c r="AL1021" s="105"/>
    </row>
    <row r="1022" spans="1:38" ht="15.6" hidden="1" thickBot="1">
      <c r="A1022" s="91"/>
      <c r="B1022" s="100"/>
      <c r="C1022" s="111"/>
      <c r="D1022" s="112" t="s">
        <v>103</v>
      </c>
      <c r="E1022" s="113" t="e">
        <f t="shared" ref="E1022:R1022" si="1821">E1020/E1018</f>
        <v>#DIV/0!</v>
      </c>
      <c r="F1022" s="113" t="e">
        <f t="shared" si="1821"/>
        <v>#DIV/0!</v>
      </c>
      <c r="G1022" s="113" t="e">
        <f t="shared" si="1821"/>
        <v>#DIV/0!</v>
      </c>
      <c r="H1022" s="113" t="e">
        <f t="shared" si="1821"/>
        <v>#DIV/0!</v>
      </c>
      <c r="I1022" s="113" t="e">
        <f t="shared" si="1821"/>
        <v>#DIV/0!</v>
      </c>
      <c r="J1022" s="113" t="e">
        <f t="shared" si="1821"/>
        <v>#DIV/0!</v>
      </c>
      <c r="K1022" s="113" t="e">
        <f t="shared" si="1821"/>
        <v>#DIV/0!</v>
      </c>
      <c r="L1022" s="113" t="e">
        <f t="shared" si="1821"/>
        <v>#DIV/0!</v>
      </c>
      <c r="M1022" s="113" t="e">
        <f t="shared" si="1821"/>
        <v>#DIV/0!</v>
      </c>
      <c r="N1022" s="113" t="e">
        <f t="shared" si="1821"/>
        <v>#DIV/0!</v>
      </c>
      <c r="O1022" s="113" t="e">
        <f t="shared" si="1821"/>
        <v>#DIV/0!</v>
      </c>
      <c r="P1022" s="114" t="e">
        <f t="shared" si="1821"/>
        <v>#DIV/0!</v>
      </c>
      <c r="Q1022" s="115" t="e">
        <f t="shared" si="1821"/>
        <v>#DIV/0!</v>
      </c>
      <c r="R1022" s="116" t="e">
        <f t="shared" si="1821"/>
        <v>#DIV/0!</v>
      </c>
      <c r="T1022" s="91"/>
      <c r="U1022" s="100"/>
      <c r="V1022" s="111"/>
      <c r="W1022" s="112" t="s">
        <v>103</v>
      </c>
      <c r="X1022" s="113" t="e">
        <f t="shared" ref="X1022:AK1022" si="1822">X1020/X1018</f>
        <v>#DIV/0!</v>
      </c>
      <c r="Y1022" s="113" t="e">
        <f t="shared" si="1822"/>
        <v>#DIV/0!</v>
      </c>
      <c r="Z1022" s="113" t="e">
        <f t="shared" si="1822"/>
        <v>#DIV/0!</v>
      </c>
      <c r="AA1022" s="113" t="e">
        <f t="shared" si="1822"/>
        <v>#DIV/0!</v>
      </c>
      <c r="AB1022" s="113" t="e">
        <f t="shared" si="1822"/>
        <v>#DIV/0!</v>
      </c>
      <c r="AC1022" s="113" t="e">
        <f t="shared" si="1822"/>
        <v>#DIV/0!</v>
      </c>
      <c r="AD1022" s="113" t="e">
        <f t="shared" si="1822"/>
        <v>#DIV/0!</v>
      </c>
      <c r="AE1022" s="113" t="e">
        <f t="shared" si="1822"/>
        <v>#DIV/0!</v>
      </c>
      <c r="AF1022" s="113" t="e">
        <f t="shared" si="1822"/>
        <v>#DIV/0!</v>
      </c>
      <c r="AG1022" s="113" t="e">
        <f t="shared" si="1822"/>
        <v>#DIV/0!</v>
      </c>
      <c r="AH1022" s="113" t="e">
        <f t="shared" si="1822"/>
        <v>#DIV/0!</v>
      </c>
      <c r="AI1022" s="114" t="e">
        <f t="shared" si="1822"/>
        <v>#DIV/0!</v>
      </c>
      <c r="AJ1022" s="115" t="e">
        <f t="shared" si="1822"/>
        <v>#DIV/0!</v>
      </c>
      <c r="AK1022" s="116" t="e">
        <f t="shared" si="1822"/>
        <v>#DIV/0!</v>
      </c>
    </row>
    <row r="1023" spans="1:38" ht="15.6" hidden="1" thickBot="1">
      <c r="A1023" s="91"/>
      <c r="B1023" s="100"/>
      <c r="C1023" s="86"/>
      <c r="D1023" s="87">
        <v>2019</v>
      </c>
      <c r="E1023" s="88"/>
      <c r="F1023" s="121"/>
      <c r="G1023" s="121"/>
      <c r="H1023" s="121"/>
      <c r="I1023" s="121"/>
      <c r="J1023" s="121"/>
      <c r="K1023" s="121"/>
      <c r="L1023" s="121"/>
      <c r="M1023" s="122"/>
      <c r="N1023" s="122"/>
      <c r="O1023" s="122"/>
      <c r="P1023" s="123"/>
      <c r="Q1023" s="89">
        <f t="shared" ref="Q1023:Q1025" si="1823">SUM(E1023:P1023)</f>
        <v>0</v>
      </c>
      <c r="R1023" s="90">
        <f t="shared" ref="R1023" si="1824">SUM(E1023:M1023)</f>
        <v>0</v>
      </c>
      <c r="T1023" s="91"/>
      <c r="U1023" s="100"/>
      <c r="V1023" s="86">
        <f t="shared" ref="V1023:V1024" si="1825">C1023</f>
        <v>0</v>
      </c>
      <c r="W1023" s="87">
        <v>2019</v>
      </c>
      <c r="X1023" s="88"/>
      <c r="Y1023" s="121"/>
      <c r="Z1023" s="121"/>
      <c r="AA1023" s="121"/>
      <c r="AB1023" s="121"/>
      <c r="AC1023" s="121"/>
      <c r="AD1023" s="121"/>
      <c r="AE1023" s="121"/>
      <c r="AF1023" s="122"/>
      <c r="AG1023" s="122"/>
      <c r="AH1023" s="122"/>
      <c r="AI1023" s="123"/>
      <c r="AJ1023" s="89">
        <f t="shared" ref="AJ1023:AJ1025" si="1826">SUM(X1023:AI1023)</f>
        <v>0</v>
      </c>
      <c r="AK1023" s="90">
        <f t="shared" ref="AK1023:AK1025" si="1827">SUM(X1023:AF1023)</f>
        <v>0</v>
      </c>
    </row>
    <row r="1024" spans="1:38" ht="15.6" hidden="1" thickBot="1">
      <c r="A1024" s="91"/>
      <c r="B1024" s="100"/>
      <c r="C1024" s="92"/>
      <c r="D1024" s="93" t="s">
        <v>92</v>
      </c>
      <c r="E1024" s="94"/>
      <c r="F1024" s="97"/>
      <c r="G1024" s="97"/>
      <c r="H1024" s="97"/>
      <c r="I1024" s="97"/>
      <c r="J1024" s="97"/>
      <c r="K1024" s="97"/>
      <c r="L1024" s="97"/>
      <c r="M1024" s="98"/>
      <c r="N1024" s="98"/>
      <c r="O1024" s="98"/>
      <c r="P1024" s="99"/>
      <c r="Q1024" s="95">
        <f t="shared" si="1823"/>
        <v>0</v>
      </c>
      <c r="R1024" s="96">
        <f t="shared" si="1754"/>
        <v>0</v>
      </c>
      <c r="T1024" s="91"/>
      <c r="U1024" s="100"/>
      <c r="V1024" s="92">
        <f t="shared" si="1825"/>
        <v>0</v>
      </c>
      <c r="W1024" s="93" t="s">
        <v>92</v>
      </c>
      <c r="X1024" s="94"/>
      <c r="Y1024" s="97"/>
      <c r="Z1024" s="97"/>
      <c r="AA1024" s="97"/>
      <c r="AB1024" s="97"/>
      <c r="AC1024" s="97"/>
      <c r="AD1024" s="97"/>
      <c r="AE1024" s="97"/>
      <c r="AF1024" s="98"/>
      <c r="AG1024" s="98"/>
      <c r="AH1024" s="98"/>
      <c r="AI1024" s="99"/>
      <c r="AJ1024" s="95">
        <f t="shared" si="1826"/>
        <v>0</v>
      </c>
      <c r="AK1024" s="96">
        <f t="shared" si="1827"/>
        <v>0</v>
      </c>
    </row>
    <row r="1025" spans="1:38" ht="15.6" hidden="1" thickBot="1">
      <c r="A1025" s="91"/>
      <c r="B1025" s="100"/>
      <c r="C1025" s="92"/>
      <c r="D1025" s="101">
        <v>2020</v>
      </c>
      <c r="E1025" s="102"/>
      <c r="F1025" s="124"/>
      <c r="G1025" s="124"/>
      <c r="H1025" s="124"/>
      <c r="I1025" s="124"/>
      <c r="J1025" s="124"/>
      <c r="K1025" s="124"/>
      <c r="L1025" s="124"/>
      <c r="M1025" s="125"/>
      <c r="N1025" s="125"/>
      <c r="O1025" s="125"/>
      <c r="P1025" s="126"/>
      <c r="Q1025" s="103">
        <f t="shared" si="1823"/>
        <v>0</v>
      </c>
      <c r="R1025" s="104">
        <f t="shared" si="1754"/>
        <v>0</v>
      </c>
      <c r="S1025" s="105"/>
      <c r="T1025" s="91"/>
      <c r="U1025" s="100"/>
      <c r="V1025" s="92"/>
      <c r="W1025" s="101">
        <v>2020</v>
      </c>
      <c r="X1025" s="102"/>
      <c r="Y1025" s="124"/>
      <c r="Z1025" s="124"/>
      <c r="AA1025" s="124"/>
      <c r="AB1025" s="124"/>
      <c r="AC1025" s="124"/>
      <c r="AD1025" s="124"/>
      <c r="AE1025" s="124"/>
      <c r="AF1025" s="125"/>
      <c r="AG1025" s="125"/>
      <c r="AH1025" s="125"/>
      <c r="AI1025" s="126"/>
      <c r="AJ1025" s="103">
        <f t="shared" si="1826"/>
        <v>0</v>
      </c>
      <c r="AK1025" s="104">
        <f t="shared" si="1827"/>
        <v>0</v>
      </c>
      <c r="AL1025" s="105"/>
    </row>
    <row r="1026" spans="1:38" ht="15.6" hidden="1" thickBot="1">
      <c r="A1026" s="91"/>
      <c r="B1026" s="100"/>
      <c r="C1026" s="92"/>
      <c r="D1026" s="101" t="s">
        <v>102</v>
      </c>
      <c r="E1026" s="106" t="e">
        <f t="shared" ref="E1026:R1026" si="1828">E1025/E1024</f>
        <v>#DIV/0!</v>
      </c>
      <c r="F1026" s="106" t="e">
        <f t="shared" si="1828"/>
        <v>#DIV/0!</v>
      </c>
      <c r="G1026" s="106" t="e">
        <f t="shared" si="1828"/>
        <v>#DIV/0!</v>
      </c>
      <c r="H1026" s="106" t="e">
        <f t="shared" si="1828"/>
        <v>#DIV/0!</v>
      </c>
      <c r="I1026" s="106" t="e">
        <f t="shared" si="1828"/>
        <v>#DIV/0!</v>
      </c>
      <c r="J1026" s="106" t="e">
        <f t="shared" si="1828"/>
        <v>#DIV/0!</v>
      </c>
      <c r="K1026" s="106" t="e">
        <f t="shared" si="1828"/>
        <v>#DIV/0!</v>
      </c>
      <c r="L1026" s="106" t="e">
        <f t="shared" si="1828"/>
        <v>#DIV/0!</v>
      </c>
      <c r="M1026" s="107" t="e">
        <f t="shared" si="1828"/>
        <v>#DIV/0!</v>
      </c>
      <c r="N1026" s="107" t="e">
        <f t="shared" si="1828"/>
        <v>#DIV/0!</v>
      </c>
      <c r="O1026" s="107" t="e">
        <f t="shared" si="1828"/>
        <v>#DIV/0!</v>
      </c>
      <c r="P1026" s="108" t="e">
        <f t="shared" si="1828"/>
        <v>#DIV/0!</v>
      </c>
      <c r="Q1026" s="109" t="e">
        <f t="shared" si="1828"/>
        <v>#DIV/0!</v>
      </c>
      <c r="R1026" s="110" t="e">
        <f t="shared" si="1828"/>
        <v>#DIV/0!</v>
      </c>
      <c r="S1026" s="105"/>
      <c r="T1026" s="91"/>
      <c r="U1026" s="100"/>
      <c r="V1026" s="92"/>
      <c r="W1026" s="101" t="s">
        <v>102</v>
      </c>
      <c r="X1026" s="106" t="e">
        <f t="shared" ref="X1026:AK1026" si="1829">X1025/X1024</f>
        <v>#DIV/0!</v>
      </c>
      <c r="Y1026" s="106" t="e">
        <f t="shared" si="1829"/>
        <v>#DIV/0!</v>
      </c>
      <c r="Z1026" s="106" t="e">
        <f t="shared" si="1829"/>
        <v>#DIV/0!</v>
      </c>
      <c r="AA1026" s="106" t="e">
        <f t="shared" si="1829"/>
        <v>#DIV/0!</v>
      </c>
      <c r="AB1026" s="106" t="e">
        <f t="shared" si="1829"/>
        <v>#DIV/0!</v>
      </c>
      <c r="AC1026" s="106" t="e">
        <f t="shared" si="1829"/>
        <v>#DIV/0!</v>
      </c>
      <c r="AD1026" s="106" t="e">
        <f t="shared" si="1829"/>
        <v>#DIV/0!</v>
      </c>
      <c r="AE1026" s="106" t="e">
        <f t="shared" si="1829"/>
        <v>#DIV/0!</v>
      </c>
      <c r="AF1026" s="107" t="e">
        <f t="shared" si="1829"/>
        <v>#DIV/0!</v>
      </c>
      <c r="AG1026" s="107" t="e">
        <f t="shared" si="1829"/>
        <v>#DIV/0!</v>
      </c>
      <c r="AH1026" s="107" t="e">
        <f t="shared" si="1829"/>
        <v>#DIV/0!</v>
      </c>
      <c r="AI1026" s="108" t="e">
        <f t="shared" si="1829"/>
        <v>#DIV/0!</v>
      </c>
      <c r="AJ1026" s="109" t="e">
        <f t="shared" si="1829"/>
        <v>#DIV/0!</v>
      </c>
      <c r="AK1026" s="110" t="e">
        <f t="shared" si="1829"/>
        <v>#DIV/0!</v>
      </c>
      <c r="AL1026" s="105"/>
    </row>
    <row r="1027" spans="1:38" ht="15.6" hidden="1" thickBot="1">
      <c r="A1027" s="91"/>
      <c r="B1027" s="100"/>
      <c r="C1027" s="111"/>
      <c r="D1027" s="112" t="s">
        <v>103</v>
      </c>
      <c r="E1027" s="113" t="e">
        <f t="shared" ref="E1027:R1027" si="1830">E1025/E1023</f>
        <v>#DIV/0!</v>
      </c>
      <c r="F1027" s="113" t="e">
        <f t="shared" si="1830"/>
        <v>#DIV/0!</v>
      </c>
      <c r="G1027" s="113" t="e">
        <f t="shared" si="1830"/>
        <v>#DIV/0!</v>
      </c>
      <c r="H1027" s="113" t="e">
        <f t="shared" si="1830"/>
        <v>#DIV/0!</v>
      </c>
      <c r="I1027" s="113" t="e">
        <f t="shared" si="1830"/>
        <v>#DIV/0!</v>
      </c>
      <c r="J1027" s="113" t="e">
        <f t="shared" si="1830"/>
        <v>#DIV/0!</v>
      </c>
      <c r="K1027" s="113" t="e">
        <f t="shared" si="1830"/>
        <v>#DIV/0!</v>
      </c>
      <c r="L1027" s="113" t="e">
        <f t="shared" si="1830"/>
        <v>#DIV/0!</v>
      </c>
      <c r="M1027" s="113" t="e">
        <f t="shared" si="1830"/>
        <v>#DIV/0!</v>
      </c>
      <c r="N1027" s="113" t="e">
        <f t="shared" si="1830"/>
        <v>#DIV/0!</v>
      </c>
      <c r="O1027" s="113" t="e">
        <f t="shared" si="1830"/>
        <v>#DIV/0!</v>
      </c>
      <c r="P1027" s="114" t="e">
        <f t="shared" si="1830"/>
        <v>#DIV/0!</v>
      </c>
      <c r="Q1027" s="115" t="e">
        <f t="shared" si="1830"/>
        <v>#DIV/0!</v>
      </c>
      <c r="R1027" s="116" t="e">
        <f t="shared" si="1830"/>
        <v>#DIV/0!</v>
      </c>
      <c r="T1027" s="91"/>
      <c r="U1027" s="100"/>
      <c r="V1027" s="111"/>
      <c r="W1027" s="112" t="s">
        <v>103</v>
      </c>
      <c r="X1027" s="113" t="e">
        <f t="shared" ref="X1027:AK1027" si="1831">X1025/X1023</f>
        <v>#DIV/0!</v>
      </c>
      <c r="Y1027" s="113" t="e">
        <f t="shared" si="1831"/>
        <v>#DIV/0!</v>
      </c>
      <c r="Z1027" s="113" t="e">
        <f t="shared" si="1831"/>
        <v>#DIV/0!</v>
      </c>
      <c r="AA1027" s="113" t="e">
        <f t="shared" si="1831"/>
        <v>#DIV/0!</v>
      </c>
      <c r="AB1027" s="113" t="e">
        <f t="shared" si="1831"/>
        <v>#DIV/0!</v>
      </c>
      <c r="AC1027" s="113" t="e">
        <f t="shared" si="1831"/>
        <v>#DIV/0!</v>
      </c>
      <c r="AD1027" s="113" t="e">
        <f t="shared" si="1831"/>
        <v>#DIV/0!</v>
      </c>
      <c r="AE1027" s="113" t="e">
        <f t="shared" si="1831"/>
        <v>#DIV/0!</v>
      </c>
      <c r="AF1027" s="113" t="e">
        <f t="shared" si="1831"/>
        <v>#DIV/0!</v>
      </c>
      <c r="AG1027" s="113" t="e">
        <f t="shared" si="1831"/>
        <v>#DIV/0!</v>
      </c>
      <c r="AH1027" s="113" t="e">
        <f t="shared" si="1831"/>
        <v>#DIV/0!</v>
      </c>
      <c r="AI1027" s="114" t="e">
        <f t="shared" si="1831"/>
        <v>#DIV/0!</v>
      </c>
      <c r="AJ1027" s="115" t="e">
        <f t="shared" si="1831"/>
        <v>#DIV/0!</v>
      </c>
      <c r="AK1027" s="116" t="e">
        <f t="shared" si="1831"/>
        <v>#DIV/0!</v>
      </c>
    </row>
    <row r="1028" spans="1:38" ht="15.6" hidden="1" thickBot="1">
      <c r="A1028" s="91"/>
      <c r="B1028" s="100"/>
      <c r="C1028" s="86"/>
      <c r="D1028" s="87">
        <v>2019</v>
      </c>
      <c r="E1028" s="88"/>
      <c r="F1028" s="121"/>
      <c r="G1028" s="121"/>
      <c r="H1028" s="121"/>
      <c r="I1028" s="121"/>
      <c r="J1028" s="121"/>
      <c r="K1028" s="121"/>
      <c r="L1028" s="121"/>
      <c r="M1028" s="122"/>
      <c r="N1028" s="122"/>
      <c r="O1028" s="122"/>
      <c r="P1028" s="123"/>
      <c r="Q1028" s="89">
        <f t="shared" ref="Q1028:Q1030" si="1832">SUM(E1028:P1028)</f>
        <v>0</v>
      </c>
      <c r="R1028" s="90">
        <f t="shared" ref="R1028" si="1833">SUM(E1028:M1028)</f>
        <v>0</v>
      </c>
      <c r="T1028" s="91"/>
      <c r="U1028" s="100"/>
      <c r="V1028" s="86">
        <f t="shared" ref="V1028:V1029" si="1834">C1028</f>
        <v>0</v>
      </c>
      <c r="W1028" s="87">
        <v>2019</v>
      </c>
      <c r="X1028" s="88"/>
      <c r="Y1028" s="121"/>
      <c r="Z1028" s="121"/>
      <c r="AA1028" s="121"/>
      <c r="AB1028" s="121"/>
      <c r="AC1028" s="121"/>
      <c r="AD1028" s="121"/>
      <c r="AE1028" s="121"/>
      <c r="AF1028" s="122"/>
      <c r="AG1028" s="122"/>
      <c r="AH1028" s="122"/>
      <c r="AI1028" s="123"/>
      <c r="AJ1028" s="89">
        <f t="shared" ref="AJ1028:AJ1030" si="1835">SUM(X1028:AI1028)</f>
        <v>0</v>
      </c>
      <c r="AK1028" s="90">
        <f t="shared" ref="AK1028:AK1030" si="1836">SUM(X1028:AF1028)</f>
        <v>0</v>
      </c>
    </row>
    <row r="1029" spans="1:38" ht="15.6" hidden="1" thickBot="1">
      <c r="A1029" s="91"/>
      <c r="B1029" s="100"/>
      <c r="C1029" s="92"/>
      <c r="D1029" s="93" t="s">
        <v>92</v>
      </c>
      <c r="E1029" s="94"/>
      <c r="F1029" s="97"/>
      <c r="G1029" s="97"/>
      <c r="H1029" s="97"/>
      <c r="I1029" s="97"/>
      <c r="J1029" s="97"/>
      <c r="K1029" s="97"/>
      <c r="L1029" s="97"/>
      <c r="M1029" s="98"/>
      <c r="N1029" s="98"/>
      <c r="O1029" s="98"/>
      <c r="P1029" s="99"/>
      <c r="Q1029" s="95">
        <f t="shared" si="1832"/>
        <v>0</v>
      </c>
      <c r="R1029" s="96">
        <f t="shared" si="1754"/>
        <v>0</v>
      </c>
      <c r="T1029" s="91"/>
      <c r="U1029" s="100"/>
      <c r="V1029" s="92">
        <f t="shared" si="1834"/>
        <v>0</v>
      </c>
      <c r="W1029" s="93" t="s">
        <v>92</v>
      </c>
      <c r="X1029" s="94"/>
      <c r="Y1029" s="97"/>
      <c r="Z1029" s="97"/>
      <c r="AA1029" s="97"/>
      <c r="AB1029" s="97"/>
      <c r="AC1029" s="97"/>
      <c r="AD1029" s="97"/>
      <c r="AE1029" s="97"/>
      <c r="AF1029" s="98"/>
      <c r="AG1029" s="98"/>
      <c r="AH1029" s="98"/>
      <c r="AI1029" s="99"/>
      <c r="AJ1029" s="95">
        <f t="shared" si="1835"/>
        <v>0</v>
      </c>
      <c r="AK1029" s="96">
        <f t="shared" si="1836"/>
        <v>0</v>
      </c>
    </row>
    <row r="1030" spans="1:38" ht="15.6" hidden="1" thickBot="1">
      <c r="A1030" s="91"/>
      <c r="B1030" s="100"/>
      <c r="C1030" s="92"/>
      <c r="D1030" s="101">
        <v>2020</v>
      </c>
      <c r="E1030" s="102"/>
      <c r="F1030" s="124"/>
      <c r="G1030" s="124"/>
      <c r="H1030" s="124"/>
      <c r="I1030" s="124"/>
      <c r="J1030" s="124"/>
      <c r="K1030" s="124"/>
      <c r="L1030" s="124"/>
      <c r="M1030" s="125"/>
      <c r="N1030" s="125"/>
      <c r="O1030" s="125"/>
      <c r="P1030" s="126"/>
      <c r="Q1030" s="103">
        <f t="shared" si="1832"/>
        <v>0</v>
      </c>
      <c r="R1030" s="104">
        <f t="shared" si="1754"/>
        <v>0</v>
      </c>
      <c r="S1030" s="105"/>
      <c r="T1030" s="91"/>
      <c r="U1030" s="100"/>
      <c r="V1030" s="92"/>
      <c r="W1030" s="101">
        <v>2020</v>
      </c>
      <c r="X1030" s="102"/>
      <c r="Y1030" s="124"/>
      <c r="Z1030" s="124"/>
      <c r="AA1030" s="124"/>
      <c r="AB1030" s="124"/>
      <c r="AC1030" s="124"/>
      <c r="AD1030" s="124"/>
      <c r="AE1030" s="124"/>
      <c r="AF1030" s="125"/>
      <c r="AG1030" s="125"/>
      <c r="AH1030" s="125"/>
      <c r="AI1030" s="126"/>
      <c r="AJ1030" s="103">
        <f t="shared" si="1835"/>
        <v>0</v>
      </c>
      <c r="AK1030" s="104">
        <f t="shared" si="1836"/>
        <v>0</v>
      </c>
      <c r="AL1030" s="105"/>
    </row>
    <row r="1031" spans="1:38" ht="15.6" hidden="1" thickBot="1">
      <c r="A1031" s="91"/>
      <c r="B1031" s="100"/>
      <c r="C1031" s="92"/>
      <c r="D1031" s="101" t="s">
        <v>102</v>
      </c>
      <c r="E1031" s="106" t="e">
        <f t="shared" ref="E1031:R1031" si="1837">E1030/E1029</f>
        <v>#DIV/0!</v>
      </c>
      <c r="F1031" s="106" t="e">
        <f t="shared" si="1837"/>
        <v>#DIV/0!</v>
      </c>
      <c r="G1031" s="106" t="e">
        <f t="shared" si="1837"/>
        <v>#DIV/0!</v>
      </c>
      <c r="H1031" s="106" t="e">
        <f t="shared" si="1837"/>
        <v>#DIV/0!</v>
      </c>
      <c r="I1031" s="106" t="e">
        <f t="shared" si="1837"/>
        <v>#DIV/0!</v>
      </c>
      <c r="J1031" s="106" t="e">
        <f t="shared" si="1837"/>
        <v>#DIV/0!</v>
      </c>
      <c r="K1031" s="106" t="e">
        <f t="shared" si="1837"/>
        <v>#DIV/0!</v>
      </c>
      <c r="L1031" s="106" t="e">
        <f t="shared" si="1837"/>
        <v>#DIV/0!</v>
      </c>
      <c r="M1031" s="107" t="e">
        <f t="shared" si="1837"/>
        <v>#DIV/0!</v>
      </c>
      <c r="N1031" s="107" t="e">
        <f t="shared" si="1837"/>
        <v>#DIV/0!</v>
      </c>
      <c r="O1031" s="107" t="e">
        <f t="shared" si="1837"/>
        <v>#DIV/0!</v>
      </c>
      <c r="P1031" s="108" t="e">
        <f t="shared" si="1837"/>
        <v>#DIV/0!</v>
      </c>
      <c r="Q1031" s="109" t="e">
        <f t="shared" si="1837"/>
        <v>#DIV/0!</v>
      </c>
      <c r="R1031" s="110" t="e">
        <f t="shared" si="1837"/>
        <v>#DIV/0!</v>
      </c>
      <c r="S1031" s="105"/>
      <c r="T1031" s="91"/>
      <c r="U1031" s="100"/>
      <c r="V1031" s="92"/>
      <c r="W1031" s="101" t="s">
        <v>102</v>
      </c>
      <c r="X1031" s="106" t="e">
        <f t="shared" ref="X1031:AK1031" si="1838">X1030/X1029</f>
        <v>#DIV/0!</v>
      </c>
      <c r="Y1031" s="106" t="e">
        <f t="shared" si="1838"/>
        <v>#DIV/0!</v>
      </c>
      <c r="Z1031" s="106" t="e">
        <f t="shared" si="1838"/>
        <v>#DIV/0!</v>
      </c>
      <c r="AA1031" s="106" t="e">
        <f t="shared" si="1838"/>
        <v>#DIV/0!</v>
      </c>
      <c r="AB1031" s="106" t="e">
        <f t="shared" si="1838"/>
        <v>#DIV/0!</v>
      </c>
      <c r="AC1031" s="106" t="e">
        <f t="shared" si="1838"/>
        <v>#DIV/0!</v>
      </c>
      <c r="AD1031" s="106" t="e">
        <f t="shared" si="1838"/>
        <v>#DIV/0!</v>
      </c>
      <c r="AE1031" s="106" t="e">
        <f t="shared" si="1838"/>
        <v>#DIV/0!</v>
      </c>
      <c r="AF1031" s="107" t="e">
        <f t="shared" si="1838"/>
        <v>#DIV/0!</v>
      </c>
      <c r="AG1031" s="107" t="e">
        <f t="shared" si="1838"/>
        <v>#DIV/0!</v>
      </c>
      <c r="AH1031" s="107" t="e">
        <f t="shared" si="1838"/>
        <v>#DIV/0!</v>
      </c>
      <c r="AI1031" s="108" t="e">
        <f t="shared" si="1838"/>
        <v>#DIV/0!</v>
      </c>
      <c r="AJ1031" s="109" t="e">
        <f t="shared" si="1838"/>
        <v>#DIV/0!</v>
      </c>
      <c r="AK1031" s="110" t="e">
        <f t="shared" si="1838"/>
        <v>#DIV/0!</v>
      </c>
      <c r="AL1031" s="105"/>
    </row>
    <row r="1032" spans="1:38" ht="15.6" hidden="1" thickBot="1">
      <c r="A1032" s="91"/>
      <c r="B1032" s="100"/>
      <c r="C1032" s="111"/>
      <c r="D1032" s="112" t="s">
        <v>103</v>
      </c>
      <c r="E1032" s="113" t="e">
        <f t="shared" ref="E1032:R1032" si="1839">E1030/E1028</f>
        <v>#DIV/0!</v>
      </c>
      <c r="F1032" s="113" t="e">
        <f t="shared" si="1839"/>
        <v>#DIV/0!</v>
      </c>
      <c r="G1032" s="113" t="e">
        <f t="shared" si="1839"/>
        <v>#DIV/0!</v>
      </c>
      <c r="H1032" s="113" t="e">
        <f t="shared" si="1839"/>
        <v>#DIV/0!</v>
      </c>
      <c r="I1032" s="113" t="e">
        <f t="shared" si="1839"/>
        <v>#DIV/0!</v>
      </c>
      <c r="J1032" s="113" t="e">
        <f t="shared" si="1839"/>
        <v>#DIV/0!</v>
      </c>
      <c r="K1032" s="113" t="e">
        <f t="shared" si="1839"/>
        <v>#DIV/0!</v>
      </c>
      <c r="L1032" s="113" t="e">
        <f t="shared" si="1839"/>
        <v>#DIV/0!</v>
      </c>
      <c r="M1032" s="113" t="e">
        <f t="shared" si="1839"/>
        <v>#DIV/0!</v>
      </c>
      <c r="N1032" s="113" t="e">
        <f t="shared" si="1839"/>
        <v>#DIV/0!</v>
      </c>
      <c r="O1032" s="113" t="e">
        <f t="shared" si="1839"/>
        <v>#DIV/0!</v>
      </c>
      <c r="P1032" s="114" t="e">
        <f t="shared" si="1839"/>
        <v>#DIV/0!</v>
      </c>
      <c r="Q1032" s="115" t="e">
        <f t="shared" si="1839"/>
        <v>#DIV/0!</v>
      </c>
      <c r="R1032" s="116" t="e">
        <f t="shared" si="1839"/>
        <v>#DIV/0!</v>
      </c>
      <c r="T1032" s="91"/>
      <c r="U1032" s="100"/>
      <c r="V1032" s="111"/>
      <c r="W1032" s="112" t="s">
        <v>103</v>
      </c>
      <c r="X1032" s="113" t="e">
        <f t="shared" ref="X1032:AK1032" si="1840">X1030/X1028</f>
        <v>#DIV/0!</v>
      </c>
      <c r="Y1032" s="113" t="e">
        <f t="shared" si="1840"/>
        <v>#DIV/0!</v>
      </c>
      <c r="Z1032" s="113" t="e">
        <f t="shared" si="1840"/>
        <v>#DIV/0!</v>
      </c>
      <c r="AA1032" s="113" t="e">
        <f t="shared" si="1840"/>
        <v>#DIV/0!</v>
      </c>
      <c r="AB1032" s="113" t="e">
        <f t="shared" si="1840"/>
        <v>#DIV/0!</v>
      </c>
      <c r="AC1032" s="113" t="e">
        <f t="shared" si="1840"/>
        <v>#DIV/0!</v>
      </c>
      <c r="AD1032" s="113" t="e">
        <f t="shared" si="1840"/>
        <v>#DIV/0!</v>
      </c>
      <c r="AE1032" s="113" t="e">
        <f t="shared" si="1840"/>
        <v>#DIV/0!</v>
      </c>
      <c r="AF1032" s="113" t="e">
        <f t="shared" si="1840"/>
        <v>#DIV/0!</v>
      </c>
      <c r="AG1032" s="113" t="e">
        <f t="shared" si="1840"/>
        <v>#DIV/0!</v>
      </c>
      <c r="AH1032" s="113" t="e">
        <f t="shared" si="1840"/>
        <v>#DIV/0!</v>
      </c>
      <c r="AI1032" s="114" t="e">
        <f t="shared" si="1840"/>
        <v>#DIV/0!</v>
      </c>
      <c r="AJ1032" s="115" t="e">
        <f t="shared" si="1840"/>
        <v>#DIV/0!</v>
      </c>
      <c r="AK1032" s="116" t="e">
        <f t="shared" si="1840"/>
        <v>#DIV/0!</v>
      </c>
    </row>
    <row r="1033" spans="1:38" ht="15.6" hidden="1" thickBot="1">
      <c r="A1033" s="91"/>
      <c r="B1033" s="100"/>
      <c r="C1033" s="86"/>
      <c r="D1033" s="87">
        <v>2019</v>
      </c>
      <c r="E1033" s="88"/>
      <c r="F1033" s="121"/>
      <c r="G1033" s="121"/>
      <c r="H1033" s="121"/>
      <c r="I1033" s="121"/>
      <c r="J1033" s="121"/>
      <c r="K1033" s="121"/>
      <c r="L1033" s="121"/>
      <c r="M1033" s="122"/>
      <c r="N1033" s="122"/>
      <c r="O1033" s="122"/>
      <c r="P1033" s="123"/>
      <c r="Q1033" s="89">
        <f t="shared" ref="Q1033:Q1035" si="1841">SUM(E1033:P1033)</f>
        <v>0</v>
      </c>
      <c r="R1033" s="90">
        <f t="shared" ref="R1033" si="1842">SUM(E1033:M1033)</f>
        <v>0</v>
      </c>
      <c r="T1033" s="91"/>
      <c r="U1033" s="100"/>
      <c r="V1033" s="86">
        <f t="shared" ref="V1033:V1034" si="1843">C1033</f>
        <v>0</v>
      </c>
      <c r="W1033" s="87">
        <v>2019</v>
      </c>
      <c r="X1033" s="88"/>
      <c r="Y1033" s="121"/>
      <c r="Z1033" s="121"/>
      <c r="AA1033" s="121"/>
      <c r="AB1033" s="121"/>
      <c r="AC1033" s="121"/>
      <c r="AD1033" s="121"/>
      <c r="AE1033" s="121"/>
      <c r="AF1033" s="122"/>
      <c r="AG1033" s="122"/>
      <c r="AH1033" s="122"/>
      <c r="AI1033" s="123"/>
      <c r="AJ1033" s="89">
        <f t="shared" ref="AJ1033:AJ1035" si="1844">SUM(X1033:AI1033)</f>
        <v>0</v>
      </c>
      <c r="AK1033" s="90">
        <f t="shared" ref="AK1033:AK1035" si="1845">SUM(X1033:AF1033)</f>
        <v>0</v>
      </c>
    </row>
    <row r="1034" spans="1:38" ht="15.6" hidden="1" thickBot="1">
      <c r="A1034" s="91"/>
      <c r="B1034" s="100"/>
      <c r="C1034" s="92"/>
      <c r="D1034" s="93" t="s">
        <v>92</v>
      </c>
      <c r="E1034" s="94"/>
      <c r="F1034" s="97"/>
      <c r="G1034" s="97"/>
      <c r="H1034" s="97"/>
      <c r="I1034" s="97"/>
      <c r="J1034" s="97"/>
      <c r="K1034" s="97"/>
      <c r="L1034" s="97"/>
      <c r="M1034" s="98"/>
      <c r="N1034" s="98"/>
      <c r="O1034" s="98"/>
      <c r="P1034" s="99"/>
      <c r="Q1034" s="95">
        <f t="shared" si="1841"/>
        <v>0</v>
      </c>
      <c r="R1034" s="96">
        <f t="shared" si="1754"/>
        <v>0</v>
      </c>
      <c r="T1034" s="91"/>
      <c r="U1034" s="100"/>
      <c r="V1034" s="92">
        <f t="shared" si="1843"/>
        <v>0</v>
      </c>
      <c r="W1034" s="93" t="s">
        <v>92</v>
      </c>
      <c r="X1034" s="94"/>
      <c r="Y1034" s="97"/>
      <c r="Z1034" s="97"/>
      <c r="AA1034" s="97"/>
      <c r="AB1034" s="97"/>
      <c r="AC1034" s="97"/>
      <c r="AD1034" s="97"/>
      <c r="AE1034" s="97"/>
      <c r="AF1034" s="98"/>
      <c r="AG1034" s="98"/>
      <c r="AH1034" s="98"/>
      <c r="AI1034" s="99"/>
      <c r="AJ1034" s="95">
        <f t="shared" si="1844"/>
        <v>0</v>
      </c>
      <c r="AK1034" s="96">
        <f t="shared" si="1845"/>
        <v>0</v>
      </c>
    </row>
    <row r="1035" spans="1:38" ht="15.6" hidden="1" thickBot="1">
      <c r="A1035" s="91"/>
      <c r="B1035" s="100"/>
      <c r="C1035" s="92"/>
      <c r="D1035" s="101">
        <v>2020</v>
      </c>
      <c r="E1035" s="102"/>
      <c r="F1035" s="124"/>
      <c r="G1035" s="124"/>
      <c r="H1035" s="124"/>
      <c r="I1035" s="124"/>
      <c r="J1035" s="124"/>
      <c r="K1035" s="124"/>
      <c r="L1035" s="124"/>
      <c r="M1035" s="125"/>
      <c r="N1035" s="125"/>
      <c r="O1035" s="125"/>
      <c r="P1035" s="126"/>
      <c r="Q1035" s="103">
        <f t="shared" si="1841"/>
        <v>0</v>
      </c>
      <c r="R1035" s="104">
        <f t="shared" si="1754"/>
        <v>0</v>
      </c>
      <c r="S1035" s="105"/>
      <c r="T1035" s="91"/>
      <c r="U1035" s="100"/>
      <c r="V1035" s="92"/>
      <c r="W1035" s="101">
        <v>2020</v>
      </c>
      <c r="X1035" s="102"/>
      <c r="Y1035" s="124"/>
      <c r="Z1035" s="124"/>
      <c r="AA1035" s="124"/>
      <c r="AB1035" s="124"/>
      <c r="AC1035" s="124"/>
      <c r="AD1035" s="124"/>
      <c r="AE1035" s="124"/>
      <c r="AF1035" s="125"/>
      <c r="AG1035" s="125"/>
      <c r="AH1035" s="125"/>
      <c r="AI1035" s="126"/>
      <c r="AJ1035" s="103">
        <f t="shared" si="1844"/>
        <v>0</v>
      </c>
      <c r="AK1035" s="104">
        <f t="shared" si="1845"/>
        <v>0</v>
      </c>
      <c r="AL1035" s="105"/>
    </row>
    <row r="1036" spans="1:38" ht="15.6" hidden="1" thickBot="1">
      <c r="A1036" s="91"/>
      <c r="B1036" s="100"/>
      <c r="C1036" s="92"/>
      <c r="D1036" s="101" t="s">
        <v>102</v>
      </c>
      <c r="E1036" s="106" t="e">
        <f t="shared" ref="E1036:R1036" si="1846">E1035/E1034</f>
        <v>#DIV/0!</v>
      </c>
      <c r="F1036" s="106" t="e">
        <f t="shared" si="1846"/>
        <v>#DIV/0!</v>
      </c>
      <c r="G1036" s="106" t="e">
        <f t="shared" si="1846"/>
        <v>#DIV/0!</v>
      </c>
      <c r="H1036" s="106" t="e">
        <f t="shared" si="1846"/>
        <v>#DIV/0!</v>
      </c>
      <c r="I1036" s="106" t="e">
        <f t="shared" si="1846"/>
        <v>#DIV/0!</v>
      </c>
      <c r="J1036" s="106" t="e">
        <f t="shared" si="1846"/>
        <v>#DIV/0!</v>
      </c>
      <c r="K1036" s="106" t="e">
        <f t="shared" si="1846"/>
        <v>#DIV/0!</v>
      </c>
      <c r="L1036" s="106" t="e">
        <f t="shared" si="1846"/>
        <v>#DIV/0!</v>
      </c>
      <c r="M1036" s="107" t="e">
        <f t="shared" si="1846"/>
        <v>#DIV/0!</v>
      </c>
      <c r="N1036" s="107" t="e">
        <f t="shared" si="1846"/>
        <v>#DIV/0!</v>
      </c>
      <c r="O1036" s="107" t="e">
        <f t="shared" si="1846"/>
        <v>#DIV/0!</v>
      </c>
      <c r="P1036" s="108" t="e">
        <f t="shared" si="1846"/>
        <v>#DIV/0!</v>
      </c>
      <c r="Q1036" s="109" t="e">
        <f t="shared" si="1846"/>
        <v>#DIV/0!</v>
      </c>
      <c r="R1036" s="110" t="e">
        <f t="shared" si="1846"/>
        <v>#DIV/0!</v>
      </c>
      <c r="S1036" s="105"/>
      <c r="T1036" s="91"/>
      <c r="U1036" s="100"/>
      <c r="V1036" s="92"/>
      <c r="W1036" s="101" t="s">
        <v>102</v>
      </c>
      <c r="X1036" s="106" t="e">
        <f t="shared" ref="X1036:AK1036" si="1847">X1035/X1034</f>
        <v>#DIV/0!</v>
      </c>
      <c r="Y1036" s="106" t="e">
        <f t="shared" si="1847"/>
        <v>#DIV/0!</v>
      </c>
      <c r="Z1036" s="106" t="e">
        <f t="shared" si="1847"/>
        <v>#DIV/0!</v>
      </c>
      <c r="AA1036" s="106" t="e">
        <f t="shared" si="1847"/>
        <v>#DIV/0!</v>
      </c>
      <c r="AB1036" s="106" t="e">
        <f t="shared" si="1847"/>
        <v>#DIV/0!</v>
      </c>
      <c r="AC1036" s="106" t="e">
        <f t="shared" si="1847"/>
        <v>#DIV/0!</v>
      </c>
      <c r="AD1036" s="106" t="e">
        <f t="shared" si="1847"/>
        <v>#DIV/0!</v>
      </c>
      <c r="AE1036" s="106" t="e">
        <f t="shared" si="1847"/>
        <v>#DIV/0!</v>
      </c>
      <c r="AF1036" s="107" t="e">
        <f t="shared" si="1847"/>
        <v>#DIV/0!</v>
      </c>
      <c r="AG1036" s="107" t="e">
        <f t="shared" si="1847"/>
        <v>#DIV/0!</v>
      </c>
      <c r="AH1036" s="107" t="e">
        <f t="shared" si="1847"/>
        <v>#DIV/0!</v>
      </c>
      <c r="AI1036" s="108" t="e">
        <f t="shared" si="1847"/>
        <v>#DIV/0!</v>
      </c>
      <c r="AJ1036" s="109" t="e">
        <f t="shared" si="1847"/>
        <v>#DIV/0!</v>
      </c>
      <c r="AK1036" s="110" t="e">
        <f t="shared" si="1847"/>
        <v>#DIV/0!</v>
      </c>
      <c r="AL1036" s="105"/>
    </row>
    <row r="1037" spans="1:38" ht="15.6" hidden="1" thickBot="1">
      <c r="A1037" s="91"/>
      <c r="B1037" s="100"/>
      <c r="C1037" s="111"/>
      <c r="D1037" s="112" t="s">
        <v>103</v>
      </c>
      <c r="E1037" s="113" t="e">
        <f t="shared" ref="E1037:R1037" si="1848">E1035/E1033</f>
        <v>#DIV/0!</v>
      </c>
      <c r="F1037" s="113" t="e">
        <f t="shared" si="1848"/>
        <v>#DIV/0!</v>
      </c>
      <c r="G1037" s="113" t="e">
        <f t="shared" si="1848"/>
        <v>#DIV/0!</v>
      </c>
      <c r="H1037" s="113" t="e">
        <f t="shared" si="1848"/>
        <v>#DIV/0!</v>
      </c>
      <c r="I1037" s="113" t="e">
        <f t="shared" si="1848"/>
        <v>#DIV/0!</v>
      </c>
      <c r="J1037" s="113" t="e">
        <f t="shared" si="1848"/>
        <v>#DIV/0!</v>
      </c>
      <c r="K1037" s="113" t="e">
        <f t="shared" si="1848"/>
        <v>#DIV/0!</v>
      </c>
      <c r="L1037" s="113" t="e">
        <f t="shared" si="1848"/>
        <v>#DIV/0!</v>
      </c>
      <c r="M1037" s="113" t="e">
        <f t="shared" si="1848"/>
        <v>#DIV/0!</v>
      </c>
      <c r="N1037" s="113" t="e">
        <f t="shared" si="1848"/>
        <v>#DIV/0!</v>
      </c>
      <c r="O1037" s="113" t="e">
        <f t="shared" si="1848"/>
        <v>#DIV/0!</v>
      </c>
      <c r="P1037" s="114" t="e">
        <f t="shared" si="1848"/>
        <v>#DIV/0!</v>
      </c>
      <c r="Q1037" s="115" t="e">
        <f t="shared" si="1848"/>
        <v>#DIV/0!</v>
      </c>
      <c r="R1037" s="116" t="e">
        <f t="shared" si="1848"/>
        <v>#DIV/0!</v>
      </c>
      <c r="T1037" s="91"/>
      <c r="U1037" s="100"/>
      <c r="V1037" s="111"/>
      <c r="W1037" s="112" t="s">
        <v>103</v>
      </c>
      <c r="X1037" s="113" t="e">
        <f t="shared" ref="X1037:AK1037" si="1849">X1035/X1033</f>
        <v>#DIV/0!</v>
      </c>
      <c r="Y1037" s="113" t="e">
        <f t="shared" si="1849"/>
        <v>#DIV/0!</v>
      </c>
      <c r="Z1037" s="113" t="e">
        <f t="shared" si="1849"/>
        <v>#DIV/0!</v>
      </c>
      <c r="AA1037" s="113" t="e">
        <f t="shared" si="1849"/>
        <v>#DIV/0!</v>
      </c>
      <c r="AB1037" s="113" t="e">
        <f t="shared" si="1849"/>
        <v>#DIV/0!</v>
      </c>
      <c r="AC1037" s="113" t="e">
        <f t="shared" si="1849"/>
        <v>#DIV/0!</v>
      </c>
      <c r="AD1037" s="113" t="e">
        <f t="shared" si="1849"/>
        <v>#DIV/0!</v>
      </c>
      <c r="AE1037" s="113" t="e">
        <f t="shared" si="1849"/>
        <v>#DIV/0!</v>
      </c>
      <c r="AF1037" s="113" t="e">
        <f t="shared" si="1849"/>
        <v>#DIV/0!</v>
      </c>
      <c r="AG1037" s="113" t="e">
        <f t="shared" si="1849"/>
        <v>#DIV/0!</v>
      </c>
      <c r="AH1037" s="113" t="e">
        <f t="shared" si="1849"/>
        <v>#DIV/0!</v>
      </c>
      <c r="AI1037" s="114" t="e">
        <f t="shared" si="1849"/>
        <v>#DIV/0!</v>
      </c>
      <c r="AJ1037" s="115" t="e">
        <f t="shared" si="1849"/>
        <v>#DIV/0!</v>
      </c>
      <c r="AK1037" s="116" t="e">
        <f t="shared" si="1849"/>
        <v>#DIV/0!</v>
      </c>
    </row>
    <row r="1038" spans="1:38" ht="15.6" hidden="1" thickBot="1">
      <c r="A1038" s="91"/>
      <c r="B1038" s="100"/>
      <c r="C1038" s="86"/>
      <c r="D1038" s="87">
        <v>2019</v>
      </c>
      <c r="E1038" s="88"/>
      <c r="F1038" s="121"/>
      <c r="G1038" s="121"/>
      <c r="H1038" s="121"/>
      <c r="I1038" s="121"/>
      <c r="J1038" s="121"/>
      <c r="K1038" s="121"/>
      <c r="L1038" s="121"/>
      <c r="M1038" s="122"/>
      <c r="N1038" s="122"/>
      <c r="O1038" s="122"/>
      <c r="P1038" s="123"/>
      <c r="Q1038" s="89">
        <f t="shared" ref="Q1038:Q1040" si="1850">SUM(E1038:P1038)</f>
        <v>0</v>
      </c>
      <c r="R1038" s="90">
        <f t="shared" ref="R1038" si="1851">SUM(E1038:M1038)</f>
        <v>0</v>
      </c>
      <c r="T1038" s="91"/>
      <c r="U1038" s="100"/>
      <c r="V1038" s="86">
        <f t="shared" ref="V1038:V1039" si="1852">C1038</f>
        <v>0</v>
      </c>
      <c r="W1038" s="87">
        <v>2019</v>
      </c>
      <c r="X1038" s="88"/>
      <c r="Y1038" s="121"/>
      <c r="Z1038" s="121"/>
      <c r="AA1038" s="121"/>
      <c r="AB1038" s="121"/>
      <c r="AC1038" s="121"/>
      <c r="AD1038" s="121"/>
      <c r="AE1038" s="121"/>
      <c r="AF1038" s="122"/>
      <c r="AG1038" s="122"/>
      <c r="AH1038" s="122"/>
      <c r="AI1038" s="123"/>
      <c r="AJ1038" s="89">
        <f t="shared" ref="AJ1038:AJ1040" si="1853">SUM(X1038:AI1038)</f>
        <v>0</v>
      </c>
      <c r="AK1038" s="90">
        <f t="shared" ref="AK1038:AK1040" si="1854">SUM(X1038:AF1038)</f>
        <v>0</v>
      </c>
    </row>
    <row r="1039" spans="1:38" ht="15.6" hidden="1" thickBot="1">
      <c r="A1039" s="91"/>
      <c r="B1039" s="100"/>
      <c r="C1039" s="92"/>
      <c r="D1039" s="93" t="s">
        <v>92</v>
      </c>
      <c r="E1039" s="94"/>
      <c r="F1039" s="97"/>
      <c r="G1039" s="97"/>
      <c r="H1039" s="97"/>
      <c r="I1039" s="97"/>
      <c r="J1039" s="97"/>
      <c r="K1039" s="97"/>
      <c r="L1039" s="97"/>
      <c r="M1039" s="98"/>
      <c r="N1039" s="98"/>
      <c r="O1039" s="98"/>
      <c r="P1039" s="99"/>
      <c r="Q1039" s="95">
        <f t="shared" si="1850"/>
        <v>0</v>
      </c>
      <c r="R1039" s="96">
        <f t="shared" si="1754"/>
        <v>0</v>
      </c>
      <c r="T1039" s="91"/>
      <c r="U1039" s="100"/>
      <c r="V1039" s="92">
        <f t="shared" si="1852"/>
        <v>0</v>
      </c>
      <c r="W1039" s="93" t="s">
        <v>92</v>
      </c>
      <c r="X1039" s="94"/>
      <c r="Y1039" s="97"/>
      <c r="Z1039" s="97"/>
      <c r="AA1039" s="97"/>
      <c r="AB1039" s="97"/>
      <c r="AC1039" s="97"/>
      <c r="AD1039" s="97"/>
      <c r="AE1039" s="97"/>
      <c r="AF1039" s="98"/>
      <c r="AG1039" s="98"/>
      <c r="AH1039" s="98"/>
      <c r="AI1039" s="99"/>
      <c r="AJ1039" s="95">
        <f t="shared" si="1853"/>
        <v>0</v>
      </c>
      <c r="AK1039" s="96">
        <f t="shared" si="1854"/>
        <v>0</v>
      </c>
    </row>
    <row r="1040" spans="1:38" ht="15.6" hidden="1" thickBot="1">
      <c r="A1040" s="91"/>
      <c r="B1040" s="100"/>
      <c r="C1040" s="92"/>
      <c r="D1040" s="101">
        <v>2020</v>
      </c>
      <c r="E1040" s="102"/>
      <c r="F1040" s="124"/>
      <c r="G1040" s="124"/>
      <c r="H1040" s="124"/>
      <c r="I1040" s="124"/>
      <c r="J1040" s="124"/>
      <c r="K1040" s="124"/>
      <c r="L1040" s="124"/>
      <c r="M1040" s="125"/>
      <c r="N1040" s="125"/>
      <c r="O1040" s="125"/>
      <c r="P1040" s="126"/>
      <c r="Q1040" s="103">
        <f t="shared" si="1850"/>
        <v>0</v>
      </c>
      <c r="R1040" s="104">
        <f t="shared" si="1754"/>
        <v>0</v>
      </c>
      <c r="S1040" s="105"/>
      <c r="T1040" s="91"/>
      <c r="U1040" s="100"/>
      <c r="V1040" s="92"/>
      <c r="W1040" s="101">
        <v>2020</v>
      </c>
      <c r="X1040" s="102"/>
      <c r="Y1040" s="124"/>
      <c r="Z1040" s="124"/>
      <c r="AA1040" s="124"/>
      <c r="AB1040" s="124"/>
      <c r="AC1040" s="124"/>
      <c r="AD1040" s="124"/>
      <c r="AE1040" s="124"/>
      <c r="AF1040" s="125"/>
      <c r="AG1040" s="125"/>
      <c r="AH1040" s="125"/>
      <c r="AI1040" s="126"/>
      <c r="AJ1040" s="103">
        <f t="shared" si="1853"/>
        <v>0</v>
      </c>
      <c r="AK1040" s="104">
        <f t="shared" si="1854"/>
        <v>0</v>
      </c>
      <c r="AL1040" s="105"/>
    </row>
    <row r="1041" spans="1:38" ht="15.6" hidden="1" thickBot="1">
      <c r="A1041" s="91"/>
      <c r="B1041" s="100"/>
      <c r="C1041" s="92"/>
      <c r="D1041" s="101" t="s">
        <v>102</v>
      </c>
      <c r="E1041" s="106" t="e">
        <f t="shared" ref="E1041:R1041" si="1855">E1040/E1039</f>
        <v>#DIV/0!</v>
      </c>
      <c r="F1041" s="106" t="e">
        <f t="shared" si="1855"/>
        <v>#DIV/0!</v>
      </c>
      <c r="G1041" s="106" t="e">
        <f t="shared" si="1855"/>
        <v>#DIV/0!</v>
      </c>
      <c r="H1041" s="106" t="e">
        <f t="shared" si="1855"/>
        <v>#DIV/0!</v>
      </c>
      <c r="I1041" s="106" t="e">
        <f t="shared" si="1855"/>
        <v>#DIV/0!</v>
      </c>
      <c r="J1041" s="106" t="e">
        <f t="shared" si="1855"/>
        <v>#DIV/0!</v>
      </c>
      <c r="K1041" s="106" t="e">
        <f t="shared" si="1855"/>
        <v>#DIV/0!</v>
      </c>
      <c r="L1041" s="106" t="e">
        <f t="shared" si="1855"/>
        <v>#DIV/0!</v>
      </c>
      <c r="M1041" s="107" t="e">
        <f t="shared" si="1855"/>
        <v>#DIV/0!</v>
      </c>
      <c r="N1041" s="107" t="e">
        <f t="shared" si="1855"/>
        <v>#DIV/0!</v>
      </c>
      <c r="O1041" s="107" t="e">
        <f t="shared" si="1855"/>
        <v>#DIV/0!</v>
      </c>
      <c r="P1041" s="108" t="e">
        <f t="shared" si="1855"/>
        <v>#DIV/0!</v>
      </c>
      <c r="Q1041" s="109" t="e">
        <f t="shared" si="1855"/>
        <v>#DIV/0!</v>
      </c>
      <c r="R1041" s="110" t="e">
        <f t="shared" si="1855"/>
        <v>#DIV/0!</v>
      </c>
      <c r="S1041" s="105"/>
      <c r="T1041" s="91"/>
      <c r="U1041" s="100"/>
      <c r="V1041" s="92"/>
      <c r="W1041" s="101" t="s">
        <v>102</v>
      </c>
      <c r="X1041" s="106" t="e">
        <f t="shared" ref="X1041:AK1041" si="1856">X1040/X1039</f>
        <v>#DIV/0!</v>
      </c>
      <c r="Y1041" s="106" t="e">
        <f t="shared" si="1856"/>
        <v>#DIV/0!</v>
      </c>
      <c r="Z1041" s="106" t="e">
        <f t="shared" si="1856"/>
        <v>#DIV/0!</v>
      </c>
      <c r="AA1041" s="106" t="e">
        <f t="shared" si="1856"/>
        <v>#DIV/0!</v>
      </c>
      <c r="AB1041" s="106" t="e">
        <f t="shared" si="1856"/>
        <v>#DIV/0!</v>
      </c>
      <c r="AC1041" s="106" t="e">
        <f t="shared" si="1856"/>
        <v>#DIV/0!</v>
      </c>
      <c r="AD1041" s="106" t="e">
        <f t="shared" si="1856"/>
        <v>#DIV/0!</v>
      </c>
      <c r="AE1041" s="106" t="e">
        <f t="shared" si="1856"/>
        <v>#DIV/0!</v>
      </c>
      <c r="AF1041" s="107" t="e">
        <f t="shared" si="1856"/>
        <v>#DIV/0!</v>
      </c>
      <c r="AG1041" s="107" t="e">
        <f t="shared" si="1856"/>
        <v>#DIV/0!</v>
      </c>
      <c r="AH1041" s="107" t="e">
        <f t="shared" si="1856"/>
        <v>#DIV/0!</v>
      </c>
      <c r="AI1041" s="108" t="e">
        <f t="shared" si="1856"/>
        <v>#DIV/0!</v>
      </c>
      <c r="AJ1041" s="109" t="e">
        <f t="shared" si="1856"/>
        <v>#DIV/0!</v>
      </c>
      <c r="AK1041" s="110" t="e">
        <f t="shared" si="1856"/>
        <v>#DIV/0!</v>
      </c>
      <c r="AL1041" s="105"/>
    </row>
    <row r="1042" spans="1:38" ht="15.6" hidden="1" thickBot="1">
      <c r="A1042" s="91"/>
      <c r="B1042" s="100"/>
      <c r="C1042" s="111"/>
      <c r="D1042" s="112" t="s">
        <v>103</v>
      </c>
      <c r="E1042" s="113" t="e">
        <f t="shared" ref="E1042:R1042" si="1857">E1040/E1038</f>
        <v>#DIV/0!</v>
      </c>
      <c r="F1042" s="113" t="e">
        <f t="shared" si="1857"/>
        <v>#DIV/0!</v>
      </c>
      <c r="G1042" s="113" t="e">
        <f t="shared" si="1857"/>
        <v>#DIV/0!</v>
      </c>
      <c r="H1042" s="113" t="e">
        <f t="shared" si="1857"/>
        <v>#DIV/0!</v>
      </c>
      <c r="I1042" s="113" t="e">
        <f t="shared" si="1857"/>
        <v>#DIV/0!</v>
      </c>
      <c r="J1042" s="113" t="e">
        <f t="shared" si="1857"/>
        <v>#DIV/0!</v>
      </c>
      <c r="K1042" s="113" t="e">
        <f t="shared" si="1857"/>
        <v>#DIV/0!</v>
      </c>
      <c r="L1042" s="113" t="e">
        <f t="shared" si="1857"/>
        <v>#DIV/0!</v>
      </c>
      <c r="M1042" s="113" t="e">
        <f t="shared" si="1857"/>
        <v>#DIV/0!</v>
      </c>
      <c r="N1042" s="113" t="e">
        <f t="shared" si="1857"/>
        <v>#DIV/0!</v>
      </c>
      <c r="O1042" s="113" t="e">
        <f t="shared" si="1857"/>
        <v>#DIV/0!</v>
      </c>
      <c r="P1042" s="114" t="e">
        <f t="shared" si="1857"/>
        <v>#DIV/0!</v>
      </c>
      <c r="Q1042" s="115" t="e">
        <f t="shared" si="1857"/>
        <v>#DIV/0!</v>
      </c>
      <c r="R1042" s="116" t="e">
        <f t="shared" si="1857"/>
        <v>#DIV/0!</v>
      </c>
      <c r="T1042" s="91"/>
      <c r="U1042" s="100"/>
      <c r="V1042" s="111"/>
      <c r="W1042" s="112" t="s">
        <v>103</v>
      </c>
      <c r="X1042" s="113" t="e">
        <f t="shared" ref="X1042:AK1042" si="1858">X1040/X1038</f>
        <v>#DIV/0!</v>
      </c>
      <c r="Y1042" s="113" t="e">
        <f t="shared" si="1858"/>
        <v>#DIV/0!</v>
      </c>
      <c r="Z1042" s="113" t="e">
        <f t="shared" si="1858"/>
        <v>#DIV/0!</v>
      </c>
      <c r="AA1042" s="113" t="e">
        <f t="shared" si="1858"/>
        <v>#DIV/0!</v>
      </c>
      <c r="AB1042" s="113" t="e">
        <f t="shared" si="1858"/>
        <v>#DIV/0!</v>
      </c>
      <c r="AC1042" s="113" t="e">
        <f t="shared" si="1858"/>
        <v>#DIV/0!</v>
      </c>
      <c r="AD1042" s="113" t="e">
        <f t="shared" si="1858"/>
        <v>#DIV/0!</v>
      </c>
      <c r="AE1042" s="113" t="e">
        <f t="shared" si="1858"/>
        <v>#DIV/0!</v>
      </c>
      <c r="AF1042" s="113" t="e">
        <f t="shared" si="1858"/>
        <v>#DIV/0!</v>
      </c>
      <c r="AG1042" s="113" t="e">
        <f t="shared" si="1858"/>
        <v>#DIV/0!</v>
      </c>
      <c r="AH1042" s="113" t="e">
        <f t="shared" si="1858"/>
        <v>#DIV/0!</v>
      </c>
      <c r="AI1042" s="114" t="e">
        <f t="shared" si="1858"/>
        <v>#DIV/0!</v>
      </c>
      <c r="AJ1042" s="115" t="e">
        <f t="shared" si="1858"/>
        <v>#DIV/0!</v>
      </c>
      <c r="AK1042" s="116" t="e">
        <f t="shared" si="1858"/>
        <v>#DIV/0!</v>
      </c>
    </row>
    <row r="1043" spans="1:38" ht="15.6" hidden="1" thickBot="1">
      <c r="A1043" s="91"/>
      <c r="B1043" s="100"/>
      <c r="C1043" s="86"/>
      <c r="D1043" s="87">
        <v>2019</v>
      </c>
      <c r="E1043" s="88"/>
      <c r="F1043" s="121"/>
      <c r="G1043" s="121"/>
      <c r="H1043" s="121"/>
      <c r="I1043" s="121"/>
      <c r="J1043" s="121"/>
      <c r="K1043" s="121"/>
      <c r="L1043" s="121"/>
      <c r="M1043" s="122"/>
      <c r="N1043" s="122"/>
      <c r="O1043" s="122"/>
      <c r="P1043" s="123"/>
      <c r="Q1043" s="89">
        <f t="shared" ref="Q1043:Q1045" si="1859">SUM(E1043:P1043)</f>
        <v>0</v>
      </c>
      <c r="R1043" s="90">
        <f t="shared" ref="R1043" si="1860">SUM(E1043:M1043)</f>
        <v>0</v>
      </c>
      <c r="T1043" s="91"/>
      <c r="U1043" s="100"/>
      <c r="V1043" s="86">
        <f t="shared" ref="V1043:V1044" si="1861">C1043</f>
        <v>0</v>
      </c>
      <c r="W1043" s="87">
        <v>2019</v>
      </c>
      <c r="X1043" s="88"/>
      <c r="Y1043" s="121"/>
      <c r="Z1043" s="121"/>
      <c r="AA1043" s="121"/>
      <c r="AB1043" s="121"/>
      <c r="AC1043" s="121"/>
      <c r="AD1043" s="121"/>
      <c r="AE1043" s="121"/>
      <c r="AF1043" s="122"/>
      <c r="AG1043" s="122"/>
      <c r="AH1043" s="122"/>
      <c r="AI1043" s="123"/>
      <c r="AJ1043" s="89">
        <f t="shared" ref="AJ1043:AJ1045" si="1862">SUM(X1043:AI1043)</f>
        <v>0</v>
      </c>
      <c r="AK1043" s="90">
        <f t="shared" ref="AK1043:AK1045" si="1863">SUM(X1043:AF1043)</f>
        <v>0</v>
      </c>
    </row>
    <row r="1044" spans="1:38" ht="15.6" hidden="1" thickBot="1">
      <c r="A1044" s="91"/>
      <c r="B1044" s="100"/>
      <c r="C1044" s="92"/>
      <c r="D1044" s="93" t="s">
        <v>92</v>
      </c>
      <c r="E1044" s="94"/>
      <c r="F1044" s="97"/>
      <c r="G1044" s="97"/>
      <c r="H1044" s="97"/>
      <c r="I1044" s="97"/>
      <c r="J1044" s="97"/>
      <c r="K1044" s="97"/>
      <c r="L1044" s="97"/>
      <c r="M1044" s="98"/>
      <c r="N1044" s="98"/>
      <c r="O1044" s="98"/>
      <c r="P1044" s="99"/>
      <c r="Q1044" s="95">
        <f t="shared" si="1859"/>
        <v>0</v>
      </c>
      <c r="R1044" s="96">
        <f t="shared" si="1754"/>
        <v>0</v>
      </c>
      <c r="T1044" s="91"/>
      <c r="U1044" s="100"/>
      <c r="V1044" s="92">
        <f t="shared" si="1861"/>
        <v>0</v>
      </c>
      <c r="W1044" s="93" t="s">
        <v>92</v>
      </c>
      <c r="X1044" s="94"/>
      <c r="Y1044" s="97"/>
      <c r="Z1044" s="97"/>
      <c r="AA1044" s="97"/>
      <c r="AB1044" s="97"/>
      <c r="AC1044" s="97"/>
      <c r="AD1044" s="97"/>
      <c r="AE1044" s="97"/>
      <c r="AF1044" s="98"/>
      <c r="AG1044" s="98"/>
      <c r="AH1044" s="98"/>
      <c r="AI1044" s="99"/>
      <c r="AJ1044" s="95">
        <f t="shared" si="1862"/>
        <v>0</v>
      </c>
      <c r="AK1044" s="96">
        <f t="shared" si="1863"/>
        <v>0</v>
      </c>
    </row>
    <row r="1045" spans="1:38" ht="15.6" hidden="1" thickBot="1">
      <c r="A1045" s="91"/>
      <c r="B1045" s="100"/>
      <c r="C1045" s="92"/>
      <c r="D1045" s="101">
        <v>2020</v>
      </c>
      <c r="E1045" s="102"/>
      <c r="F1045" s="124"/>
      <c r="G1045" s="124"/>
      <c r="H1045" s="124"/>
      <c r="I1045" s="124"/>
      <c r="J1045" s="124"/>
      <c r="K1045" s="124"/>
      <c r="L1045" s="124"/>
      <c r="M1045" s="125"/>
      <c r="N1045" s="125"/>
      <c r="O1045" s="125"/>
      <c r="P1045" s="126"/>
      <c r="Q1045" s="103">
        <f t="shared" si="1859"/>
        <v>0</v>
      </c>
      <c r="R1045" s="104">
        <f t="shared" si="1754"/>
        <v>0</v>
      </c>
      <c r="S1045" s="105"/>
      <c r="T1045" s="91"/>
      <c r="U1045" s="100"/>
      <c r="V1045" s="92"/>
      <c r="W1045" s="101">
        <v>2020</v>
      </c>
      <c r="X1045" s="102"/>
      <c r="Y1045" s="124"/>
      <c r="Z1045" s="124"/>
      <c r="AA1045" s="124"/>
      <c r="AB1045" s="124"/>
      <c r="AC1045" s="124"/>
      <c r="AD1045" s="124"/>
      <c r="AE1045" s="124"/>
      <c r="AF1045" s="125"/>
      <c r="AG1045" s="125"/>
      <c r="AH1045" s="125"/>
      <c r="AI1045" s="126"/>
      <c r="AJ1045" s="103">
        <f t="shared" si="1862"/>
        <v>0</v>
      </c>
      <c r="AK1045" s="104">
        <f t="shared" si="1863"/>
        <v>0</v>
      </c>
      <c r="AL1045" s="105"/>
    </row>
    <row r="1046" spans="1:38" ht="15.6" hidden="1" thickBot="1">
      <c r="A1046" s="91"/>
      <c r="B1046" s="100"/>
      <c r="C1046" s="92"/>
      <c r="D1046" s="101" t="s">
        <v>102</v>
      </c>
      <c r="E1046" s="106" t="e">
        <f t="shared" ref="E1046:R1046" si="1864">E1045/E1044</f>
        <v>#DIV/0!</v>
      </c>
      <c r="F1046" s="106" t="e">
        <f t="shared" si="1864"/>
        <v>#DIV/0!</v>
      </c>
      <c r="G1046" s="106" t="e">
        <f t="shared" si="1864"/>
        <v>#DIV/0!</v>
      </c>
      <c r="H1046" s="106" t="e">
        <f t="shared" si="1864"/>
        <v>#DIV/0!</v>
      </c>
      <c r="I1046" s="106" t="e">
        <f t="shared" si="1864"/>
        <v>#DIV/0!</v>
      </c>
      <c r="J1046" s="106" t="e">
        <f t="shared" si="1864"/>
        <v>#DIV/0!</v>
      </c>
      <c r="K1046" s="106" t="e">
        <f t="shared" si="1864"/>
        <v>#DIV/0!</v>
      </c>
      <c r="L1046" s="106" t="e">
        <f t="shared" si="1864"/>
        <v>#DIV/0!</v>
      </c>
      <c r="M1046" s="107" t="e">
        <f t="shared" si="1864"/>
        <v>#DIV/0!</v>
      </c>
      <c r="N1046" s="107" t="e">
        <f t="shared" si="1864"/>
        <v>#DIV/0!</v>
      </c>
      <c r="O1046" s="107" t="e">
        <f t="shared" si="1864"/>
        <v>#DIV/0!</v>
      </c>
      <c r="P1046" s="108" t="e">
        <f t="shared" si="1864"/>
        <v>#DIV/0!</v>
      </c>
      <c r="Q1046" s="109" t="e">
        <f t="shared" si="1864"/>
        <v>#DIV/0!</v>
      </c>
      <c r="R1046" s="110" t="e">
        <f t="shared" si="1864"/>
        <v>#DIV/0!</v>
      </c>
      <c r="S1046" s="105"/>
      <c r="T1046" s="91"/>
      <c r="U1046" s="100"/>
      <c r="V1046" s="92"/>
      <c r="W1046" s="101" t="s">
        <v>102</v>
      </c>
      <c r="X1046" s="106" t="e">
        <f t="shared" ref="X1046:AK1046" si="1865">X1045/X1044</f>
        <v>#DIV/0!</v>
      </c>
      <c r="Y1046" s="106" t="e">
        <f t="shared" si="1865"/>
        <v>#DIV/0!</v>
      </c>
      <c r="Z1046" s="106" t="e">
        <f t="shared" si="1865"/>
        <v>#DIV/0!</v>
      </c>
      <c r="AA1046" s="106" t="e">
        <f t="shared" si="1865"/>
        <v>#DIV/0!</v>
      </c>
      <c r="AB1046" s="106" t="e">
        <f t="shared" si="1865"/>
        <v>#DIV/0!</v>
      </c>
      <c r="AC1046" s="106" t="e">
        <f t="shared" si="1865"/>
        <v>#DIV/0!</v>
      </c>
      <c r="AD1046" s="106" t="e">
        <f t="shared" si="1865"/>
        <v>#DIV/0!</v>
      </c>
      <c r="AE1046" s="106" t="e">
        <f t="shared" si="1865"/>
        <v>#DIV/0!</v>
      </c>
      <c r="AF1046" s="107" t="e">
        <f t="shared" si="1865"/>
        <v>#DIV/0!</v>
      </c>
      <c r="AG1046" s="107" t="e">
        <f t="shared" si="1865"/>
        <v>#DIV/0!</v>
      </c>
      <c r="AH1046" s="107" t="e">
        <f t="shared" si="1865"/>
        <v>#DIV/0!</v>
      </c>
      <c r="AI1046" s="108" t="e">
        <f t="shared" si="1865"/>
        <v>#DIV/0!</v>
      </c>
      <c r="AJ1046" s="109" t="e">
        <f t="shared" si="1865"/>
        <v>#DIV/0!</v>
      </c>
      <c r="AK1046" s="110" t="e">
        <f t="shared" si="1865"/>
        <v>#DIV/0!</v>
      </c>
      <c r="AL1046" s="105"/>
    </row>
    <row r="1047" spans="1:38" ht="15.6" hidden="1" thickBot="1">
      <c r="A1047" s="91"/>
      <c r="B1047" s="100"/>
      <c r="C1047" s="111"/>
      <c r="D1047" s="112" t="s">
        <v>103</v>
      </c>
      <c r="E1047" s="113" t="e">
        <f t="shared" ref="E1047:R1047" si="1866">E1045/E1043</f>
        <v>#DIV/0!</v>
      </c>
      <c r="F1047" s="113" t="e">
        <f t="shared" si="1866"/>
        <v>#DIV/0!</v>
      </c>
      <c r="G1047" s="113" t="e">
        <f t="shared" si="1866"/>
        <v>#DIV/0!</v>
      </c>
      <c r="H1047" s="113" t="e">
        <f t="shared" si="1866"/>
        <v>#DIV/0!</v>
      </c>
      <c r="I1047" s="113" t="e">
        <f t="shared" si="1866"/>
        <v>#DIV/0!</v>
      </c>
      <c r="J1047" s="113" t="e">
        <f t="shared" si="1866"/>
        <v>#DIV/0!</v>
      </c>
      <c r="K1047" s="113" t="e">
        <f t="shared" si="1866"/>
        <v>#DIV/0!</v>
      </c>
      <c r="L1047" s="113" t="e">
        <f t="shared" si="1866"/>
        <v>#DIV/0!</v>
      </c>
      <c r="M1047" s="113" t="e">
        <f t="shared" si="1866"/>
        <v>#DIV/0!</v>
      </c>
      <c r="N1047" s="113" t="e">
        <f t="shared" si="1866"/>
        <v>#DIV/0!</v>
      </c>
      <c r="O1047" s="113" t="e">
        <f t="shared" si="1866"/>
        <v>#DIV/0!</v>
      </c>
      <c r="P1047" s="114" t="e">
        <f t="shared" si="1866"/>
        <v>#DIV/0!</v>
      </c>
      <c r="Q1047" s="115" t="e">
        <f t="shared" si="1866"/>
        <v>#DIV/0!</v>
      </c>
      <c r="R1047" s="116" t="e">
        <f t="shared" si="1866"/>
        <v>#DIV/0!</v>
      </c>
      <c r="T1047" s="91"/>
      <c r="U1047" s="100"/>
      <c r="V1047" s="111"/>
      <c r="W1047" s="112" t="s">
        <v>103</v>
      </c>
      <c r="X1047" s="113" t="e">
        <f t="shared" ref="X1047:AK1047" si="1867">X1045/X1043</f>
        <v>#DIV/0!</v>
      </c>
      <c r="Y1047" s="113" t="e">
        <f t="shared" si="1867"/>
        <v>#DIV/0!</v>
      </c>
      <c r="Z1047" s="113" t="e">
        <f t="shared" si="1867"/>
        <v>#DIV/0!</v>
      </c>
      <c r="AA1047" s="113" t="e">
        <f t="shared" si="1867"/>
        <v>#DIV/0!</v>
      </c>
      <c r="AB1047" s="113" t="e">
        <f t="shared" si="1867"/>
        <v>#DIV/0!</v>
      </c>
      <c r="AC1047" s="113" t="e">
        <f t="shared" si="1867"/>
        <v>#DIV/0!</v>
      </c>
      <c r="AD1047" s="113" t="e">
        <f t="shared" si="1867"/>
        <v>#DIV/0!</v>
      </c>
      <c r="AE1047" s="113" t="e">
        <f t="shared" si="1867"/>
        <v>#DIV/0!</v>
      </c>
      <c r="AF1047" s="113" t="e">
        <f t="shared" si="1867"/>
        <v>#DIV/0!</v>
      </c>
      <c r="AG1047" s="113" t="e">
        <f t="shared" si="1867"/>
        <v>#DIV/0!</v>
      </c>
      <c r="AH1047" s="113" t="e">
        <f t="shared" si="1867"/>
        <v>#DIV/0!</v>
      </c>
      <c r="AI1047" s="114" t="e">
        <f t="shared" si="1867"/>
        <v>#DIV/0!</v>
      </c>
      <c r="AJ1047" s="115" t="e">
        <f t="shared" si="1867"/>
        <v>#DIV/0!</v>
      </c>
      <c r="AK1047" s="116" t="e">
        <f t="shared" si="1867"/>
        <v>#DIV/0!</v>
      </c>
    </row>
    <row r="1048" spans="1:38" ht="15.6" hidden="1" thickBot="1">
      <c r="A1048" s="91"/>
      <c r="B1048" s="100"/>
      <c r="C1048" s="86" t="s">
        <v>116</v>
      </c>
      <c r="D1048" s="87">
        <v>2019</v>
      </c>
      <c r="E1048" s="88"/>
      <c r="F1048" s="121"/>
      <c r="G1048" s="121"/>
      <c r="H1048" s="121"/>
      <c r="I1048" s="121"/>
      <c r="J1048" s="121"/>
      <c r="K1048" s="121"/>
      <c r="L1048" s="121"/>
      <c r="M1048" s="122"/>
      <c r="N1048" s="122"/>
      <c r="O1048" s="122"/>
      <c r="P1048" s="123"/>
      <c r="Q1048" s="89">
        <f t="shared" ref="Q1048:Q1050" si="1868">SUM(E1048:P1048)</f>
        <v>0</v>
      </c>
      <c r="R1048" s="90">
        <f t="shared" ref="R1048:R1110" si="1869">SUM(E1048:M1048)</f>
        <v>0</v>
      </c>
      <c r="T1048" s="91"/>
      <c r="U1048" s="100"/>
      <c r="V1048" s="86" t="str">
        <f t="shared" ref="V1048:V1049" si="1870">C1048</f>
        <v>その他</v>
      </c>
      <c r="W1048" s="87">
        <v>2019</v>
      </c>
      <c r="X1048" s="88"/>
      <c r="Y1048" s="121"/>
      <c r="Z1048" s="121"/>
      <c r="AA1048" s="121"/>
      <c r="AB1048" s="121"/>
      <c r="AC1048" s="121"/>
      <c r="AD1048" s="121"/>
      <c r="AE1048" s="121"/>
      <c r="AF1048" s="122"/>
      <c r="AG1048" s="122"/>
      <c r="AH1048" s="122"/>
      <c r="AI1048" s="123"/>
      <c r="AJ1048" s="89">
        <f t="shared" ref="AJ1048:AJ1050" si="1871">SUM(X1048:AI1048)</f>
        <v>0</v>
      </c>
      <c r="AK1048" s="90">
        <f t="shared" ref="AK1048:AK1050" si="1872">SUM(X1048:AF1048)</f>
        <v>0</v>
      </c>
    </row>
    <row r="1049" spans="1:38" ht="15.6" hidden="1" thickBot="1">
      <c r="A1049" s="91"/>
      <c r="B1049" s="100"/>
      <c r="C1049" s="92" t="s">
        <v>129</v>
      </c>
      <c r="D1049" s="93" t="s">
        <v>92</v>
      </c>
      <c r="E1049" s="94"/>
      <c r="F1049" s="97"/>
      <c r="G1049" s="97"/>
      <c r="H1049" s="97"/>
      <c r="I1049" s="97"/>
      <c r="J1049" s="97"/>
      <c r="K1049" s="97"/>
      <c r="L1049" s="97"/>
      <c r="M1049" s="98"/>
      <c r="N1049" s="98"/>
      <c r="O1049" s="98"/>
      <c r="P1049" s="99"/>
      <c r="Q1049" s="95">
        <f t="shared" si="1868"/>
        <v>0</v>
      </c>
      <c r="R1049" s="96">
        <f t="shared" si="1869"/>
        <v>0</v>
      </c>
      <c r="T1049" s="91"/>
      <c r="U1049" s="100"/>
      <c r="V1049" s="92" t="str">
        <f t="shared" si="1870"/>
        <v>Others</v>
      </c>
      <c r="W1049" s="93" t="s">
        <v>92</v>
      </c>
      <c r="X1049" s="94"/>
      <c r="Y1049" s="97"/>
      <c r="Z1049" s="97"/>
      <c r="AA1049" s="97"/>
      <c r="AB1049" s="97"/>
      <c r="AC1049" s="97"/>
      <c r="AD1049" s="97"/>
      <c r="AE1049" s="97"/>
      <c r="AF1049" s="98"/>
      <c r="AG1049" s="98"/>
      <c r="AH1049" s="98"/>
      <c r="AI1049" s="99"/>
      <c r="AJ1049" s="95">
        <f t="shared" si="1871"/>
        <v>0</v>
      </c>
      <c r="AK1049" s="96">
        <f t="shared" si="1872"/>
        <v>0</v>
      </c>
    </row>
    <row r="1050" spans="1:38" ht="15.6" hidden="1" thickBot="1">
      <c r="A1050" s="91"/>
      <c r="B1050" s="100"/>
      <c r="C1050" s="92"/>
      <c r="D1050" s="101">
        <v>2020</v>
      </c>
      <c r="E1050" s="102"/>
      <c r="F1050" s="124"/>
      <c r="G1050" s="124"/>
      <c r="H1050" s="124"/>
      <c r="I1050" s="124"/>
      <c r="J1050" s="124"/>
      <c r="K1050" s="124"/>
      <c r="L1050" s="124"/>
      <c r="M1050" s="125"/>
      <c r="N1050" s="125"/>
      <c r="O1050" s="125"/>
      <c r="P1050" s="126"/>
      <c r="Q1050" s="103">
        <f t="shared" si="1868"/>
        <v>0</v>
      </c>
      <c r="R1050" s="104">
        <f t="shared" si="1869"/>
        <v>0</v>
      </c>
      <c r="S1050" s="105"/>
      <c r="T1050" s="91"/>
      <c r="U1050" s="100"/>
      <c r="V1050" s="92"/>
      <c r="W1050" s="101">
        <v>2020</v>
      </c>
      <c r="X1050" s="102"/>
      <c r="Y1050" s="124"/>
      <c r="Z1050" s="124"/>
      <c r="AA1050" s="124"/>
      <c r="AB1050" s="124"/>
      <c r="AC1050" s="124"/>
      <c r="AD1050" s="124"/>
      <c r="AE1050" s="124"/>
      <c r="AF1050" s="125"/>
      <c r="AG1050" s="125"/>
      <c r="AH1050" s="125"/>
      <c r="AI1050" s="126"/>
      <c r="AJ1050" s="103">
        <f t="shared" si="1871"/>
        <v>0</v>
      </c>
      <c r="AK1050" s="104">
        <f t="shared" si="1872"/>
        <v>0</v>
      </c>
      <c r="AL1050" s="105"/>
    </row>
    <row r="1051" spans="1:38" ht="15.6" hidden="1" thickBot="1">
      <c r="A1051" s="91"/>
      <c r="B1051" s="100"/>
      <c r="C1051" s="92"/>
      <c r="D1051" s="101" t="s">
        <v>102</v>
      </c>
      <c r="E1051" s="106" t="e">
        <f t="shared" ref="E1051:R1051" si="1873">E1050/E1049</f>
        <v>#DIV/0!</v>
      </c>
      <c r="F1051" s="106" t="e">
        <f t="shared" si="1873"/>
        <v>#DIV/0!</v>
      </c>
      <c r="G1051" s="106" t="e">
        <f t="shared" si="1873"/>
        <v>#DIV/0!</v>
      </c>
      <c r="H1051" s="106" t="e">
        <f t="shared" si="1873"/>
        <v>#DIV/0!</v>
      </c>
      <c r="I1051" s="106" t="e">
        <f t="shared" si="1873"/>
        <v>#DIV/0!</v>
      </c>
      <c r="J1051" s="106" t="e">
        <f t="shared" si="1873"/>
        <v>#DIV/0!</v>
      </c>
      <c r="K1051" s="106" t="e">
        <f t="shared" si="1873"/>
        <v>#DIV/0!</v>
      </c>
      <c r="L1051" s="106" t="e">
        <f t="shared" si="1873"/>
        <v>#DIV/0!</v>
      </c>
      <c r="M1051" s="107" t="e">
        <f t="shared" si="1873"/>
        <v>#DIV/0!</v>
      </c>
      <c r="N1051" s="107" t="e">
        <f t="shared" si="1873"/>
        <v>#DIV/0!</v>
      </c>
      <c r="O1051" s="107" t="e">
        <f t="shared" si="1873"/>
        <v>#DIV/0!</v>
      </c>
      <c r="P1051" s="108" t="e">
        <f t="shared" si="1873"/>
        <v>#DIV/0!</v>
      </c>
      <c r="Q1051" s="109" t="e">
        <f t="shared" si="1873"/>
        <v>#DIV/0!</v>
      </c>
      <c r="R1051" s="110" t="e">
        <f t="shared" si="1873"/>
        <v>#DIV/0!</v>
      </c>
      <c r="S1051" s="105"/>
      <c r="T1051" s="91"/>
      <c r="U1051" s="100"/>
      <c r="V1051" s="92"/>
      <c r="W1051" s="101" t="s">
        <v>102</v>
      </c>
      <c r="X1051" s="106" t="e">
        <f t="shared" ref="X1051:AK1051" si="1874">X1050/X1049</f>
        <v>#DIV/0!</v>
      </c>
      <c r="Y1051" s="106" t="e">
        <f t="shared" si="1874"/>
        <v>#DIV/0!</v>
      </c>
      <c r="Z1051" s="106" t="e">
        <f t="shared" si="1874"/>
        <v>#DIV/0!</v>
      </c>
      <c r="AA1051" s="106" t="e">
        <f t="shared" si="1874"/>
        <v>#DIV/0!</v>
      </c>
      <c r="AB1051" s="106" t="e">
        <f t="shared" si="1874"/>
        <v>#DIV/0!</v>
      </c>
      <c r="AC1051" s="106" t="e">
        <f t="shared" si="1874"/>
        <v>#DIV/0!</v>
      </c>
      <c r="AD1051" s="106" t="e">
        <f t="shared" si="1874"/>
        <v>#DIV/0!</v>
      </c>
      <c r="AE1051" s="106" t="e">
        <f t="shared" si="1874"/>
        <v>#DIV/0!</v>
      </c>
      <c r="AF1051" s="107" t="e">
        <f t="shared" si="1874"/>
        <v>#DIV/0!</v>
      </c>
      <c r="AG1051" s="107" t="e">
        <f t="shared" si="1874"/>
        <v>#DIV/0!</v>
      </c>
      <c r="AH1051" s="107" t="e">
        <f t="shared" si="1874"/>
        <v>#DIV/0!</v>
      </c>
      <c r="AI1051" s="108" t="e">
        <f t="shared" si="1874"/>
        <v>#DIV/0!</v>
      </c>
      <c r="AJ1051" s="109" t="e">
        <f t="shared" si="1874"/>
        <v>#DIV/0!</v>
      </c>
      <c r="AK1051" s="110" t="e">
        <f t="shared" si="1874"/>
        <v>#DIV/0!</v>
      </c>
      <c r="AL1051" s="105"/>
    </row>
    <row r="1052" spans="1:38" ht="15.6" hidden="1" thickBot="1">
      <c r="A1052" s="91"/>
      <c r="B1052" s="100"/>
      <c r="C1052" s="111"/>
      <c r="D1052" s="112" t="s">
        <v>103</v>
      </c>
      <c r="E1052" s="113" t="e">
        <f t="shared" ref="E1052:R1052" si="1875">E1050/E1048</f>
        <v>#DIV/0!</v>
      </c>
      <c r="F1052" s="113" t="e">
        <f t="shared" si="1875"/>
        <v>#DIV/0!</v>
      </c>
      <c r="G1052" s="113" t="e">
        <f t="shared" si="1875"/>
        <v>#DIV/0!</v>
      </c>
      <c r="H1052" s="113" t="e">
        <f t="shared" si="1875"/>
        <v>#DIV/0!</v>
      </c>
      <c r="I1052" s="113" t="e">
        <f t="shared" si="1875"/>
        <v>#DIV/0!</v>
      </c>
      <c r="J1052" s="113" t="e">
        <f t="shared" si="1875"/>
        <v>#DIV/0!</v>
      </c>
      <c r="K1052" s="113" t="e">
        <f t="shared" si="1875"/>
        <v>#DIV/0!</v>
      </c>
      <c r="L1052" s="113" t="e">
        <f t="shared" si="1875"/>
        <v>#DIV/0!</v>
      </c>
      <c r="M1052" s="113" t="e">
        <f t="shared" si="1875"/>
        <v>#DIV/0!</v>
      </c>
      <c r="N1052" s="113" t="e">
        <f t="shared" si="1875"/>
        <v>#DIV/0!</v>
      </c>
      <c r="O1052" s="113" t="e">
        <f t="shared" si="1875"/>
        <v>#DIV/0!</v>
      </c>
      <c r="P1052" s="114" t="e">
        <f t="shared" si="1875"/>
        <v>#DIV/0!</v>
      </c>
      <c r="Q1052" s="115" t="e">
        <f t="shared" si="1875"/>
        <v>#DIV/0!</v>
      </c>
      <c r="R1052" s="116" t="e">
        <f t="shared" si="1875"/>
        <v>#DIV/0!</v>
      </c>
      <c r="T1052" s="91"/>
      <c r="U1052" s="100"/>
      <c r="V1052" s="111"/>
      <c r="W1052" s="112" t="s">
        <v>103</v>
      </c>
      <c r="X1052" s="113" t="e">
        <f t="shared" ref="X1052:AK1052" si="1876">X1050/X1048</f>
        <v>#DIV/0!</v>
      </c>
      <c r="Y1052" s="113" t="e">
        <f t="shared" si="1876"/>
        <v>#DIV/0!</v>
      </c>
      <c r="Z1052" s="113" t="e">
        <f t="shared" si="1876"/>
        <v>#DIV/0!</v>
      </c>
      <c r="AA1052" s="113" t="e">
        <f t="shared" si="1876"/>
        <v>#DIV/0!</v>
      </c>
      <c r="AB1052" s="113" t="e">
        <f t="shared" si="1876"/>
        <v>#DIV/0!</v>
      </c>
      <c r="AC1052" s="113" t="e">
        <f t="shared" si="1876"/>
        <v>#DIV/0!</v>
      </c>
      <c r="AD1052" s="113" t="e">
        <f t="shared" si="1876"/>
        <v>#DIV/0!</v>
      </c>
      <c r="AE1052" s="113" t="e">
        <f t="shared" si="1876"/>
        <v>#DIV/0!</v>
      </c>
      <c r="AF1052" s="113" t="e">
        <f t="shared" si="1876"/>
        <v>#DIV/0!</v>
      </c>
      <c r="AG1052" s="113" t="e">
        <f t="shared" si="1876"/>
        <v>#DIV/0!</v>
      </c>
      <c r="AH1052" s="113" t="e">
        <f t="shared" si="1876"/>
        <v>#DIV/0!</v>
      </c>
      <c r="AI1052" s="114" t="e">
        <f t="shared" si="1876"/>
        <v>#DIV/0!</v>
      </c>
      <c r="AJ1052" s="115" t="e">
        <f t="shared" si="1876"/>
        <v>#DIV/0!</v>
      </c>
      <c r="AK1052" s="116" t="e">
        <f t="shared" si="1876"/>
        <v>#DIV/0!</v>
      </c>
    </row>
    <row r="1053" spans="1:38" ht="15.6" hidden="1" thickBot="1">
      <c r="A1053" s="91"/>
      <c r="B1053" s="303" t="s">
        <v>166</v>
      </c>
      <c r="C1053" s="304"/>
      <c r="D1053" s="127">
        <v>2019</v>
      </c>
      <c r="E1053" s="128">
        <f>SUM(E1048,E1043,E1038,E1033,E1028,E1023,E1018,E1013,E1008,E1003,E998,E993,E988,E983)</f>
        <v>0</v>
      </c>
      <c r="F1053" s="129">
        <f t="shared" ref="F1053:P1053" si="1877">SUM(F1048,F1043,F1038,F1033,F1028,F1023,F1018,F1013,F1008,F1003,F998,F993,F988,F983)</f>
        <v>0</v>
      </c>
      <c r="G1053" s="129">
        <f t="shared" si="1877"/>
        <v>0</v>
      </c>
      <c r="H1053" s="129">
        <f t="shared" si="1877"/>
        <v>0</v>
      </c>
      <c r="I1053" s="129">
        <f t="shared" si="1877"/>
        <v>0</v>
      </c>
      <c r="J1053" s="129">
        <f t="shared" si="1877"/>
        <v>0</v>
      </c>
      <c r="K1053" s="129">
        <f t="shared" si="1877"/>
        <v>0</v>
      </c>
      <c r="L1053" s="129">
        <f t="shared" si="1877"/>
        <v>0</v>
      </c>
      <c r="M1053" s="129">
        <f t="shared" si="1877"/>
        <v>0</v>
      </c>
      <c r="N1053" s="129">
        <f t="shared" si="1877"/>
        <v>0</v>
      </c>
      <c r="O1053" s="129">
        <f t="shared" si="1877"/>
        <v>0</v>
      </c>
      <c r="P1053" s="130">
        <f t="shared" si="1877"/>
        <v>0</v>
      </c>
      <c r="Q1053" s="131">
        <f>SUM(E1053:P1053)</f>
        <v>0</v>
      </c>
      <c r="R1053" s="90">
        <f t="shared" ref="R1053" si="1878">SUM(E1053:M1053)</f>
        <v>0</v>
      </c>
      <c r="T1053" s="91"/>
      <c r="U1053" s="309" t="s">
        <v>166</v>
      </c>
      <c r="V1053" s="310"/>
      <c r="W1053" s="132">
        <v>2019</v>
      </c>
      <c r="X1053" s="133">
        <f>SUM(X1048,X1043,X1038,X1033,X1028,X1023,X1018,X1013,X1008,X1003,X998,X993,X988,X983)</f>
        <v>0</v>
      </c>
      <c r="Y1053" s="134">
        <f t="shared" ref="Y1053:AI1053" si="1879">SUM(Y1048,Y1043,Y1038,Y1033,Y1028,Y1023,Y1018,Y1013,Y1008,Y1003,Y998,Y993,Y988,Y983)</f>
        <v>0</v>
      </c>
      <c r="Z1053" s="134">
        <f t="shared" si="1879"/>
        <v>0</v>
      </c>
      <c r="AA1053" s="134">
        <f t="shared" si="1879"/>
        <v>0</v>
      </c>
      <c r="AB1053" s="134">
        <f t="shared" si="1879"/>
        <v>0</v>
      </c>
      <c r="AC1053" s="134">
        <f t="shared" si="1879"/>
        <v>0</v>
      </c>
      <c r="AD1053" s="134">
        <f t="shared" si="1879"/>
        <v>0</v>
      </c>
      <c r="AE1053" s="134">
        <f t="shared" si="1879"/>
        <v>0</v>
      </c>
      <c r="AF1053" s="134">
        <f t="shared" si="1879"/>
        <v>0</v>
      </c>
      <c r="AG1053" s="134">
        <f t="shared" si="1879"/>
        <v>0</v>
      </c>
      <c r="AH1053" s="134">
        <f t="shared" si="1879"/>
        <v>0</v>
      </c>
      <c r="AI1053" s="135">
        <f t="shared" si="1879"/>
        <v>0</v>
      </c>
      <c r="AJ1053" s="136">
        <f>SUM(X1053:AI1053)</f>
        <v>0</v>
      </c>
      <c r="AK1053" s="90">
        <f t="shared" ref="AK1053:AK1055" si="1880">SUM(X1053:AF1053)</f>
        <v>0</v>
      </c>
    </row>
    <row r="1054" spans="1:38" ht="15.6" hidden="1" thickBot="1">
      <c r="A1054" s="91"/>
      <c r="B1054" s="305"/>
      <c r="C1054" s="306"/>
      <c r="D1054" s="137" t="s">
        <v>92</v>
      </c>
      <c r="E1054" s="138">
        <f t="shared" ref="E1054:P1055" si="1881">SUM(E1049,E1044,E1039,E1034,E1029,E1024,E1019,E1014,E1009,E1004,E999,E994,E989,E984)</f>
        <v>0</v>
      </c>
      <c r="F1054" s="138">
        <f t="shared" si="1881"/>
        <v>0</v>
      </c>
      <c r="G1054" s="138">
        <f t="shared" si="1881"/>
        <v>0</v>
      </c>
      <c r="H1054" s="138">
        <f t="shared" si="1881"/>
        <v>0</v>
      </c>
      <c r="I1054" s="138">
        <f t="shared" si="1881"/>
        <v>0</v>
      </c>
      <c r="J1054" s="138">
        <f t="shared" si="1881"/>
        <v>0</v>
      </c>
      <c r="K1054" s="138">
        <f t="shared" si="1881"/>
        <v>0</v>
      </c>
      <c r="L1054" s="138">
        <f t="shared" si="1881"/>
        <v>0</v>
      </c>
      <c r="M1054" s="138">
        <f t="shared" si="1881"/>
        <v>0</v>
      </c>
      <c r="N1054" s="138">
        <f t="shared" si="1881"/>
        <v>0</v>
      </c>
      <c r="O1054" s="138">
        <f t="shared" si="1881"/>
        <v>0</v>
      </c>
      <c r="P1054" s="138">
        <f t="shared" si="1881"/>
        <v>0</v>
      </c>
      <c r="Q1054" s="139">
        <f t="shared" ref="Q1054:Q1055" si="1882">SUM(E1054:P1054)</f>
        <v>0</v>
      </c>
      <c r="R1054" s="96">
        <f t="shared" si="1869"/>
        <v>0</v>
      </c>
      <c r="T1054" s="91"/>
      <c r="U1054" s="311"/>
      <c r="V1054" s="312"/>
      <c r="W1054" s="140" t="s">
        <v>92</v>
      </c>
      <c r="X1054" s="141">
        <f t="shared" ref="X1054:AI1055" si="1883">SUM(X1049,X1044,X1039,X1034,X1029,X1024,X1019,X1014,X1009,X1004,X999,X994,X989,X984)</f>
        <v>0</v>
      </c>
      <c r="Y1054" s="141">
        <f t="shared" si="1883"/>
        <v>0</v>
      </c>
      <c r="Z1054" s="141">
        <f t="shared" si="1883"/>
        <v>0</v>
      </c>
      <c r="AA1054" s="141">
        <f t="shared" si="1883"/>
        <v>0</v>
      </c>
      <c r="AB1054" s="141">
        <f t="shared" si="1883"/>
        <v>0</v>
      </c>
      <c r="AC1054" s="141">
        <f t="shared" si="1883"/>
        <v>0</v>
      </c>
      <c r="AD1054" s="141">
        <f t="shared" si="1883"/>
        <v>0</v>
      </c>
      <c r="AE1054" s="141">
        <f t="shared" si="1883"/>
        <v>0</v>
      </c>
      <c r="AF1054" s="141">
        <f t="shared" si="1883"/>
        <v>0</v>
      </c>
      <c r="AG1054" s="141">
        <f t="shared" si="1883"/>
        <v>0</v>
      </c>
      <c r="AH1054" s="141">
        <f t="shared" si="1883"/>
        <v>0</v>
      </c>
      <c r="AI1054" s="141">
        <f t="shared" si="1883"/>
        <v>0</v>
      </c>
      <c r="AJ1054" s="142">
        <f t="shared" ref="AJ1054:AJ1055" si="1884">SUM(X1054:AI1054)</f>
        <v>0</v>
      </c>
      <c r="AK1054" s="96">
        <f t="shared" si="1880"/>
        <v>0</v>
      </c>
    </row>
    <row r="1055" spans="1:38" ht="15.6" hidden="1" thickBot="1">
      <c r="A1055" s="91"/>
      <c r="B1055" s="305"/>
      <c r="C1055" s="306"/>
      <c r="D1055" s="143">
        <v>2020</v>
      </c>
      <c r="E1055" s="144">
        <f>SUM(E1050,E1045,E1040,E1035,E1030,E1025,E1020,E1015,E1010,E1005,E1000,E995,E990,E985)</f>
        <v>0</v>
      </c>
      <c r="F1055" s="144">
        <f t="shared" si="1881"/>
        <v>0</v>
      </c>
      <c r="G1055" s="144">
        <f t="shared" si="1881"/>
        <v>0</v>
      </c>
      <c r="H1055" s="144">
        <f t="shared" si="1881"/>
        <v>0</v>
      </c>
      <c r="I1055" s="144">
        <f t="shared" si="1881"/>
        <v>0</v>
      </c>
      <c r="J1055" s="144">
        <f t="shared" si="1881"/>
        <v>0</v>
      </c>
      <c r="K1055" s="144">
        <f t="shared" si="1881"/>
        <v>0</v>
      </c>
      <c r="L1055" s="144">
        <f t="shared" si="1881"/>
        <v>0</v>
      </c>
      <c r="M1055" s="144">
        <f t="shared" si="1881"/>
        <v>0</v>
      </c>
      <c r="N1055" s="144">
        <f t="shared" si="1881"/>
        <v>0</v>
      </c>
      <c r="O1055" s="144">
        <f t="shared" si="1881"/>
        <v>0</v>
      </c>
      <c r="P1055" s="144">
        <f t="shared" si="1881"/>
        <v>0</v>
      </c>
      <c r="Q1055" s="145">
        <f t="shared" si="1882"/>
        <v>0</v>
      </c>
      <c r="R1055" s="104">
        <f t="shared" si="1869"/>
        <v>0</v>
      </c>
      <c r="S1055" s="105"/>
      <c r="T1055" s="91"/>
      <c r="U1055" s="311"/>
      <c r="V1055" s="312"/>
      <c r="W1055" s="146">
        <v>2020</v>
      </c>
      <c r="X1055" s="147">
        <f>SUM(X1050,X1045,X1040,X1035,X1030,X1025,X1020,X1015,X1010,X1005,X1000,X995,X990,X985)</f>
        <v>0</v>
      </c>
      <c r="Y1055" s="147">
        <f t="shared" si="1883"/>
        <v>0</v>
      </c>
      <c r="Z1055" s="147">
        <f t="shared" si="1883"/>
        <v>0</v>
      </c>
      <c r="AA1055" s="147">
        <f t="shared" si="1883"/>
        <v>0</v>
      </c>
      <c r="AB1055" s="147">
        <f t="shared" si="1883"/>
        <v>0</v>
      </c>
      <c r="AC1055" s="147">
        <f t="shared" si="1883"/>
        <v>0</v>
      </c>
      <c r="AD1055" s="147">
        <f t="shared" si="1883"/>
        <v>0</v>
      </c>
      <c r="AE1055" s="147">
        <f t="shared" si="1883"/>
        <v>0</v>
      </c>
      <c r="AF1055" s="147">
        <f t="shared" si="1883"/>
        <v>0</v>
      </c>
      <c r="AG1055" s="147">
        <f t="shared" si="1883"/>
        <v>0</v>
      </c>
      <c r="AH1055" s="147">
        <f t="shared" si="1883"/>
        <v>0</v>
      </c>
      <c r="AI1055" s="147">
        <f t="shared" si="1883"/>
        <v>0</v>
      </c>
      <c r="AJ1055" s="148">
        <f t="shared" si="1884"/>
        <v>0</v>
      </c>
      <c r="AK1055" s="104">
        <f t="shared" si="1880"/>
        <v>0</v>
      </c>
      <c r="AL1055" s="105"/>
    </row>
    <row r="1056" spans="1:38" ht="15.6" hidden="1" thickBot="1">
      <c r="A1056" s="91"/>
      <c r="B1056" s="305"/>
      <c r="C1056" s="306"/>
      <c r="D1056" s="143" t="s">
        <v>102</v>
      </c>
      <c r="E1056" s="149" t="e">
        <f t="shared" ref="E1056:R1056" si="1885">E1055/E1054</f>
        <v>#DIV/0!</v>
      </c>
      <c r="F1056" s="149" t="e">
        <f t="shared" si="1885"/>
        <v>#DIV/0!</v>
      </c>
      <c r="G1056" s="149" t="e">
        <f t="shared" si="1885"/>
        <v>#DIV/0!</v>
      </c>
      <c r="H1056" s="149" t="e">
        <f t="shared" si="1885"/>
        <v>#DIV/0!</v>
      </c>
      <c r="I1056" s="149" t="e">
        <f t="shared" si="1885"/>
        <v>#DIV/0!</v>
      </c>
      <c r="J1056" s="149" t="e">
        <f t="shared" si="1885"/>
        <v>#DIV/0!</v>
      </c>
      <c r="K1056" s="149" t="e">
        <f t="shared" si="1885"/>
        <v>#DIV/0!</v>
      </c>
      <c r="L1056" s="149" t="e">
        <f t="shared" si="1885"/>
        <v>#DIV/0!</v>
      </c>
      <c r="M1056" s="149" t="e">
        <f t="shared" si="1885"/>
        <v>#DIV/0!</v>
      </c>
      <c r="N1056" s="149" t="e">
        <f t="shared" si="1885"/>
        <v>#DIV/0!</v>
      </c>
      <c r="O1056" s="149" t="e">
        <f t="shared" si="1885"/>
        <v>#DIV/0!</v>
      </c>
      <c r="P1056" s="150" t="e">
        <f t="shared" si="1885"/>
        <v>#DIV/0!</v>
      </c>
      <c r="Q1056" s="151" t="e">
        <f t="shared" si="1885"/>
        <v>#DIV/0!</v>
      </c>
      <c r="R1056" s="104" t="e">
        <f t="shared" si="1885"/>
        <v>#DIV/0!</v>
      </c>
      <c r="S1056" s="105"/>
      <c r="T1056" s="91"/>
      <c r="U1056" s="311"/>
      <c r="V1056" s="312"/>
      <c r="W1056" s="146" t="s">
        <v>102</v>
      </c>
      <c r="X1056" s="152" t="e">
        <f t="shared" ref="X1056:AK1056" si="1886">X1055/X1054</f>
        <v>#DIV/0!</v>
      </c>
      <c r="Y1056" s="152" t="e">
        <f t="shared" si="1886"/>
        <v>#DIV/0!</v>
      </c>
      <c r="Z1056" s="152" t="e">
        <f t="shared" si="1886"/>
        <v>#DIV/0!</v>
      </c>
      <c r="AA1056" s="152" t="e">
        <f t="shared" si="1886"/>
        <v>#DIV/0!</v>
      </c>
      <c r="AB1056" s="152" t="e">
        <f t="shared" si="1886"/>
        <v>#DIV/0!</v>
      </c>
      <c r="AC1056" s="152" t="e">
        <f t="shared" si="1886"/>
        <v>#DIV/0!</v>
      </c>
      <c r="AD1056" s="152" t="e">
        <f t="shared" si="1886"/>
        <v>#DIV/0!</v>
      </c>
      <c r="AE1056" s="152" t="e">
        <f t="shared" si="1886"/>
        <v>#DIV/0!</v>
      </c>
      <c r="AF1056" s="152" t="e">
        <f t="shared" si="1886"/>
        <v>#DIV/0!</v>
      </c>
      <c r="AG1056" s="152" t="e">
        <f t="shared" si="1886"/>
        <v>#DIV/0!</v>
      </c>
      <c r="AH1056" s="152" t="e">
        <f t="shared" si="1886"/>
        <v>#DIV/0!</v>
      </c>
      <c r="AI1056" s="153" t="e">
        <f t="shared" si="1886"/>
        <v>#DIV/0!</v>
      </c>
      <c r="AJ1056" s="154" t="e">
        <f t="shared" si="1886"/>
        <v>#DIV/0!</v>
      </c>
      <c r="AK1056" s="104" t="e">
        <f t="shared" si="1886"/>
        <v>#DIV/0!</v>
      </c>
      <c r="AL1056" s="105"/>
    </row>
    <row r="1057" spans="1:38" ht="15.6" hidden="1" thickBot="1">
      <c r="A1057" s="155"/>
      <c r="B1057" s="307"/>
      <c r="C1057" s="308"/>
      <c r="D1057" s="156" t="s">
        <v>103</v>
      </c>
      <c r="E1057" s="165" t="e">
        <f t="shared" ref="E1057:R1057" si="1887">E1055/E1053</f>
        <v>#DIV/0!</v>
      </c>
      <c r="F1057" s="165" t="e">
        <f t="shared" si="1887"/>
        <v>#DIV/0!</v>
      </c>
      <c r="G1057" s="165" t="e">
        <f t="shared" si="1887"/>
        <v>#DIV/0!</v>
      </c>
      <c r="H1057" s="165" t="e">
        <f t="shared" si="1887"/>
        <v>#DIV/0!</v>
      </c>
      <c r="I1057" s="165" t="e">
        <f t="shared" si="1887"/>
        <v>#DIV/0!</v>
      </c>
      <c r="J1057" s="165" t="e">
        <f t="shared" si="1887"/>
        <v>#DIV/0!</v>
      </c>
      <c r="K1057" s="165" t="e">
        <f t="shared" si="1887"/>
        <v>#DIV/0!</v>
      </c>
      <c r="L1057" s="165" t="e">
        <f t="shared" si="1887"/>
        <v>#DIV/0!</v>
      </c>
      <c r="M1057" s="165" t="e">
        <f t="shared" si="1887"/>
        <v>#DIV/0!</v>
      </c>
      <c r="N1057" s="165" t="e">
        <f t="shared" si="1887"/>
        <v>#DIV/0!</v>
      </c>
      <c r="O1057" s="165" t="e">
        <f t="shared" si="1887"/>
        <v>#DIV/0!</v>
      </c>
      <c r="P1057" s="166" t="e">
        <f t="shared" si="1887"/>
        <v>#DIV/0!</v>
      </c>
      <c r="Q1057" s="167" t="e">
        <f t="shared" si="1887"/>
        <v>#DIV/0!</v>
      </c>
      <c r="R1057" s="168" t="e">
        <f t="shared" si="1887"/>
        <v>#DIV/0!</v>
      </c>
      <c r="T1057" s="155"/>
      <c r="U1057" s="313"/>
      <c r="V1057" s="314"/>
      <c r="W1057" s="160" t="s">
        <v>103</v>
      </c>
      <c r="X1057" s="169" t="e">
        <f t="shared" ref="X1057:AK1057" si="1888">X1055/X1053</f>
        <v>#DIV/0!</v>
      </c>
      <c r="Y1057" s="169" t="e">
        <f t="shared" si="1888"/>
        <v>#DIV/0!</v>
      </c>
      <c r="Z1057" s="169" t="e">
        <f t="shared" si="1888"/>
        <v>#DIV/0!</v>
      </c>
      <c r="AA1057" s="169" t="e">
        <f t="shared" si="1888"/>
        <v>#DIV/0!</v>
      </c>
      <c r="AB1057" s="169" t="e">
        <f t="shared" si="1888"/>
        <v>#DIV/0!</v>
      </c>
      <c r="AC1057" s="169" t="e">
        <f t="shared" si="1888"/>
        <v>#DIV/0!</v>
      </c>
      <c r="AD1057" s="169" t="e">
        <f t="shared" si="1888"/>
        <v>#DIV/0!</v>
      </c>
      <c r="AE1057" s="169" t="e">
        <f t="shared" si="1888"/>
        <v>#DIV/0!</v>
      </c>
      <c r="AF1057" s="169" t="e">
        <f t="shared" si="1888"/>
        <v>#DIV/0!</v>
      </c>
      <c r="AG1057" s="169" t="e">
        <f t="shared" si="1888"/>
        <v>#DIV/0!</v>
      </c>
      <c r="AH1057" s="169" t="e">
        <f t="shared" si="1888"/>
        <v>#DIV/0!</v>
      </c>
      <c r="AI1057" s="170" t="e">
        <f t="shared" si="1888"/>
        <v>#DIV/0!</v>
      </c>
      <c r="AJ1057" s="171" t="e">
        <f t="shared" si="1888"/>
        <v>#DIV/0!</v>
      </c>
      <c r="AK1057" s="168" t="e">
        <f t="shared" si="1888"/>
        <v>#DIV/0!</v>
      </c>
    </row>
    <row r="1058" spans="1:38" ht="15.6" hidden="1" thickBot="1">
      <c r="A1058" s="84" t="s">
        <v>160</v>
      </c>
      <c r="B1058" s="85" t="s">
        <v>146</v>
      </c>
      <c r="C1058" s="86" t="s">
        <v>122</v>
      </c>
      <c r="D1058" s="87">
        <v>2019</v>
      </c>
      <c r="E1058" s="88"/>
      <c r="F1058" s="121"/>
      <c r="G1058" s="121"/>
      <c r="H1058" s="121"/>
      <c r="I1058" s="121"/>
      <c r="J1058" s="121"/>
      <c r="K1058" s="121"/>
      <c r="L1058" s="121"/>
      <c r="M1058" s="122"/>
      <c r="N1058" s="122"/>
      <c r="O1058" s="122"/>
      <c r="P1058" s="123"/>
      <c r="Q1058" s="89">
        <f>SUM(E1058:P1058)</f>
        <v>0</v>
      </c>
      <c r="R1058" s="90">
        <f t="shared" ref="R1058" si="1889">SUM(E1058:M1058)</f>
        <v>0</v>
      </c>
      <c r="T1058" s="84" t="s">
        <v>160</v>
      </c>
      <c r="U1058" s="85" t="s">
        <v>146</v>
      </c>
      <c r="V1058" s="86" t="str">
        <f>C1058</f>
        <v>得意先名</v>
      </c>
      <c r="W1058" s="87">
        <v>2019</v>
      </c>
      <c r="X1058" s="88"/>
      <c r="Y1058" s="121"/>
      <c r="Z1058" s="121"/>
      <c r="AA1058" s="121"/>
      <c r="AB1058" s="121"/>
      <c r="AC1058" s="121"/>
      <c r="AD1058" s="121"/>
      <c r="AE1058" s="121"/>
      <c r="AF1058" s="122"/>
      <c r="AG1058" s="122"/>
      <c r="AH1058" s="122"/>
      <c r="AI1058" s="123"/>
      <c r="AJ1058" s="89">
        <f>SUM(X1058:AI1058)</f>
        <v>0</v>
      </c>
      <c r="AK1058" s="90">
        <f t="shared" ref="AK1058:AK1060" si="1890">SUM(X1058:AF1058)</f>
        <v>0</v>
      </c>
    </row>
    <row r="1059" spans="1:38" ht="15.6" hidden="1" thickBot="1">
      <c r="A1059" s="91"/>
      <c r="B1059" s="85" t="s">
        <v>147</v>
      </c>
      <c r="C1059" s="92" t="s">
        <v>124</v>
      </c>
      <c r="D1059" s="93" t="s">
        <v>92</v>
      </c>
      <c r="E1059" s="94"/>
      <c r="F1059" s="97"/>
      <c r="G1059" s="97"/>
      <c r="H1059" s="97"/>
      <c r="I1059" s="97"/>
      <c r="J1059" s="97"/>
      <c r="K1059" s="97"/>
      <c r="L1059" s="97"/>
      <c r="M1059" s="98"/>
      <c r="N1059" s="98"/>
      <c r="O1059" s="98"/>
      <c r="P1059" s="99"/>
      <c r="Q1059" s="95">
        <f>SUM(E1059:P1059)</f>
        <v>0</v>
      </c>
      <c r="R1059" s="96">
        <f t="shared" si="1869"/>
        <v>0</v>
      </c>
      <c r="T1059" s="91"/>
      <c r="U1059" s="85" t="s">
        <v>147</v>
      </c>
      <c r="V1059" s="92" t="str">
        <f>C1059</f>
        <v>得意先名（英語）</v>
      </c>
      <c r="W1059" s="93" t="s">
        <v>92</v>
      </c>
      <c r="X1059" s="94"/>
      <c r="Y1059" s="97"/>
      <c r="Z1059" s="97"/>
      <c r="AA1059" s="97"/>
      <c r="AB1059" s="97"/>
      <c r="AC1059" s="97"/>
      <c r="AD1059" s="97"/>
      <c r="AE1059" s="97"/>
      <c r="AF1059" s="98"/>
      <c r="AG1059" s="98"/>
      <c r="AH1059" s="98"/>
      <c r="AI1059" s="99"/>
      <c r="AJ1059" s="95">
        <f>SUM(X1059:AI1059)</f>
        <v>0</v>
      </c>
      <c r="AK1059" s="96">
        <f t="shared" si="1890"/>
        <v>0</v>
      </c>
    </row>
    <row r="1060" spans="1:38" ht="15.6" hidden="1" thickBot="1">
      <c r="A1060" s="91"/>
      <c r="B1060" s="100"/>
      <c r="C1060" s="92"/>
      <c r="D1060" s="101">
        <v>2020</v>
      </c>
      <c r="E1060" s="102"/>
      <c r="F1060" s="124"/>
      <c r="G1060" s="124"/>
      <c r="H1060" s="124"/>
      <c r="I1060" s="124"/>
      <c r="J1060" s="124"/>
      <c r="K1060" s="124"/>
      <c r="L1060" s="124"/>
      <c r="M1060" s="125"/>
      <c r="N1060" s="125"/>
      <c r="O1060" s="125"/>
      <c r="P1060" s="126"/>
      <c r="Q1060" s="103">
        <f>SUM(E1060:P1060)</f>
        <v>0</v>
      </c>
      <c r="R1060" s="104">
        <f t="shared" si="1869"/>
        <v>0</v>
      </c>
      <c r="S1060" s="105"/>
      <c r="T1060" s="91"/>
      <c r="U1060" s="100"/>
      <c r="V1060" s="92"/>
      <c r="W1060" s="101">
        <v>2020</v>
      </c>
      <c r="X1060" s="102"/>
      <c r="Y1060" s="124"/>
      <c r="Z1060" s="124"/>
      <c r="AA1060" s="124"/>
      <c r="AB1060" s="124"/>
      <c r="AC1060" s="124"/>
      <c r="AD1060" s="124"/>
      <c r="AE1060" s="124"/>
      <c r="AF1060" s="125"/>
      <c r="AG1060" s="125"/>
      <c r="AH1060" s="125"/>
      <c r="AI1060" s="126"/>
      <c r="AJ1060" s="103">
        <f>SUM(X1060:AI1060)</f>
        <v>0</v>
      </c>
      <c r="AK1060" s="104">
        <f t="shared" si="1890"/>
        <v>0</v>
      </c>
      <c r="AL1060" s="105"/>
    </row>
    <row r="1061" spans="1:38" ht="15.6" hidden="1" thickBot="1">
      <c r="A1061" s="91"/>
      <c r="B1061" s="100"/>
      <c r="C1061" s="92"/>
      <c r="D1061" s="101" t="s">
        <v>102</v>
      </c>
      <c r="E1061" s="106" t="e">
        <f>E1060/E1059</f>
        <v>#DIV/0!</v>
      </c>
      <c r="F1061" s="106" t="e">
        <f t="shared" ref="F1061:R1061" si="1891">F1060/F1059</f>
        <v>#DIV/0!</v>
      </c>
      <c r="G1061" s="106" t="e">
        <f t="shared" si="1891"/>
        <v>#DIV/0!</v>
      </c>
      <c r="H1061" s="106" t="e">
        <f t="shared" si="1891"/>
        <v>#DIV/0!</v>
      </c>
      <c r="I1061" s="106" t="e">
        <f t="shared" si="1891"/>
        <v>#DIV/0!</v>
      </c>
      <c r="J1061" s="106" t="e">
        <f t="shared" si="1891"/>
        <v>#DIV/0!</v>
      </c>
      <c r="K1061" s="106" t="e">
        <f t="shared" si="1891"/>
        <v>#DIV/0!</v>
      </c>
      <c r="L1061" s="106" t="e">
        <f t="shared" si="1891"/>
        <v>#DIV/0!</v>
      </c>
      <c r="M1061" s="107" t="e">
        <f t="shared" si="1891"/>
        <v>#DIV/0!</v>
      </c>
      <c r="N1061" s="107" t="e">
        <f t="shared" si="1891"/>
        <v>#DIV/0!</v>
      </c>
      <c r="O1061" s="107" t="e">
        <f t="shared" si="1891"/>
        <v>#DIV/0!</v>
      </c>
      <c r="P1061" s="108" t="e">
        <f t="shared" si="1891"/>
        <v>#DIV/0!</v>
      </c>
      <c r="Q1061" s="109" t="e">
        <f t="shared" si="1891"/>
        <v>#DIV/0!</v>
      </c>
      <c r="R1061" s="110" t="e">
        <f t="shared" si="1891"/>
        <v>#DIV/0!</v>
      </c>
      <c r="S1061" s="105"/>
      <c r="T1061" s="91"/>
      <c r="U1061" s="100"/>
      <c r="V1061" s="92"/>
      <c r="W1061" s="101" t="s">
        <v>102</v>
      </c>
      <c r="X1061" s="106" t="e">
        <f>X1060/X1059</f>
        <v>#DIV/0!</v>
      </c>
      <c r="Y1061" s="106" t="e">
        <f t="shared" ref="Y1061:AK1061" si="1892">Y1060/Y1059</f>
        <v>#DIV/0!</v>
      </c>
      <c r="Z1061" s="106" t="e">
        <f t="shared" si="1892"/>
        <v>#DIV/0!</v>
      </c>
      <c r="AA1061" s="106" t="e">
        <f t="shared" si="1892"/>
        <v>#DIV/0!</v>
      </c>
      <c r="AB1061" s="106" t="e">
        <f t="shared" si="1892"/>
        <v>#DIV/0!</v>
      </c>
      <c r="AC1061" s="106" t="e">
        <f t="shared" si="1892"/>
        <v>#DIV/0!</v>
      </c>
      <c r="AD1061" s="106" t="e">
        <f t="shared" si="1892"/>
        <v>#DIV/0!</v>
      </c>
      <c r="AE1061" s="106" t="e">
        <f t="shared" si="1892"/>
        <v>#DIV/0!</v>
      </c>
      <c r="AF1061" s="107" t="e">
        <f t="shared" si="1892"/>
        <v>#DIV/0!</v>
      </c>
      <c r="AG1061" s="107" t="e">
        <f t="shared" si="1892"/>
        <v>#DIV/0!</v>
      </c>
      <c r="AH1061" s="107" t="e">
        <f t="shared" si="1892"/>
        <v>#DIV/0!</v>
      </c>
      <c r="AI1061" s="108" t="e">
        <f t="shared" si="1892"/>
        <v>#DIV/0!</v>
      </c>
      <c r="AJ1061" s="109" t="e">
        <f t="shared" si="1892"/>
        <v>#DIV/0!</v>
      </c>
      <c r="AK1061" s="110" t="e">
        <f t="shared" si="1892"/>
        <v>#DIV/0!</v>
      </c>
      <c r="AL1061" s="105"/>
    </row>
    <row r="1062" spans="1:38" ht="15.6" hidden="1" thickBot="1">
      <c r="A1062" s="91"/>
      <c r="B1062" s="100"/>
      <c r="C1062" s="111"/>
      <c r="D1062" s="112" t="s">
        <v>103</v>
      </c>
      <c r="E1062" s="113" t="e">
        <f>E1060/E1058</f>
        <v>#DIV/0!</v>
      </c>
      <c r="F1062" s="113" t="e">
        <f t="shared" ref="F1062:R1062" si="1893">F1060/F1058</f>
        <v>#DIV/0!</v>
      </c>
      <c r="G1062" s="113" t="e">
        <f t="shared" si="1893"/>
        <v>#DIV/0!</v>
      </c>
      <c r="H1062" s="113" t="e">
        <f t="shared" si="1893"/>
        <v>#DIV/0!</v>
      </c>
      <c r="I1062" s="113" t="e">
        <f t="shared" si="1893"/>
        <v>#DIV/0!</v>
      </c>
      <c r="J1062" s="113" t="e">
        <f t="shared" si="1893"/>
        <v>#DIV/0!</v>
      </c>
      <c r="K1062" s="113" t="e">
        <f t="shared" si="1893"/>
        <v>#DIV/0!</v>
      </c>
      <c r="L1062" s="113" t="e">
        <f t="shared" si="1893"/>
        <v>#DIV/0!</v>
      </c>
      <c r="M1062" s="113" t="e">
        <f t="shared" si="1893"/>
        <v>#DIV/0!</v>
      </c>
      <c r="N1062" s="113" t="e">
        <f t="shared" si="1893"/>
        <v>#DIV/0!</v>
      </c>
      <c r="O1062" s="113" t="e">
        <f t="shared" si="1893"/>
        <v>#DIV/0!</v>
      </c>
      <c r="P1062" s="114" t="e">
        <f t="shared" si="1893"/>
        <v>#DIV/0!</v>
      </c>
      <c r="Q1062" s="115" t="e">
        <f t="shared" si="1893"/>
        <v>#DIV/0!</v>
      </c>
      <c r="R1062" s="116" t="e">
        <f t="shared" si="1893"/>
        <v>#DIV/0!</v>
      </c>
      <c r="T1062" s="91"/>
      <c r="U1062" s="100"/>
      <c r="V1062" s="111"/>
      <c r="W1062" s="112" t="s">
        <v>103</v>
      </c>
      <c r="X1062" s="113" t="e">
        <f>X1060/X1058</f>
        <v>#DIV/0!</v>
      </c>
      <c r="Y1062" s="113" t="e">
        <f t="shared" ref="Y1062:AK1062" si="1894">Y1060/Y1058</f>
        <v>#DIV/0!</v>
      </c>
      <c r="Z1062" s="113" t="e">
        <f t="shared" si="1894"/>
        <v>#DIV/0!</v>
      </c>
      <c r="AA1062" s="113" t="e">
        <f t="shared" si="1894"/>
        <v>#DIV/0!</v>
      </c>
      <c r="AB1062" s="113" t="e">
        <f t="shared" si="1894"/>
        <v>#DIV/0!</v>
      </c>
      <c r="AC1062" s="113" t="e">
        <f t="shared" si="1894"/>
        <v>#DIV/0!</v>
      </c>
      <c r="AD1062" s="113" t="e">
        <f t="shared" si="1894"/>
        <v>#DIV/0!</v>
      </c>
      <c r="AE1062" s="113" t="e">
        <f t="shared" si="1894"/>
        <v>#DIV/0!</v>
      </c>
      <c r="AF1062" s="113" t="e">
        <f t="shared" si="1894"/>
        <v>#DIV/0!</v>
      </c>
      <c r="AG1062" s="113" t="e">
        <f t="shared" si="1894"/>
        <v>#DIV/0!</v>
      </c>
      <c r="AH1062" s="113" t="e">
        <f t="shared" si="1894"/>
        <v>#DIV/0!</v>
      </c>
      <c r="AI1062" s="114" t="e">
        <f t="shared" si="1894"/>
        <v>#DIV/0!</v>
      </c>
      <c r="AJ1062" s="115" t="e">
        <f t="shared" si="1894"/>
        <v>#DIV/0!</v>
      </c>
      <c r="AK1062" s="116" t="e">
        <f t="shared" si="1894"/>
        <v>#DIV/0!</v>
      </c>
    </row>
    <row r="1063" spans="1:38" ht="15.6" hidden="1" thickBot="1">
      <c r="A1063" s="91"/>
      <c r="B1063" s="100"/>
      <c r="C1063" s="86"/>
      <c r="D1063" s="87">
        <v>2019</v>
      </c>
      <c r="E1063" s="88"/>
      <c r="F1063" s="121"/>
      <c r="G1063" s="121"/>
      <c r="H1063" s="121"/>
      <c r="I1063" s="121"/>
      <c r="J1063" s="121"/>
      <c r="K1063" s="121"/>
      <c r="L1063" s="121"/>
      <c r="M1063" s="122"/>
      <c r="N1063" s="122"/>
      <c r="O1063" s="122"/>
      <c r="P1063" s="123"/>
      <c r="Q1063" s="89">
        <f t="shared" ref="Q1063:Q1065" si="1895">SUM(E1063:P1063)</f>
        <v>0</v>
      </c>
      <c r="R1063" s="90">
        <f t="shared" ref="R1063" si="1896">SUM(E1063:M1063)</f>
        <v>0</v>
      </c>
      <c r="T1063" s="91"/>
      <c r="U1063" s="100"/>
      <c r="V1063" s="86">
        <f t="shared" ref="V1063:V1064" si="1897">C1063</f>
        <v>0</v>
      </c>
      <c r="W1063" s="87">
        <v>2019</v>
      </c>
      <c r="X1063" s="88"/>
      <c r="Y1063" s="121"/>
      <c r="Z1063" s="121"/>
      <c r="AA1063" s="121"/>
      <c r="AB1063" s="121"/>
      <c r="AC1063" s="121"/>
      <c r="AD1063" s="121"/>
      <c r="AE1063" s="121"/>
      <c r="AF1063" s="122"/>
      <c r="AG1063" s="122"/>
      <c r="AH1063" s="122"/>
      <c r="AI1063" s="123"/>
      <c r="AJ1063" s="89">
        <f t="shared" ref="AJ1063:AJ1065" si="1898">SUM(X1063:AI1063)</f>
        <v>0</v>
      </c>
      <c r="AK1063" s="90">
        <f t="shared" ref="AK1063:AK1065" si="1899">SUM(X1063:AF1063)</f>
        <v>0</v>
      </c>
    </row>
    <row r="1064" spans="1:38" ht="15.6" hidden="1" thickBot="1">
      <c r="A1064" s="91"/>
      <c r="B1064" s="100"/>
      <c r="C1064" s="92"/>
      <c r="D1064" s="93" t="s">
        <v>92</v>
      </c>
      <c r="E1064" s="94"/>
      <c r="F1064" s="97"/>
      <c r="G1064" s="97"/>
      <c r="H1064" s="97"/>
      <c r="I1064" s="97"/>
      <c r="J1064" s="97"/>
      <c r="K1064" s="97"/>
      <c r="L1064" s="97"/>
      <c r="M1064" s="98"/>
      <c r="N1064" s="98"/>
      <c r="O1064" s="98"/>
      <c r="P1064" s="99"/>
      <c r="Q1064" s="95">
        <f t="shared" si="1895"/>
        <v>0</v>
      </c>
      <c r="R1064" s="96">
        <f t="shared" si="1869"/>
        <v>0</v>
      </c>
      <c r="T1064" s="91"/>
      <c r="U1064" s="100"/>
      <c r="V1064" s="92">
        <f t="shared" si="1897"/>
        <v>0</v>
      </c>
      <c r="W1064" s="93" t="s">
        <v>92</v>
      </c>
      <c r="X1064" s="94"/>
      <c r="Y1064" s="97"/>
      <c r="Z1064" s="97"/>
      <c r="AA1064" s="97"/>
      <c r="AB1064" s="97"/>
      <c r="AC1064" s="97"/>
      <c r="AD1064" s="97"/>
      <c r="AE1064" s="97"/>
      <c r="AF1064" s="98"/>
      <c r="AG1064" s="98"/>
      <c r="AH1064" s="98"/>
      <c r="AI1064" s="99"/>
      <c r="AJ1064" s="95">
        <f t="shared" si="1898"/>
        <v>0</v>
      </c>
      <c r="AK1064" s="96">
        <f t="shared" si="1899"/>
        <v>0</v>
      </c>
    </row>
    <row r="1065" spans="1:38" ht="15.6" hidden="1" thickBot="1">
      <c r="A1065" s="91"/>
      <c r="B1065" s="100"/>
      <c r="C1065" s="92"/>
      <c r="D1065" s="101">
        <v>2020</v>
      </c>
      <c r="E1065" s="102"/>
      <c r="F1065" s="124"/>
      <c r="G1065" s="124"/>
      <c r="H1065" s="124"/>
      <c r="I1065" s="124"/>
      <c r="J1065" s="124"/>
      <c r="K1065" s="124"/>
      <c r="L1065" s="124"/>
      <c r="M1065" s="125"/>
      <c r="N1065" s="125"/>
      <c r="O1065" s="125"/>
      <c r="P1065" s="126"/>
      <c r="Q1065" s="103">
        <f t="shared" si="1895"/>
        <v>0</v>
      </c>
      <c r="R1065" s="104">
        <f t="shared" si="1869"/>
        <v>0</v>
      </c>
      <c r="S1065" s="105"/>
      <c r="T1065" s="91"/>
      <c r="U1065" s="100"/>
      <c r="V1065" s="92"/>
      <c r="W1065" s="101">
        <v>2020</v>
      </c>
      <c r="X1065" s="102"/>
      <c r="Y1065" s="124"/>
      <c r="Z1065" s="124"/>
      <c r="AA1065" s="124"/>
      <c r="AB1065" s="124"/>
      <c r="AC1065" s="124"/>
      <c r="AD1065" s="124"/>
      <c r="AE1065" s="124"/>
      <c r="AF1065" s="125"/>
      <c r="AG1065" s="125"/>
      <c r="AH1065" s="125"/>
      <c r="AI1065" s="126"/>
      <c r="AJ1065" s="103">
        <f t="shared" si="1898"/>
        <v>0</v>
      </c>
      <c r="AK1065" s="104">
        <f t="shared" si="1899"/>
        <v>0</v>
      </c>
      <c r="AL1065" s="105"/>
    </row>
    <row r="1066" spans="1:38" ht="15.6" hidden="1" thickBot="1">
      <c r="A1066" s="91"/>
      <c r="B1066" s="100"/>
      <c r="C1066" s="92"/>
      <c r="D1066" s="101" t="s">
        <v>102</v>
      </c>
      <c r="E1066" s="106" t="e">
        <f t="shared" ref="E1066:R1066" si="1900">E1065/E1064</f>
        <v>#DIV/0!</v>
      </c>
      <c r="F1066" s="106" t="e">
        <f t="shared" si="1900"/>
        <v>#DIV/0!</v>
      </c>
      <c r="G1066" s="106" t="e">
        <f t="shared" si="1900"/>
        <v>#DIV/0!</v>
      </c>
      <c r="H1066" s="106" t="e">
        <f t="shared" si="1900"/>
        <v>#DIV/0!</v>
      </c>
      <c r="I1066" s="106" t="e">
        <f t="shared" si="1900"/>
        <v>#DIV/0!</v>
      </c>
      <c r="J1066" s="106" t="e">
        <f t="shared" si="1900"/>
        <v>#DIV/0!</v>
      </c>
      <c r="K1066" s="106" t="e">
        <f t="shared" si="1900"/>
        <v>#DIV/0!</v>
      </c>
      <c r="L1066" s="106" t="e">
        <f t="shared" si="1900"/>
        <v>#DIV/0!</v>
      </c>
      <c r="M1066" s="107" t="e">
        <f t="shared" si="1900"/>
        <v>#DIV/0!</v>
      </c>
      <c r="N1066" s="107" t="e">
        <f t="shared" si="1900"/>
        <v>#DIV/0!</v>
      </c>
      <c r="O1066" s="107" t="e">
        <f t="shared" si="1900"/>
        <v>#DIV/0!</v>
      </c>
      <c r="P1066" s="108" t="e">
        <f t="shared" si="1900"/>
        <v>#DIV/0!</v>
      </c>
      <c r="Q1066" s="109" t="e">
        <f t="shared" si="1900"/>
        <v>#DIV/0!</v>
      </c>
      <c r="R1066" s="110" t="e">
        <f t="shared" si="1900"/>
        <v>#DIV/0!</v>
      </c>
      <c r="S1066" s="105"/>
      <c r="T1066" s="91"/>
      <c r="U1066" s="100"/>
      <c r="V1066" s="92"/>
      <c r="W1066" s="101" t="s">
        <v>102</v>
      </c>
      <c r="X1066" s="106" t="e">
        <f t="shared" ref="X1066:AK1066" si="1901">X1065/X1064</f>
        <v>#DIV/0!</v>
      </c>
      <c r="Y1066" s="106" t="e">
        <f t="shared" si="1901"/>
        <v>#DIV/0!</v>
      </c>
      <c r="Z1066" s="106" t="e">
        <f t="shared" si="1901"/>
        <v>#DIV/0!</v>
      </c>
      <c r="AA1066" s="106" t="e">
        <f t="shared" si="1901"/>
        <v>#DIV/0!</v>
      </c>
      <c r="AB1066" s="106" t="e">
        <f t="shared" si="1901"/>
        <v>#DIV/0!</v>
      </c>
      <c r="AC1066" s="106" t="e">
        <f t="shared" si="1901"/>
        <v>#DIV/0!</v>
      </c>
      <c r="AD1066" s="106" t="e">
        <f t="shared" si="1901"/>
        <v>#DIV/0!</v>
      </c>
      <c r="AE1066" s="106" t="e">
        <f t="shared" si="1901"/>
        <v>#DIV/0!</v>
      </c>
      <c r="AF1066" s="107" t="e">
        <f t="shared" si="1901"/>
        <v>#DIV/0!</v>
      </c>
      <c r="AG1066" s="107" t="e">
        <f t="shared" si="1901"/>
        <v>#DIV/0!</v>
      </c>
      <c r="AH1066" s="107" t="e">
        <f t="shared" si="1901"/>
        <v>#DIV/0!</v>
      </c>
      <c r="AI1066" s="108" t="e">
        <f t="shared" si="1901"/>
        <v>#DIV/0!</v>
      </c>
      <c r="AJ1066" s="109" t="e">
        <f t="shared" si="1901"/>
        <v>#DIV/0!</v>
      </c>
      <c r="AK1066" s="110" t="e">
        <f t="shared" si="1901"/>
        <v>#DIV/0!</v>
      </c>
      <c r="AL1066" s="105"/>
    </row>
    <row r="1067" spans="1:38" ht="15.6" hidden="1" thickBot="1">
      <c r="A1067" s="91"/>
      <c r="B1067" s="100"/>
      <c r="C1067" s="111"/>
      <c r="D1067" s="112" t="s">
        <v>103</v>
      </c>
      <c r="E1067" s="113" t="e">
        <f t="shared" ref="E1067:R1067" si="1902">E1065/E1063</f>
        <v>#DIV/0!</v>
      </c>
      <c r="F1067" s="113" t="e">
        <f t="shared" si="1902"/>
        <v>#DIV/0!</v>
      </c>
      <c r="G1067" s="113" t="e">
        <f t="shared" si="1902"/>
        <v>#DIV/0!</v>
      </c>
      <c r="H1067" s="113" t="e">
        <f t="shared" si="1902"/>
        <v>#DIV/0!</v>
      </c>
      <c r="I1067" s="113" t="e">
        <f t="shared" si="1902"/>
        <v>#DIV/0!</v>
      </c>
      <c r="J1067" s="113" t="e">
        <f t="shared" si="1902"/>
        <v>#DIV/0!</v>
      </c>
      <c r="K1067" s="113" t="e">
        <f t="shared" si="1902"/>
        <v>#DIV/0!</v>
      </c>
      <c r="L1067" s="113" t="e">
        <f t="shared" si="1902"/>
        <v>#DIV/0!</v>
      </c>
      <c r="M1067" s="113" t="e">
        <f t="shared" si="1902"/>
        <v>#DIV/0!</v>
      </c>
      <c r="N1067" s="113" t="e">
        <f t="shared" si="1902"/>
        <v>#DIV/0!</v>
      </c>
      <c r="O1067" s="113" t="e">
        <f t="shared" si="1902"/>
        <v>#DIV/0!</v>
      </c>
      <c r="P1067" s="114" t="e">
        <f t="shared" si="1902"/>
        <v>#DIV/0!</v>
      </c>
      <c r="Q1067" s="115" t="e">
        <f t="shared" si="1902"/>
        <v>#DIV/0!</v>
      </c>
      <c r="R1067" s="116" t="e">
        <f t="shared" si="1902"/>
        <v>#DIV/0!</v>
      </c>
      <c r="T1067" s="91"/>
      <c r="U1067" s="100"/>
      <c r="V1067" s="111"/>
      <c r="W1067" s="112" t="s">
        <v>103</v>
      </c>
      <c r="X1067" s="113" t="e">
        <f t="shared" ref="X1067:AK1067" si="1903">X1065/X1063</f>
        <v>#DIV/0!</v>
      </c>
      <c r="Y1067" s="113" t="e">
        <f t="shared" si="1903"/>
        <v>#DIV/0!</v>
      </c>
      <c r="Z1067" s="113" t="e">
        <f t="shared" si="1903"/>
        <v>#DIV/0!</v>
      </c>
      <c r="AA1067" s="113" t="e">
        <f t="shared" si="1903"/>
        <v>#DIV/0!</v>
      </c>
      <c r="AB1067" s="113" t="e">
        <f t="shared" si="1903"/>
        <v>#DIV/0!</v>
      </c>
      <c r="AC1067" s="113" t="e">
        <f t="shared" si="1903"/>
        <v>#DIV/0!</v>
      </c>
      <c r="AD1067" s="113" t="e">
        <f t="shared" si="1903"/>
        <v>#DIV/0!</v>
      </c>
      <c r="AE1067" s="113" t="e">
        <f t="shared" si="1903"/>
        <v>#DIV/0!</v>
      </c>
      <c r="AF1067" s="113" t="e">
        <f t="shared" si="1903"/>
        <v>#DIV/0!</v>
      </c>
      <c r="AG1067" s="113" t="e">
        <f t="shared" si="1903"/>
        <v>#DIV/0!</v>
      </c>
      <c r="AH1067" s="113" t="e">
        <f t="shared" si="1903"/>
        <v>#DIV/0!</v>
      </c>
      <c r="AI1067" s="114" t="e">
        <f t="shared" si="1903"/>
        <v>#DIV/0!</v>
      </c>
      <c r="AJ1067" s="115" t="e">
        <f t="shared" si="1903"/>
        <v>#DIV/0!</v>
      </c>
      <c r="AK1067" s="116" t="e">
        <f t="shared" si="1903"/>
        <v>#DIV/0!</v>
      </c>
    </row>
    <row r="1068" spans="1:38" ht="15.6" hidden="1" thickBot="1">
      <c r="A1068" s="91"/>
      <c r="B1068" s="100"/>
      <c r="C1068" s="86"/>
      <c r="D1068" s="87">
        <v>2019</v>
      </c>
      <c r="E1068" s="88"/>
      <c r="F1068" s="121"/>
      <c r="G1068" s="121"/>
      <c r="H1068" s="121"/>
      <c r="I1068" s="121"/>
      <c r="J1068" s="121"/>
      <c r="K1068" s="121"/>
      <c r="L1068" s="121"/>
      <c r="M1068" s="122"/>
      <c r="N1068" s="122"/>
      <c r="O1068" s="122"/>
      <c r="P1068" s="123"/>
      <c r="Q1068" s="89">
        <f t="shared" ref="Q1068:Q1070" si="1904">SUM(E1068:P1068)</f>
        <v>0</v>
      </c>
      <c r="R1068" s="90">
        <f t="shared" ref="R1068" si="1905">SUM(E1068:M1068)</f>
        <v>0</v>
      </c>
      <c r="T1068" s="91"/>
      <c r="U1068" s="100"/>
      <c r="V1068" s="86">
        <f t="shared" ref="V1068:V1069" si="1906">C1068</f>
        <v>0</v>
      </c>
      <c r="W1068" s="87">
        <v>2019</v>
      </c>
      <c r="X1068" s="88"/>
      <c r="Y1068" s="121"/>
      <c r="Z1068" s="121"/>
      <c r="AA1068" s="121"/>
      <c r="AB1068" s="121"/>
      <c r="AC1068" s="121"/>
      <c r="AD1068" s="121"/>
      <c r="AE1068" s="121"/>
      <c r="AF1068" s="122"/>
      <c r="AG1068" s="122"/>
      <c r="AH1068" s="122"/>
      <c r="AI1068" s="123"/>
      <c r="AJ1068" s="89">
        <f t="shared" ref="AJ1068:AJ1070" si="1907">SUM(X1068:AI1068)</f>
        <v>0</v>
      </c>
      <c r="AK1068" s="90">
        <f t="shared" ref="AK1068:AK1070" si="1908">SUM(X1068:AF1068)</f>
        <v>0</v>
      </c>
    </row>
    <row r="1069" spans="1:38" ht="15.6" hidden="1" thickBot="1">
      <c r="A1069" s="91"/>
      <c r="B1069" s="100"/>
      <c r="C1069" s="92"/>
      <c r="D1069" s="93" t="s">
        <v>92</v>
      </c>
      <c r="E1069" s="94"/>
      <c r="F1069" s="97"/>
      <c r="G1069" s="97"/>
      <c r="H1069" s="97"/>
      <c r="I1069" s="97"/>
      <c r="J1069" s="97"/>
      <c r="K1069" s="97"/>
      <c r="L1069" s="97"/>
      <c r="M1069" s="98"/>
      <c r="N1069" s="98"/>
      <c r="O1069" s="98"/>
      <c r="P1069" s="99"/>
      <c r="Q1069" s="95">
        <f t="shared" si="1904"/>
        <v>0</v>
      </c>
      <c r="R1069" s="96">
        <f t="shared" si="1869"/>
        <v>0</v>
      </c>
      <c r="T1069" s="91"/>
      <c r="U1069" s="100"/>
      <c r="V1069" s="92">
        <f t="shared" si="1906"/>
        <v>0</v>
      </c>
      <c r="W1069" s="93" t="s">
        <v>92</v>
      </c>
      <c r="X1069" s="94"/>
      <c r="Y1069" s="97"/>
      <c r="Z1069" s="97"/>
      <c r="AA1069" s="97"/>
      <c r="AB1069" s="97"/>
      <c r="AC1069" s="97"/>
      <c r="AD1069" s="97"/>
      <c r="AE1069" s="97"/>
      <c r="AF1069" s="98"/>
      <c r="AG1069" s="98"/>
      <c r="AH1069" s="98"/>
      <c r="AI1069" s="99"/>
      <c r="AJ1069" s="95">
        <f t="shared" si="1907"/>
        <v>0</v>
      </c>
      <c r="AK1069" s="96">
        <f t="shared" si="1908"/>
        <v>0</v>
      </c>
    </row>
    <row r="1070" spans="1:38" ht="15.6" hidden="1" thickBot="1">
      <c r="A1070" s="91"/>
      <c r="B1070" s="100"/>
      <c r="C1070" s="92"/>
      <c r="D1070" s="101">
        <v>2020</v>
      </c>
      <c r="E1070" s="102"/>
      <c r="F1070" s="124"/>
      <c r="G1070" s="124"/>
      <c r="H1070" s="124"/>
      <c r="I1070" s="124"/>
      <c r="J1070" s="124"/>
      <c r="K1070" s="124"/>
      <c r="L1070" s="124"/>
      <c r="M1070" s="125"/>
      <c r="N1070" s="125"/>
      <c r="O1070" s="125"/>
      <c r="P1070" s="126"/>
      <c r="Q1070" s="103">
        <f t="shared" si="1904"/>
        <v>0</v>
      </c>
      <c r="R1070" s="104">
        <f t="shared" si="1869"/>
        <v>0</v>
      </c>
      <c r="S1070" s="105"/>
      <c r="T1070" s="91"/>
      <c r="U1070" s="100"/>
      <c r="V1070" s="92"/>
      <c r="W1070" s="101">
        <v>2020</v>
      </c>
      <c r="X1070" s="102"/>
      <c r="Y1070" s="124"/>
      <c r="Z1070" s="124"/>
      <c r="AA1070" s="124"/>
      <c r="AB1070" s="124"/>
      <c r="AC1070" s="124"/>
      <c r="AD1070" s="124"/>
      <c r="AE1070" s="124"/>
      <c r="AF1070" s="125"/>
      <c r="AG1070" s="125"/>
      <c r="AH1070" s="125"/>
      <c r="AI1070" s="126"/>
      <c r="AJ1070" s="103">
        <f t="shared" si="1907"/>
        <v>0</v>
      </c>
      <c r="AK1070" s="104">
        <f t="shared" si="1908"/>
        <v>0</v>
      </c>
      <c r="AL1070" s="105"/>
    </row>
    <row r="1071" spans="1:38" ht="15.6" hidden="1" thickBot="1">
      <c r="A1071" s="91"/>
      <c r="B1071" s="100"/>
      <c r="C1071" s="92"/>
      <c r="D1071" s="101" t="s">
        <v>102</v>
      </c>
      <c r="E1071" s="106" t="e">
        <f t="shared" ref="E1071:R1071" si="1909">E1070/E1069</f>
        <v>#DIV/0!</v>
      </c>
      <c r="F1071" s="106" t="e">
        <f t="shared" si="1909"/>
        <v>#DIV/0!</v>
      </c>
      <c r="G1071" s="106" t="e">
        <f t="shared" si="1909"/>
        <v>#DIV/0!</v>
      </c>
      <c r="H1071" s="106" t="e">
        <f t="shared" si="1909"/>
        <v>#DIV/0!</v>
      </c>
      <c r="I1071" s="106" t="e">
        <f t="shared" si="1909"/>
        <v>#DIV/0!</v>
      </c>
      <c r="J1071" s="106" t="e">
        <f t="shared" si="1909"/>
        <v>#DIV/0!</v>
      </c>
      <c r="K1071" s="106" t="e">
        <f t="shared" si="1909"/>
        <v>#DIV/0!</v>
      </c>
      <c r="L1071" s="106" t="e">
        <f t="shared" si="1909"/>
        <v>#DIV/0!</v>
      </c>
      <c r="M1071" s="107" t="e">
        <f t="shared" si="1909"/>
        <v>#DIV/0!</v>
      </c>
      <c r="N1071" s="107" t="e">
        <f t="shared" si="1909"/>
        <v>#DIV/0!</v>
      </c>
      <c r="O1071" s="107" t="e">
        <f t="shared" si="1909"/>
        <v>#DIV/0!</v>
      </c>
      <c r="P1071" s="108" t="e">
        <f t="shared" si="1909"/>
        <v>#DIV/0!</v>
      </c>
      <c r="Q1071" s="109" t="e">
        <f t="shared" si="1909"/>
        <v>#DIV/0!</v>
      </c>
      <c r="R1071" s="110" t="e">
        <f t="shared" si="1909"/>
        <v>#DIV/0!</v>
      </c>
      <c r="S1071" s="105"/>
      <c r="T1071" s="91"/>
      <c r="U1071" s="100"/>
      <c r="V1071" s="92"/>
      <c r="W1071" s="101" t="s">
        <v>102</v>
      </c>
      <c r="X1071" s="106" t="e">
        <f t="shared" ref="X1071:AK1071" si="1910">X1070/X1069</f>
        <v>#DIV/0!</v>
      </c>
      <c r="Y1071" s="106" t="e">
        <f t="shared" si="1910"/>
        <v>#DIV/0!</v>
      </c>
      <c r="Z1071" s="106" t="e">
        <f t="shared" si="1910"/>
        <v>#DIV/0!</v>
      </c>
      <c r="AA1071" s="106" t="e">
        <f t="shared" si="1910"/>
        <v>#DIV/0!</v>
      </c>
      <c r="AB1071" s="106" t="e">
        <f t="shared" si="1910"/>
        <v>#DIV/0!</v>
      </c>
      <c r="AC1071" s="106" t="e">
        <f t="shared" si="1910"/>
        <v>#DIV/0!</v>
      </c>
      <c r="AD1071" s="106" t="e">
        <f t="shared" si="1910"/>
        <v>#DIV/0!</v>
      </c>
      <c r="AE1071" s="106" t="e">
        <f t="shared" si="1910"/>
        <v>#DIV/0!</v>
      </c>
      <c r="AF1071" s="107" t="e">
        <f t="shared" si="1910"/>
        <v>#DIV/0!</v>
      </c>
      <c r="AG1071" s="107" t="e">
        <f t="shared" si="1910"/>
        <v>#DIV/0!</v>
      </c>
      <c r="AH1071" s="107" t="e">
        <f t="shared" si="1910"/>
        <v>#DIV/0!</v>
      </c>
      <c r="AI1071" s="108" t="e">
        <f t="shared" si="1910"/>
        <v>#DIV/0!</v>
      </c>
      <c r="AJ1071" s="109" t="e">
        <f t="shared" si="1910"/>
        <v>#DIV/0!</v>
      </c>
      <c r="AK1071" s="110" t="e">
        <f t="shared" si="1910"/>
        <v>#DIV/0!</v>
      </c>
      <c r="AL1071" s="105"/>
    </row>
    <row r="1072" spans="1:38" ht="15.6" hidden="1" thickBot="1">
      <c r="A1072" s="91"/>
      <c r="B1072" s="100"/>
      <c r="C1072" s="111"/>
      <c r="D1072" s="112" t="s">
        <v>103</v>
      </c>
      <c r="E1072" s="113" t="e">
        <f t="shared" ref="E1072:R1072" si="1911">E1070/E1068</f>
        <v>#DIV/0!</v>
      </c>
      <c r="F1072" s="113" t="e">
        <f t="shared" si="1911"/>
        <v>#DIV/0!</v>
      </c>
      <c r="G1072" s="113" t="e">
        <f t="shared" si="1911"/>
        <v>#DIV/0!</v>
      </c>
      <c r="H1072" s="113" t="e">
        <f t="shared" si="1911"/>
        <v>#DIV/0!</v>
      </c>
      <c r="I1072" s="113" t="e">
        <f t="shared" si="1911"/>
        <v>#DIV/0!</v>
      </c>
      <c r="J1072" s="113" t="e">
        <f t="shared" si="1911"/>
        <v>#DIV/0!</v>
      </c>
      <c r="K1072" s="113" t="e">
        <f t="shared" si="1911"/>
        <v>#DIV/0!</v>
      </c>
      <c r="L1072" s="113" t="e">
        <f t="shared" si="1911"/>
        <v>#DIV/0!</v>
      </c>
      <c r="M1072" s="113" t="e">
        <f t="shared" si="1911"/>
        <v>#DIV/0!</v>
      </c>
      <c r="N1072" s="113" t="e">
        <f t="shared" si="1911"/>
        <v>#DIV/0!</v>
      </c>
      <c r="O1072" s="113" t="e">
        <f t="shared" si="1911"/>
        <v>#DIV/0!</v>
      </c>
      <c r="P1072" s="114" t="e">
        <f t="shared" si="1911"/>
        <v>#DIV/0!</v>
      </c>
      <c r="Q1072" s="115" t="e">
        <f t="shared" si="1911"/>
        <v>#DIV/0!</v>
      </c>
      <c r="R1072" s="116" t="e">
        <f t="shared" si="1911"/>
        <v>#DIV/0!</v>
      </c>
      <c r="T1072" s="91"/>
      <c r="U1072" s="100"/>
      <c r="V1072" s="111"/>
      <c r="W1072" s="112" t="s">
        <v>103</v>
      </c>
      <c r="X1072" s="113" t="e">
        <f t="shared" ref="X1072:AK1072" si="1912">X1070/X1068</f>
        <v>#DIV/0!</v>
      </c>
      <c r="Y1072" s="113" t="e">
        <f t="shared" si="1912"/>
        <v>#DIV/0!</v>
      </c>
      <c r="Z1072" s="113" t="e">
        <f t="shared" si="1912"/>
        <v>#DIV/0!</v>
      </c>
      <c r="AA1072" s="113" t="e">
        <f t="shared" si="1912"/>
        <v>#DIV/0!</v>
      </c>
      <c r="AB1072" s="113" t="e">
        <f t="shared" si="1912"/>
        <v>#DIV/0!</v>
      </c>
      <c r="AC1072" s="113" t="e">
        <f t="shared" si="1912"/>
        <v>#DIV/0!</v>
      </c>
      <c r="AD1072" s="113" t="e">
        <f t="shared" si="1912"/>
        <v>#DIV/0!</v>
      </c>
      <c r="AE1072" s="113" t="e">
        <f t="shared" si="1912"/>
        <v>#DIV/0!</v>
      </c>
      <c r="AF1072" s="113" t="e">
        <f t="shared" si="1912"/>
        <v>#DIV/0!</v>
      </c>
      <c r="AG1072" s="113" t="e">
        <f t="shared" si="1912"/>
        <v>#DIV/0!</v>
      </c>
      <c r="AH1072" s="113" t="e">
        <f t="shared" si="1912"/>
        <v>#DIV/0!</v>
      </c>
      <c r="AI1072" s="114" t="e">
        <f t="shared" si="1912"/>
        <v>#DIV/0!</v>
      </c>
      <c r="AJ1072" s="115" t="e">
        <f t="shared" si="1912"/>
        <v>#DIV/0!</v>
      </c>
      <c r="AK1072" s="116" t="e">
        <f t="shared" si="1912"/>
        <v>#DIV/0!</v>
      </c>
    </row>
    <row r="1073" spans="1:38" ht="15.6" hidden="1" thickBot="1">
      <c r="A1073" s="91"/>
      <c r="B1073" s="100"/>
      <c r="C1073" s="86"/>
      <c r="D1073" s="87">
        <v>2019</v>
      </c>
      <c r="E1073" s="88"/>
      <c r="F1073" s="121"/>
      <c r="G1073" s="121"/>
      <c r="H1073" s="121"/>
      <c r="I1073" s="121"/>
      <c r="J1073" s="121"/>
      <c r="K1073" s="121"/>
      <c r="L1073" s="121"/>
      <c r="M1073" s="122"/>
      <c r="N1073" s="122"/>
      <c r="O1073" s="122"/>
      <c r="P1073" s="123"/>
      <c r="Q1073" s="89">
        <f t="shared" ref="Q1073:Q1075" si="1913">SUM(E1073:P1073)</f>
        <v>0</v>
      </c>
      <c r="R1073" s="90">
        <f t="shared" ref="R1073" si="1914">SUM(E1073:M1073)</f>
        <v>0</v>
      </c>
      <c r="T1073" s="91"/>
      <c r="U1073" s="100"/>
      <c r="V1073" s="86">
        <f t="shared" ref="V1073:V1074" si="1915">C1073</f>
        <v>0</v>
      </c>
      <c r="W1073" s="87">
        <v>2019</v>
      </c>
      <c r="X1073" s="88"/>
      <c r="Y1073" s="121"/>
      <c r="Z1073" s="121"/>
      <c r="AA1073" s="121"/>
      <c r="AB1073" s="121"/>
      <c r="AC1073" s="121"/>
      <c r="AD1073" s="121"/>
      <c r="AE1073" s="121"/>
      <c r="AF1073" s="122"/>
      <c r="AG1073" s="122"/>
      <c r="AH1073" s="122"/>
      <c r="AI1073" s="123"/>
      <c r="AJ1073" s="89">
        <f t="shared" ref="AJ1073:AJ1075" si="1916">SUM(X1073:AI1073)</f>
        <v>0</v>
      </c>
      <c r="AK1073" s="90">
        <f t="shared" ref="AK1073:AK1075" si="1917">SUM(X1073:AF1073)</f>
        <v>0</v>
      </c>
    </row>
    <row r="1074" spans="1:38" ht="15.6" hidden="1" thickBot="1">
      <c r="A1074" s="91"/>
      <c r="B1074" s="100"/>
      <c r="C1074" s="92"/>
      <c r="D1074" s="93" t="s">
        <v>92</v>
      </c>
      <c r="E1074" s="94"/>
      <c r="F1074" s="97"/>
      <c r="G1074" s="97"/>
      <c r="H1074" s="97"/>
      <c r="I1074" s="97"/>
      <c r="J1074" s="97"/>
      <c r="K1074" s="97"/>
      <c r="L1074" s="97"/>
      <c r="M1074" s="98"/>
      <c r="N1074" s="98"/>
      <c r="O1074" s="98"/>
      <c r="P1074" s="99"/>
      <c r="Q1074" s="95">
        <f t="shared" si="1913"/>
        <v>0</v>
      </c>
      <c r="R1074" s="96">
        <f t="shared" si="1869"/>
        <v>0</v>
      </c>
      <c r="T1074" s="91"/>
      <c r="U1074" s="100"/>
      <c r="V1074" s="92">
        <f t="shared" si="1915"/>
        <v>0</v>
      </c>
      <c r="W1074" s="93" t="s">
        <v>92</v>
      </c>
      <c r="X1074" s="94"/>
      <c r="Y1074" s="97"/>
      <c r="Z1074" s="97"/>
      <c r="AA1074" s="97"/>
      <c r="AB1074" s="97"/>
      <c r="AC1074" s="97"/>
      <c r="AD1074" s="97"/>
      <c r="AE1074" s="97"/>
      <c r="AF1074" s="98"/>
      <c r="AG1074" s="98"/>
      <c r="AH1074" s="98"/>
      <c r="AI1074" s="99"/>
      <c r="AJ1074" s="95">
        <f t="shared" si="1916"/>
        <v>0</v>
      </c>
      <c r="AK1074" s="96">
        <f t="shared" si="1917"/>
        <v>0</v>
      </c>
    </row>
    <row r="1075" spans="1:38" ht="15.6" hidden="1" thickBot="1">
      <c r="A1075" s="91"/>
      <c r="B1075" s="100"/>
      <c r="C1075" s="92"/>
      <c r="D1075" s="101">
        <v>2020</v>
      </c>
      <c r="E1075" s="102"/>
      <c r="F1075" s="124"/>
      <c r="G1075" s="124"/>
      <c r="H1075" s="124"/>
      <c r="I1075" s="124"/>
      <c r="J1075" s="124"/>
      <c r="K1075" s="124"/>
      <c r="L1075" s="124"/>
      <c r="M1075" s="125"/>
      <c r="N1075" s="125"/>
      <c r="O1075" s="125"/>
      <c r="P1075" s="126"/>
      <c r="Q1075" s="103">
        <f t="shared" si="1913"/>
        <v>0</v>
      </c>
      <c r="R1075" s="104">
        <f t="shared" si="1869"/>
        <v>0</v>
      </c>
      <c r="S1075" s="105"/>
      <c r="T1075" s="91"/>
      <c r="U1075" s="100"/>
      <c r="V1075" s="92"/>
      <c r="W1075" s="101">
        <v>2020</v>
      </c>
      <c r="X1075" s="102"/>
      <c r="Y1075" s="124"/>
      <c r="Z1075" s="124"/>
      <c r="AA1075" s="124"/>
      <c r="AB1075" s="124"/>
      <c r="AC1075" s="124"/>
      <c r="AD1075" s="124"/>
      <c r="AE1075" s="124"/>
      <c r="AF1075" s="125"/>
      <c r="AG1075" s="125"/>
      <c r="AH1075" s="125"/>
      <c r="AI1075" s="126"/>
      <c r="AJ1075" s="103">
        <f t="shared" si="1916"/>
        <v>0</v>
      </c>
      <c r="AK1075" s="104">
        <f t="shared" si="1917"/>
        <v>0</v>
      </c>
      <c r="AL1075" s="105"/>
    </row>
    <row r="1076" spans="1:38" ht="15.6" hidden="1" thickBot="1">
      <c r="A1076" s="91"/>
      <c r="B1076" s="100"/>
      <c r="C1076" s="92"/>
      <c r="D1076" s="101" t="s">
        <v>102</v>
      </c>
      <c r="E1076" s="106" t="e">
        <f t="shared" ref="E1076:R1076" si="1918">E1075/E1074</f>
        <v>#DIV/0!</v>
      </c>
      <c r="F1076" s="106" t="e">
        <f t="shared" si="1918"/>
        <v>#DIV/0!</v>
      </c>
      <c r="G1076" s="106" t="e">
        <f t="shared" si="1918"/>
        <v>#DIV/0!</v>
      </c>
      <c r="H1076" s="106" t="e">
        <f t="shared" si="1918"/>
        <v>#DIV/0!</v>
      </c>
      <c r="I1076" s="106" t="e">
        <f t="shared" si="1918"/>
        <v>#DIV/0!</v>
      </c>
      <c r="J1076" s="106" t="e">
        <f t="shared" si="1918"/>
        <v>#DIV/0!</v>
      </c>
      <c r="K1076" s="106" t="e">
        <f t="shared" si="1918"/>
        <v>#DIV/0!</v>
      </c>
      <c r="L1076" s="106" t="e">
        <f t="shared" si="1918"/>
        <v>#DIV/0!</v>
      </c>
      <c r="M1076" s="107" t="e">
        <f t="shared" si="1918"/>
        <v>#DIV/0!</v>
      </c>
      <c r="N1076" s="107" t="e">
        <f t="shared" si="1918"/>
        <v>#DIV/0!</v>
      </c>
      <c r="O1076" s="107" t="e">
        <f t="shared" si="1918"/>
        <v>#DIV/0!</v>
      </c>
      <c r="P1076" s="108" t="e">
        <f t="shared" si="1918"/>
        <v>#DIV/0!</v>
      </c>
      <c r="Q1076" s="109" t="e">
        <f t="shared" si="1918"/>
        <v>#DIV/0!</v>
      </c>
      <c r="R1076" s="110" t="e">
        <f t="shared" si="1918"/>
        <v>#DIV/0!</v>
      </c>
      <c r="S1076" s="105"/>
      <c r="T1076" s="91"/>
      <c r="U1076" s="100"/>
      <c r="V1076" s="92"/>
      <c r="W1076" s="101" t="s">
        <v>102</v>
      </c>
      <c r="X1076" s="106" t="e">
        <f t="shared" ref="X1076:AK1076" si="1919">X1075/X1074</f>
        <v>#DIV/0!</v>
      </c>
      <c r="Y1076" s="106" t="e">
        <f t="shared" si="1919"/>
        <v>#DIV/0!</v>
      </c>
      <c r="Z1076" s="106" t="e">
        <f t="shared" si="1919"/>
        <v>#DIV/0!</v>
      </c>
      <c r="AA1076" s="106" t="e">
        <f t="shared" si="1919"/>
        <v>#DIV/0!</v>
      </c>
      <c r="AB1076" s="106" t="e">
        <f t="shared" si="1919"/>
        <v>#DIV/0!</v>
      </c>
      <c r="AC1076" s="106" t="e">
        <f t="shared" si="1919"/>
        <v>#DIV/0!</v>
      </c>
      <c r="AD1076" s="106" t="e">
        <f t="shared" si="1919"/>
        <v>#DIV/0!</v>
      </c>
      <c r="AE1076" s="106" t="e">
        <f t="shared" si="1919"/>
        <v>#DIV/0!</v>
      </c>
      <c r="AF1076" s="107" t="e">
        <f t="shared" si="1919"/>
        <v>#DIV/0!</v>
      </c>
      <c r="AG1076" s="107" t="e">
        <f t="shared" si="1919"/>
        <v>#DIV/0!</v>
      </c>
      <c r="AH1076" s="107" t="e">
        <f t="shared" si="1919"/>
        <v>#DIV/0!</v>
      </c>
      <c r="AI1076" s="108" t="e">
        <f t="shared" si="1919"/>
        <v>#DIV/0!</v>
      </c>
      <c r="AJ1076" s="109" t="e">
        <f t="shared" si="1919"/>
        <v>#DIV/0!</v>
      </c>
      <c r="AK1076" s="110" t="e">
        <f t="shared" si="1919"/>
        <v>#DIV/0!</v>
      </c>
      <c r="AL1076" s="105"/>
    </row>
    <row r="1077" spans="1:38" ht="15.6" hidden="1" thickBot="1">
      <c r="A1077" s="91"/>
      <c r="B1077" s="100"/>
      <c r="C1077" s="111"/>
      <c r="D1077" s="112" t="s">
        <v>103</v>
      </c>
      <c r="E1077" s="113" t="e">
        <f t="shared" ref="E1077:R1077" si="1920">E1075/E1073</f>
        <v>#DIV/0!</v>
      </c>
      <c r="F1077" s="113" t="e">
        <f t="shared" si="1920"/>
        <v>#DIV/0!</v>
      </c>
      <c r="G1077" s="113" t="e">
        <f t="shared" si="1920"/>
        <v>#DIV/0!</v>
      </c>
      <c r="H1077" s="113" t="e">
        <f t="shared" si="1920"/>
        <v>#DIV/0!</v>
      </c>
      <c r="I1077" s="113" t="e">
        <f t="shared" si="1920"/>
        <v>#DIV/0!</v>
      </c>
      <c r="J1077" s="113" t="e">
        <f t="shared" si="1920"/>
        <v>#DIV/0!</v>
      </c>
      <c r="K1077" s="113" t="e">
        <f t="shared" si="1920"/>
        <v>#DIV/0!</v>
      </c>
      <c r="L1077" s="113" t="e">
        <f t="shared" si="1920"/>
        <v>#DIV/0!</v>
      </c>
      <c r="M1077" s="113" t="e">
        <f t="shared" si="1920"/>
        <v>#DIV/0!</v>
      </c>
      <c r="N1077" s="113" t="e">
        <f t="shared" si="1920"/>
        <v>#DIV/0!</v>
      </c>
      <c r="O1077" s="113" t="e">
        <f t="shared" si="1920"/>
        <v>#DIV/0!</v>
      </c>
      <c r="P1077" s="114" t="e">
        <f t="shared" si="1920"/>
        <v>#DIV/0!</v>
      </c>
      <c r="Q1077" s="115" t="e">
        <f t="shared" si="1920"/>
        <v>#DIV/0!</v>
      </c>
      <c r="R1077" s="116" t="e">
        <f t="shared" si="1920"/>
        <v>#DIV/0!</v>
      </c>
      <c r="T1077" s="91"/>
      <c r="U1077" s="100"/>
      <c r="V1077" s="111"/>
      <c r="W1077" s="112" t="s">
        <v>103</v>
      </c>
      <c r="X1077" s="113" t="e">
        <f t="shared" ref="X1077:AK1077" si="1921">X1075/X1073</f>
        <v>#DIV/0!</v>
      </c>
      <c r="Y1077" s="113" t="e">
        <f t="shared" si="1921"/>
        <v>#DIV/0!</v>
      </c>
      <c r="Z1077" s="113" t="e">
        <f t="shared" si="1921"/>
        <v>#DIV/0!</v>
      </c>
      <c r="AA1077" s="113" t="e">
        <f t="shared" si="1921"/>
        <v>#DIV/0!</v>
      </c>
      <c r="AB1077" s="113" t="e">
        <f t="shared" si="1921"/>
        <v>#DIV/0!</v>
      </c>
      <c r="AC1077" s="113" t="e">
        <f t="shared" si="1921"/>
        <v>#DIV/0!</v>
      </c>
      <c r="AD1077" s="113" t="e">
        <f t="shared" si="1921"/>
        <v>#DIV/0!</v>
      </c>
      <c r="AE1077" s="113" t="e">
        <f t="shared" si="1921"/>
        <v>#DIV/0!</v>
      </c>
      <c r="AF1077" s="113" t="e">
        <f t="shared" si="1921"/>
        <v>#DIV/0!</v>
      </c>
      <c r="AG1077" s="113" t="e">
        <f t="shared" si="1921"/>
        <v>#DIV/0!</v>
      </c>
      <c r="AH1077" s="113" t="e">
        <f t="shared" si="1921"/>
        <v>#DIV/0!</v>
      </c>
      <c r="AI1077" s="114" t="e">
        <f t="shared" si="1921"/>
        <v>#DIV/0!</v>
      </c>
      <c r="AJ1077" s="115" t="e">
        <f t="shared" si="1921"/>
        <v>#DIV/0!</v>
      </c>
      <c r="AK1077" s="116" t="e">
        <f t="shared" si="1921"/>
        <v>#DIV/0!</v>
      </c>
    </row>
    <row r="1078" spans="1:38" ht="15.6" hidden="1" thickBot="1">
      <c r="A1078" s="91"/>
      <c r="B1078" s="100"/>
      <c r="C1078" s="86"/>
      <c r="D1078" s="87">
        <v>2019</v>
      </c>
      <c r="E1078" s="88"/>
      <c r="F1078" s="121"/>
      <c r="G1078" s="121"/>
      <c r="H1078" s="121"/>
      <c r="I1078" s="121"/>
      <c r="J1078" s="121"/>
      <c r="K1078" s="121"/>
      <c r="L1078" s="121"/>
      <c r="M1078" s="122"/>
      <c r="N1078" s="122"/>
      <c r="O1078" s="122"/>
      <c r="P1078" s="123"/>
      <c r="Q1078" s="89">
        <f t="shared" ref="Q1078:Q1080" si="1922">SUM(E1078:P1078)</f>
        <v>0</v>
      </c>
      <c r="R1078" s="90">
        <f t="shared" ref="R1078" si="1923">SUM(E1078:M1078)</f>
        <v>0</v>
      </c>
      <c r="T1078" s="91"/>
      <c r="U1078" s="100"/>
      <c r="V1078" s="86">
        <f t="shared" ref="V1078:V1079" si="1924">C1078</f>
        <v>0</v>
      </c>
      <c r="W1078" s="87">
        <v>2019</v>
      </c>
      <c r="X1078" s="88"/>
      <c r="Y1078" s="121"/>
      <c r="Z1078" s="121"/>
      <c r="AA1078" s="121"/>
      <c r="AB1078" s="121"/>
      <c r="AC1078" s="121"/>
      <c r="AD1078" s="121"/>
      <c r="AE1078" s="121"/>
      <c r="AF1078" s="122"/>
      <c r="AG1078" s="122"/>
      <c r="AH1078" s="122"/>
      <c r="AI1078" s="123"/>
      <c r="AJ1078" s="89">
        <f t="shared" ref="AJ1078:AJ1080" si="1925">SUM(X1078:AI1078)</f>
        <v>0</v>
      </c>
      <c r="AK1078" s="90">
        <f t="shared" ref="AK1078:AK1080" si="1926">SUM(X1078:AF1078)</f>
        <v>0</v>
      </c>
    </row>
    <row r="1079" spans="1:38" ht="15.6" hidden="1" thickBot="1">
      <c r="A1079" s="91"/>
      <c r="B1079" s="100"/>
      <c r="C1079" s="92"/>
      <c r="D1079" s="93" t="s">
        <v>92</v>
      </c>
      <c r="E1079" s="94"/>
      <c r="F1079" s="97"/>
      <c r="G1079" s="97"/>
      <c r="H1079" s="97"/>
      <c r="I1079" s="97"/>
      <c r="J1079" s="97"/>
      <c r="K1079" s="97"/>
      <c r="L1079" s="97"/>
      <c r="M1079" s="98"/>
      <c r="N1079" s="98"/>
      <c r="O1079" s="98"/>
      <c r="P1079" s="99"/>
      <c r="Q1079" s="95">
        <f t="shared" si="1922"/>
        <v>0</v>
      </c>
      <c r="R1079" s="96">
        <f t="shared" si="1869"/>
        <v>0</v>
      </c>
      <c r="T1079" s="91"/>
      <c r="U1079" s="100"/>
      <c r="V1079" s="92">
        <f t="shared" si="1924"/>
        <v>0</v>
      </c>
      <c r="W1079" s="93" t="s">
        <v>92</v>
      </c>
      <c r="X1079" s="94"/>
      <c r="Y1079" s="97"/>
      <c r="Z1079" s="97"/>
      <c r="AA1079" s="97"/>
      <c r="AB1079" s="97"/>
      <c r="AC1079" s="97"/>
      <c r="AD1079" s="97"/>
      <c r="AE1079" s="97"/>
      <c r="AF1079" s="98"/>
      <c r="AG1079" s="98"/>
      <c r="AH1079" s="98"/>
      <c r="AI1079" s="99"/>
      <c r="AJ1079" s="95">
        <f t="shared" si="1925"/>
        <v>0</v>
      </c>
      <c r="AK1079" s="96">
        <f t="shared" si="1926"/>
        <v>0</v>
      </c>
    </row>
    <row r="1080" spans="1:38" ht="15.6" hidden="1" thickBot="1">
      <c r="A1080" s="91"/>
      <c r="B1080" s="100"/>
      <c r="C1080" s="92"/>
      <c r="D1080" s="101">
        <v>2020</v>
      </c>
      <c r="E1080" s="102"/>
      <c r="F1080" s="124"/>
      <c r="G1080" s="124"/>
      <c r="H1080" s="124"/>
      <c r="I1080" s="124"/>
      <c r="J1080" s="124"/>
      <c r="K1080" s="124"/>
      <c r="L1080" s="124"/>
      <c r="M1080" s="125"/>
      <c r="N1080" s="125"/>
      <c r="O1080" s="125"/>
      <c r="P1080" s="126"/>
      <c r="Q1080" s="103">
        <f t="shared" si="1922"/>
        <v>0</v>
      </c>
      <c r="R1080" s="104">
        <f t="shared" si="1869"/>
        <v>0</v>
      </c>
      <c r="S1080" s="105"/>
      <c r="T1080" s="91"/>
      <c r="U1080" s="100"/>
      <c r="V1080" s="92"/>
      <c r="W1080" s="101">
        <v>2020</v>
      </c>
      <c r="X1080" s="102"/>
      <c r="Y1080" s="124"/>
      <c r="Z1080" s="124"/>
      <c r="AA1080" s="124"/>
      <c r="AB1080" s="124"/>
      <c r="AC1080" s="124"/>
      <c r="AD1080" s="124"/>
      <c r="AE1080" s="124"/>
      <c r="AF1080" s="125"/>
      <c r="AG1080" s="125"/>
      <c r="AH1080" s="125"/>
      <c r="AI1080" s="126"/>
      <c r="AJ1080" s="103">
        <f t="shared" si="1925"/>
        <v>0</v>
      </c>
      <c r="AK1080" s="104">
        <f t="shared" si="1926"/>
        <v>0</v>
      </c>
      <c r="AL1080" s="105"/>
    </row>
    <row r="1081" spans="1:38" ht="15.6" hidden="1" thickBot="1">
      <c r="A1081" s="91"/>
      <c r="B1081" s="100"/>
      <c r="C1081" s="92"/>
      <c r="D1081" s="101" t="s">
        <v>102</v>
      </c>
      <c r="E1081" s="106" t="e">
        <f t="shared" ref="E1081:R1081" si="1927">E1080/E1079</f>
        <v>#DIV/0!</v>
      </c>
      <c r="F1081" s="106" t="e">
        <f t="shared" si="1927"/>
        <v>#DIV/0!</v>
      </c>
      <c r="G1081" s="106" t="e">
        <f t="shared" si="1927"/>
        <v>#DIV/0!</v>
      </c>
      <c r="H1081" s="106" t="e">
        <f t="shared" si="1927"/>
        <v>#DIV/0!</v>
      </c>
      <c r="I1081" s="106" t="e">
        <f t="shared" si="1927"/>
        <v>#DIV/0!</v>
      </c>
      <c r="J1081" s="106" t="e">
        <f t="shared" si="1927"/>
        <v>#DIV/0!</v>
      </c>
      <c r="K1081" s="106" t="e">
        <f t="shared" si="1927"/>
        <v>#DIV/0!</v>
      </c>
      <c r="L1081" s="106" t="e">
        <f t="shared" si="1927"/>
        <v>#DIV/0!</v>
      </c>
      <c r="M1081" s="107" t="e">
        <f t="shared" si="1927"/>
        <v>#DIV/0!</v>
      </c>
      <c r="N1081" s="107" t="e">
        <f t="shared" si="1927"/>
        <v>#DIV/0!</v>
      </c>
      <c r="O1081" s="107" t="e">
        <f t="shared" si="1927"/>
        <v>#DIV/0!</v>
      </c>
      <c r="P1081" s="108" t="e">
        <f t="shared" si="1927"/>
        <v>#DIV/0!</v>
      </c>
      <c r="Q1081" s="109" t="e">
        <f t="shared" si="1927"/>
        <v>#DIV/0!</v>
      </c>
      <c r="R1081" s="110" t="e">
        <f t="shared" si="1927"/>
        <v>#DIV/0!</v>
      </c>
      <c r="S1081" s="105"/>
      <c r="T1081" s="91"/>
      <c r="U1081" s="100"/>
      <c r="V1081" s="92"/>
      <c r="W1081" s="101" t="s">
        <v>102</v>
      </c>
      <c r="X1081" s="106" t="e">
        <f t="shared" ref="X1081:AK1081" si="1928">X1080/X1079</f>
        <v>#DIV/0!</v>
      </c>
      <c r="Y1081" s="106" t="e">
        <f t="shared" si="1928"/>
        <v>#DIV/0!</v>
      </c>
      <c r="Z1081" s="106" t="e">
        <f t="shared" si="1928"/>
        <v>#DIV/0!</v>
      </c>
      <c r="AA1081" s="106" t="e">
        <f t="shared" si="1928"/>
        <v>#DIV/0!</v>
      </c>
      <c r="AB1081" s="106" t="e">
        <f t="shared" si="1928"/>
        <v>#DIV/0!</v>
      </c>
      <c r="AC1081" s="106" t="e">
        <f t="shared" si="1928"/>
        <v>#DIV/0!</v>
      </c>
      <c r="AD1081" s="106" t="e">
        <f t="shared" si="1928"/>
        <v>#DIV/0!</v>
      </c>
      <c r="AE1081" s="106" t="e">
        <f t="shared" si="1928"/>
        <v>#DIV/0!</v>
      </c>
      <c r="AF1081" s="107" t="e">
        <f t="shared" si="1928"/>
        <v>#DIV/0!</v>
      </c>
      <c r="AG1081" s="107" t="e">
        <f t="shared" si="1928"/>
        <v>#DIV/0!</v>
      </c>
      <c r="AH1081" s="107" t="e">
        <f t="shared" si="1928"/>
        <v>#DIV/0!</v>
      </c>
      <c r="AI1081" s="108" t="e">
        <f t="shared" si="1928"/>
        <v>#DIV/0!</v>
      </c>
      <c r="AJ1081" s="109" t="e">
        <f t="shared" si="1928"/>
        <v>#DIV/0!</v>
      </c>
      <c r="AK1081" s="110" t="e">
        <f t="shared" si="1928"/>
        <v>#DIV/0!</v>
      </c>
      <c r="AL1081" s="105"/>
    </row>
    <row r="1082" spans="1:38" ht="15.6" hidden="1" thickBot="1">
      <c r="A1082" s="91"/>
      <c r="B1082" s="100"/>
      <c r="C1082" s="111"/>
      <c r="D1082" s="112" t="s">
        <v>103</v>
      </c>
      <c r="E1082" s="113" t="e">
        <f t="shared" ref="E1082:R1082" si="1929">E1080/E1078</f>
        <v>#DIV/0!</v>
      </c>
      <c r="F1082" s="113" t="e">
        <f t="shared" si="1929"/>
        <v>#DIV/0!</v>
      </c>
      <c r="G1082" s="113" t="e">
        <f t="shared" si="1929"/>
        <v>#DIV/0!</v>
      </c>
      <c r="H1082" s="113" t="e">
        <f t="shared" si="1929"/>
        <v>#DIV/0!</v>
      </c>
      <c r="I1082" s="113" t="e">
        <f t="shared" si="1929"/>
        <v>#DIV/0!</v>
      </c>
      <c r="J1082" s="113" t="e">
        <f t="shared" si="1929"/>
        <v>#DIV/0!</v>
      </c>
      <c r="K1082" s="113" t="e">
        <f t="shared" si="1929"/>
        <v>#DIV/0!</v>
      </c>
      <c r="L1082" s="113" t="e">
        <f t="shared" si="1929"/>
        <v>#DIV/0!</v>
      </c>
      <c r="M1082" s="113" t="e">
        <f t="shared" si="1929"/>
        <v>#DIV/0!</v>
      </c>
      <c r="N1082" s="113" t="e">
        <f t="shared" si="1929"/>
        <v>#DIV/0!</v>
      </c>
      <c r="O1082" s="113" t="e">
        <f t="shared" si="1929"/>
        <v>#DIV/0!</v>
      </c>
      <c r="P1082" s="114" t="e">
        <f t="shared" si="1929"/>
        <v>#DIV/0!</v>
      </c>
      <c r="Q1082" s="115" t="e">
        <f t="shared" si="1929"/>
        <v>#DIV/0!</v>
      </c>
      <c r="R1082" s="116" t="e">
        <f t="shared" si="1929"/>
        <v>#DIV/0!</v>
      </c>
      <c r="T1082" s="91"/>
      <c r="U1082" s="100"/>
      <c r="V1082" s="111"/>
      <c r="W1082" s="112" t="s">
        <v>103</v>
      </c>
      <c r="X1082" s="113" t="e">
        <f t="shared" ref="X1082:AK1082" si="1930">X1080/X1078</f>
        <v>#DIV/0!</v>
      </c>
      <c r="Y1082" s="113" t="e">
        <f t="shared" si="1930"/>
        <v>#DIV/0!</v>
      </c>
      <c r="Z1082" s="113" t="e">
        <f t="shared" si="1930"/>
        <v>#DIV/0!</v>
      </c>
      <c r="AA1082" s="113" t="e">
        <f t="shared" si="1930"/>
        <v>#DIV/0!</v>
      </c>
      <c r="AB1082" s="113" t="e">
        <f t="shared" si="1930"/>
        <v>#DIV/0!</v>
      </c>
      <c r="AC1082" s="113" t="e">
        <f t="shared" si="1930"/>
        <v>#DIV/0!</v>
      </c>
      <c r="AD1082" s="113" t="e">
        <f t="shared" si="1930"/>
        <v>#DIV/0!</v>
      </c>
      <c r="AE1082" s="113" t="e">
        <f t="shared" si="1930"/>
        <v>#DIV/0!</v>
      </c>
      <c r="AF1082" s="113" t="e">
        <f t="shared" si="1930"/>
        <v>#DIV/0!</v>
      </c>
      <c r="AG1082" s="113" t="e">
        <f t="shared" si="1930"/>
        <v>#DIV/0!</v>
      </c>
      <c r="AH1082" s="113" t="e">
        <f t="shared" si="1930"/>
        <v>#DIV/0!</v>
      </c>
      <c r="AI1082" s="114" t="e">
        <f t="shared" si="1930"/>
        <v>#DIV/0!</v>
      </c>
      <c r="AJ1082" s="115" t="e">
        <f t="shared" si="1930"/>
        <v>#DIV/0!</v>
      </c>
      <c r="AK1082" s="116" t="e">
        <f t="shared" si="1930"/>
        <v>#DIV/0!</v>
      </c>
    </row>
    <row r="1083" spans="1:38" ht="15.6" hidden="1" thickBot="1">
      <c r="A1083" s="91"/>
      <c r="B1083" s="100"/>
      <c r="C1083" s="86"/>
      <c r="D1083" s="87">
        <v>2019</v>
      </c>
      <c r="E1083" s="88"/>
      <c r="F1083" s="121"/>
      <c r="G1083" s="121"/>
      <c r="H1083" s="121"/>
      <c r="I1083" s="121"/>
      <c r="J1083" s="121"/>
      <c r="K1083" s="121"/>
      <c r="L1083" s="121"/>
      <c r="M1083" s="122"/>
      <c r="N1083" s="122"/>
      <c r="O1083" s="122"/>
      <c r="P1083" s="123"/>
      <c r="Q1083" s="89">
        <f t="shared" ref="Q1083:Q1085" si="1931">SUM(E1083:P1083)</f>
        <v>0</v>
      </c>
      <c r="R1083" s="90">
        <f t="shared" ref="R1083" si="1932">SUM(E1083:M1083)</f>
        <v>0</v>
      </c>
      <c r="T1083" s="91"/>
      <c r="U1083" s="100"/>
      <c r="V1083" s="86">
        <f t="shared" ref="V1083:V1084" si="1933">C1083</f>
        <v>0</v>
      </c>
      <c r="W1083" s="87">
        <v>2019</v>
      </c>
      <c r="X1083" s="88"/>
      <c r="Y1083" s="121"/>
      <c r="Z1083" s="121"/>
      <c r="AA1083" s="121"/>
      <c r="AB1083" s="121"/>
      <c r="AC1083" s="121"/>
      <c r="AD1083" s="121"/>
      <c r="AE1083" s="121"/>
      <c r="AF1083" s="122"/>
      <c r="AG1083" s="122"/>
      <c r="AH1083" s="122"/>
      <c r="AI1083" s="123"/>
      <c r="AJ1083" s="89">
        <f t="shared" ref="AJ1083:AJ1085" si="1934">SUM(X1083:AI1083)</f>
        <v>0</v>
      </c>
      <c r="AK1083" s="90">
        <f t="shared" ref="AK1083:AK1085" si="1935">SUM(X1083:AF1083)</f>
        <v>0</v>
      </c>
    </row>
    <row r="1084" spans="1:38" ht="15.6" hidden="1" thickBot="1">
      <c r="A1084" s="91"/>
      <c r="B1084" s="100"/>
      <c r="C1084" s="92"/>
      <c r="D1084" s="93" t="s">
        <v>92</v>
      </c>
      <c r="E1084" s="94"/>
      <c r="F1084" s="97"/>
      <c r="G1084" s="97"/>
      <c r="H1084" s="97"/>
      <c r="I1084" s="97"/>
      <c r="J1084" s="97"/>
      <c r="K1084" s="97"/>
      <c r="L1084" s="97"/>
      <c r="M1084" s="98"/>
      <c r="N1084" s="98"/>
      <c r="O1084" s="98"/>
      <c r="P1084" s="99"/>
      <c r="Q1084" s="95">
        <f t="shared" si="1931"/>
        <v>0</v>
      </c>
      <c r="R1084" s="96">
        <f t="shared" si="1869"/>
        <v>0</v>
      </c>
      <c r="T1084" s="91"/>
      <c r="U1084" s="100"/>
      <c r="V1084" s="92">
        <f t="shared" si="1933"/>
        <v>0</v>
      </c>
      <c r="W1084" s="93" t="s">
        <v>92</v>
      </c>
      <c r="X1084" s="94"/>
      <c r="Y1084" s="97"/>
      <c r="Z1084" s="97"/>
      <c r="AA1084" s="97"/>
      <c r="AB1084" s="97"/>
      <c r="AC1084" s="97"/>
      <c r="AD1084" s="97"/>
      <c r="AE1084" s="97"/>
      <c r="AF1084" s="98"/>
      <c r="AG1084" s="98"/>
      <c r="AH1084" s="98"/>
      <c r="AI1084" s="99"/>
      <c r="AJ1084" s="95">
        <f t="shared" si="1934"/>
        <v>0</v>
      </c>
      <c r="AK1084" s="96">
        <f t="shared" si="1935"/>
        <v>0</v>
      </c>
    </row>
    <row r="1085" spans="1:38" ht="15.6" hidden="1" thickBot="1">
      <c r="A1085" s="91"/>
      <c r="B1085" s="100"/>
      <c r="C1085" s="92"/>
      <c r="D1085" s="101">
        <v>2020</v>
      </c>
      <c r="E1085" s="102"/>
      <c r="F1085" s="124"/>
      <c r="G1085" s="124"/>
      <c r="H1085" s="124"/>
      <c r="I1085" s="124"/>
      <c r="J1085" s="124"/>
      <c r="K1085" s="124"/>
      <c r="L1085" s="124"/>
      <c r="M1085" s="125"/>
      <c r="N1085" s="125"/>
      <c r="O1085" s="125"/>
      <c r="P1085" s="126"/>
      <c r="Q1085" s="103">
        <f t="shared" si="1931"/>
        <v>0</v>
      </c>
      <c r="R1085" s="104">
        <f t="shared" si="1869"/>
        <v>0</v>
      </c>
      <c r="S1085" s="105"/>
      <c r="T1085" s="91"/>
      <c r="U1085" s="100"/>
      <c r="V1085" s="92"/>
      <c r="W1085" s="101">
        <v>2020</v>
      </c>
      <c r="X1085" s="102"/>
      <c r="Y1085" s="124"/>
      <c r="Z1085" s="124"/>
      <c r="AA1085" s="124"/>
      <c r="AB1085" s="124"/>
      <c r="AC1085" s="124"/>
      <c r="AD1085" s="124"/>
      <c r="AE1085" s="124"/>
      <c r="AF1085" s="125"/>
      <c r="AG1085" s="125"/>
      <c r="AH1085" s="125"/>
      <c r="AI1085" s="126"/>
      <c r="AJ1085" s="103">
        <f t="shared" si="1934"/>
        <v>0</v>
      </c>
      <c r="AK1085" s="104">
        <f t="shared" si="1935"/>
        <v>0</v>
      </c>
      <c r="AL1085" s="105"/>
    </row>
    <row r="1086" spans="1:38" ht="15.6" hidden="1" thickBot="1">
      <c r="A1086" s="91"/>
      <c r="B1086" s="100"/>
      <c r="C1086" s="92"/>
      <c r="D1086" s="101" t="s">
        <v>102</v>
      </c>
      <c r="E1086" s="106" t="e">
        <f t="shared" ref="E1086:R1086" si="1936">E1085/E1084</f>
        <v>#DIV/0!</v>
      </c>
      <c r="F1086" s="106" t="e">
        <f t="shared" si="1936"/>
        <v>#DIV/0!</v>
      </c>
      <c r="G1086" s="106" t="e">
        <f t="shared" si="1936"/>
        <v>#DIV/0!</v>
      </c>
      <c r="H1086" s="106" t="e">
        <f t="shared" si="1936"/>
        <v>#DIV/0!</v>
      </c>
      <c r="I1086" s="106" t="e">
        <f t="shared" si="1936"/>
        <v>#DIV/0!</v>
      </c>
      <c r="J1086" s="106" t="e">
        <f t="shared" si="1936"/>
        <v>#DIV/0!</v>
      </c>
      <c r="K1086" s="106" t="e">
        <f t="shared" si="1936"/>
        <v>#DIV/0!</v>
      </c>
      <c r="L1086" s="106" t="e">
        <f t="shared" si="1936"/>
        <v>#DIV/0!</v>
      </c>
      <c r="M1086" s="107" t="e">
        <f t="shared" si="1936"/>
        <v>#DIV/0!</v>
      </c>
      <c r="N1086" s="107" t="e">
        <f t="shared" si="1936"/>
        <v>#DIV/0!</v>
      </c>
      <c r="O1086" s="107" t="e">
        <f t="shared" si="1936"/>
        <v>#DIV/0!</v>
      </c>
      <c r="P1086" s="108" t="e">
        <f t="shared" si="1936"/>
        <v>#DIV/0!</v>
      </c>
      <c r="Q1086" s="109" t="e">
        <f t="shared" si="1936"/>
        <v>#DIV/0!</v>
      </c>
      <c r="R1086" s="110" t="e">
        <f t="shared" si="1936"/>
        <v>#DIV/0!</v>
      </c>
      <c r="S1086" s="105"/>
      <c r="T1086" s="91"/>
      <c r="U1086" s="100"/>
      <c r="V1086" s="92"/>
      <c r="W1086" s="101" t="s">
        <v>102</v>
      </c>
      <c r="X1086" s="106" t="e">
        <f t="shared" ref="X1086:AK1086" si="1937">X1085/X1084</f>
        <v>#DIV/0!</v>
      </c>
      <c r="Y1086" s="106" t="e">
        <f t="shared" si="1937"/>
        <v>#DIV/0!</v>
      </c>
      <c r="Z1086" s="106" t="e">
        <f t="shared" si="1937"/>
        <v>#DIV/0!</v>
      </c>
      <c r="AA1086" s="106" t="e">
        <f t="shared" si="1937"/>
        <v>#DIV/0!</v>
      </c>
      <c r="AB1086" s="106" t="e">
        <f t="shared" si="1937"/>
        <v>#DIV/0!</v>
      </c>
      <c r="AC1086" s="106" t="e">
        <f t="shared" si="1937"/>
        <v>#DIV/0!</v>
      </c>
      <c r="AD1086" s="106" t="e">
        <f t="shared" si="1937"/>
        <v>#DIV/0!</v>
      </c>
      <c r="AE1086" s="106" t="e">
        <f t="shared" si="1937"/>
        <v>#DIV/0!</v>
      </c>
      <c r="AF1086" s="107" t="e">
        <f t="shared" si="1937"/>
        <v>#DIV/0!</v>
      </c>
      <c r="AG1086" s="107" t="e">
        <f t="shared" si="1937"/>
        <v>#DIV/0!</v>
      </c>
      <c r="AH1086" s="107" t="e">
        <f t="shared" si="1937"/>
        <v>#DIV/0!</v>
      </c>
      <c r="AI1086" s="108" t="e">
        <f t="shared" si="1937"/>
        <v>#DIV/0!</v>
      </c>
      <c r="AJ1086" s="109" t="e">
        <f t="shared" si="1937"/>
        <v>#DIV/0!</v>
      </c>
      <c r="AK1086" s="110" t="e">
        <f t="shared" si="1937"/>
        <v>#DIV/0!</v>
      </c>
      <c r="AL1086" s="105"/>
    </row>
    <row r="1087" spans="1:38" ht="15.6" hidden="1" thickBot="1">
      <c r="A1087" s="91"/>
      <c r="B1087" s="100"/>
      <c r="C1087" s="111"/>
      <c r="D1087" s="112" t="s">
        <v>103</v>
      </c>
      <c r="E1087" s="113" t="e">
        <f t="shared" ref="E1087:R1087" si="1938">E1085/E1083</f>
        <v>#DIV/0!</v>
      </c>
      <c r="F1087" s="113" t="e">
        <f t="shared" si="1938"/>
        <v>#DIV/0!</v>
      </c>
      <c r="G1087" s="113" t="e">
        <f t="shared" si="1938"/>
        <v>#DIV/0!</v>
      </c>
      <c r="H1087" s="113" t="e">
        <f t="shared" si="1938"/>
        <v>#DIV/0!</v>
      </c>
      <c r="I1087" s="113" t="e">
        <f t="shared" si="1938"/>
        <v>#DIV/0!</v>
      </c>
      <c r="J1087" s="113" t="e">
        <f t="shared" si="1938"/>
        <v>#DIV/0!</v>
      </c>
      <c r="K1087" s="113" t="e">
        <f t="shared" si="1938"/>
        <v>#DIV/0!</v>
      </c>
      <c r="L1087" s="113" t="e">
        <f t="shared" si="1938"/>
        <v>#DIV/0!</v>
      </c>
      <c r="M1087" s="113" t="e">
        <f t="shared" si="1938"/>
        <v>#DIV/0!</v>
      </c>
      <c r="N1087" s="113" t="e">
        <f t="shared" si="1938"/>
        <v>#DIV/0!</v>
      </c>
      <c r="O1087" s="113" t="e">
        <f t="shared" si="1938"/>
        <v>#DIV/0!</v>
      </c>
      <c r="P1087" s="114" t="e">
        <f t="shared" si="1938"/>
        <v>#DIV/0!</v>
      </c>
      <c r="Q1087" s="115" t="e">
        <f t="shared" si="1938"/>
        <v>#DIV/0!</v>
      </c>
      <c r="R1087" s="116" t="e">
        <f t="shared" si="1938"/>
        <v>#DIV/0!</v>
      </c>
      <c r="T1087" s="91"/>
      <c r="U1087" s="100"/>
      <c r="V1087" s="111"/>
      <c r="W1087" s="112" t="s">
        <v>103</v>
      </c>
      <c r="X1087" s="113" t="e">
        <f t="shared" ref="X1087:AK1087" si="1939">X1085/X1083</f>
        <v>#DIV/0!</v>
      </c>
      <c r="Y1087" s="113" t="e">
        <f t="shared" si="1939"/>
        <v>#DIV/0!</v>
      </c>
      <c r="Z1087" s="113" t="e">
        <f t="shared" si="1939"/>
        <v>#DIV/0!</v>
      </c>
      <c r="AA1087" s="113" t="e">
        <f t="shared" si="1939"/>
        <v>#DIV/0!</v>
      </c>
      <c r="AB1087" s="113" t="e">
        <f t="shared" si="1939"/>
        <v>#DIV/0!</v>
      </c>
      <c r="AC1087" s="113" t="e">
        <f t="shared" si="1939"/>
        <v>#DIV/0!</v>
      </c>
      <c r="AD1087" s="113" t="e">
        <f t="shared" si="1939"/>
        <v>#DIV/0!</v>
      </c>
      <c r="AE1087" s="113" t="e">
        <f t="shared" si="1939"/>
        <v>#DIV/0!</v>
      </c>
      <c r="AF1087" s="113" t="e">
        <f t="shared" si="1939"/>
        <v>#DIV/0!</v>
      </c>
      <c r="AG1087" s="113" t="e">
        <f t="shared" si="1939"/>
        <v>#DIV/0!</v>
      </c>
      <c r="AH1087" s="113" t="e">
        <f t="shared" si="1939"/>
        <v>#DIV/0!</v>
      </c>
      <c r="AI1087" s="114" t="e">
        <f t="shared" si="1939"/>
        <v>#DIV/0!</v>
      </c>
      <c r="AJ1087" s="115" t="e">
        <f t="shared" si="1939"/>
        <v>#DIV/0!</v>
      </c>
      <c r="AK1087" s="116" t="e">
        <f t="shared" si="1939"/>
        <v>#DIV/0!</v>
      </c>
    </row>
    <row r="1088" spans="1:38" ht="15.6" hidden="1" thickBot="1">
      <c r="A1088" s="91"/>
      <c r="B1088" s="100"/>
      <c r="C1088" s="86"/>
      <c r="D1088" s="87">
        <v>2019</v>
      </c>
      <c r="E1088" s="88"/>
      <c r="F1088" s="121"/>
      <c r="G1088" s="121"/>
      <c r="H1088" s="121"/>
      <c r="I1088" s="121"/>
      <c r="J1088" s="121"/>
      <c r="K1088" s="121"/>
      <c r="L1088" s="121"/>
      <c r="M1088" s="122"/>
      <c r="N1088" s="122"/>
      <c r="O1088" s="122"/>
      <c r="P1088" s="123"/>
      <c r="Q1088" s="89">
        <f t="shared" ref="Q1088:Q1090" si="1940">SUM(E1088:P1088)</f>
        <v>0</v>
      </c>
      <c r="R1088" s="90">
        <f t="shared" ref="R1088" si="1941">SUM(E1088:M1088)</f>
        <v>0</v>
      </c>
      <c r="T1088" s="91"/>
      <c r="U1088" s="100"/>
      <c r="V1088" s="86">
        <f t="shared" ref="V1088:V1089" si="1942">C1088</f>
        <v>0</v>
      </c>
      <c r="W1088" s="87">
        <v>2019</v>
      </c>
      <c r="X1088" s="88"/>
      <c r="Y1088" s="121"/>
      <c r="Z1088" s="121"/>
      <c r="AA1088" s="121"/>
      <c r="AB1088" s="121"/>
      <c r="AC1088" s="121"/>
      <c r="AD1088" s="121"/>
      <c r="AE1088" s="121"/>
      <c r="AF1088" s="122"/>
      <c r="AG1088" s="122"/>
      <c r="AH1088" s="122"/>
      <c r="AI1088" s="123"/>
      <c r="AJ1088" s="89">
        <f t="shared" ref="AJ1088:AJ1090" si="1943">SUM(X1088:AI1088)</f>
        <v>0</v>
      </c>
      <c r="AK1088" s="90">
        <f t="shared" ref="AK1088:AK1090" si="1944">SUM(X1088:AF1088)</f>
        <v>0</v>
      </c>
    </row>
    <row r="1089" spans="1:38" ht="15.6" hidden="1" thickBot="1">
      <c r="A1089" s="91"/>
      <c r="B1089" s="100"/>
      <c r="C1089" s="92"/>
      <c r="D1089" s="93" t="s">
        <v>92</v>
      </c>
      <c r="E1089" s="94"/>
      <c r="F1089" s="97"/>
      <c r="G1089" s="97"/>
      <c r="H1089" s="97"/>
      <c r="I1089" s="97"/>
      <c r="J1089" s="97"/>
      <c r="K1089" s="97"/>
      <c r="L1089" s="97"/>
      <c r="M1089" s="98"/>
      <c r="N1089" s="98"/>
      <c r="O1089" s="98"/>
      <c r="P1089" s="99"/>
      <c r="Q1089" s="95">
        <f t="shared" si="1940"/>
        <v>0</v>
      </c>
      <c r="R1089" s="96">
        <f t="shared" si="1869"/>
        <v>0</v>
      </c>
      <c r="T1089" s="91"/>
      <c r="U1089" s="100"/>
      <c r="V1089" s="92">
        <f t="shared" si="1942"/>
        <v>0</v>
      </c>
      <c r="W1089" s="93" t="s">
        <v>92</v>
      </c>
      <c r="X1089" s="94"/>
      <c r="Y1089" s="97"/>
      <c r="Z1089" s="97"/>
      <c r="AA1089" s="97"/>
      <c r="AB1089" s="97"/>
      <c r="AC1089" s="97"/>
      <c r="AD1089" s="97"/>
      <c r="AE1089" s="97"/>
      <c r="AF1089" s="98"/>
      <c r="AG1089" s="98"/>
      <c r="AH1089" s="98"/>
      <c r="AI1089" s="99"/>
      <c r="AJ1089" s="95">
        <f t="shared" si="1943"/>
        <v>0</v>
      </c>
      <c r="AK1089" s="96">
        <f t="shared" si="1944"/>
        <v>0</v>
      </c>
    </row>
    <row r="1090" spans="1:38" ht="15.6" hidden="1" thickBot="1">
      <c r="A1090" s="91"/>
      <c r="B1090" s="100"/>
      <c r="C1090" s="92"/>
      <c r="D1090" s="101">
        <v>2020</v>
      </c>
      <c r="E1090" s="102"/>
      <c r="F1090" s="124"/>
      <c r="G1090" s="124"/>
      <c r="H1090" s="124"/>
      <c r="I1090" s="124"/>
      <c r="J1090" s="124"/>
      <c r="K1090" s="124"/>
      <c r="L1090" s="124"/>
      <c r="M1090" s="125"/>
      <c r="N1090" s="125"/>
      <c r="O1090" s="125"/>
      <c r="P1090" s="126"/>
      <c r="Q1090" s="103">
        <f t="shared" si="1940"/>
        <v>0</v>
      </c>
      <c r="R1090" s="104">
        <f t="shared" si="1869"/>
        <v>0</v>
      </c>
      <c r="S1090" s="105"/>
      <c r="T1090" s="91"/>
      <c r="U1090" s="100"/>
      <c r="V1090" s="92"/>
      <c r="W1090" s="101">
        <v>2020</v>
      </c>
      <c r="X1090" s="102"/>
      <c r="Y1090" s="124"/>
      <c r="Z1090" s="124"/>
      <c r="AA1090" s="124"/>
      <c r="AB1090" s="124"/>
      <c r="AC1090" s="124"/>
      <c r="AD1090" s="124"/>
      <c r="AE1090" s="124"/>
      <c r="AF1090" s="125"/>
      <c r="AG1090" s="125"/>
      <c r="AH1090" s="125"/>
      <c r="AI1090" s="126"/>
      <c r="AJ1090" s="103">
        <f t="shared" si="1943"/>
        <v>0</v>
      </c>
      <c r="AK1090" s="104">
        <f t="shared" si="1944"/>
        <v>0</v>
      </c>
      <c r="AL1090" s="105"/>
    </row>
    <row r="1091" spans="1:38" ht="15.6" hidden="1" thickBot="1">
      <c r="A1091" s="91"/>
      <c r="B1091" s="100"/>
      <c r="C1091" s="92"/>
      <c r="D1091" s="101" t="s">
        <v>102</v>
      </c>
      <c r="E1091" s="106" t="e">
        <f t="shared" ref="E1091:R1091" si="1945">E1090/E1089</f>
        <v>#DIV/0!</v>
      </c>
      <c r="F1091" s="106" t="e">
        <f t="shared" si="1945"/>
        <v>#DIV/0!</v>
      </c>
      <c r="G1091" s="106" t="e">
        <f t="shared" si="1945"/>
        <v>#DIV/0!</v>
      </c>
      <c r="H1091" s="106" t="e">
        <f t="shared" si="1945"/>
        <v>#DIV/0!</v>
      </c>
      <c r="I1091" s="106" t="e">
        <f t="shared" si="1945"/>
        <v>#DIV/0!</v>
      </c>
      <c r="J1091" s="106" t="e">
        <f t="shared" si="1945"/>
        <v>#DIV/0!</v>
      </c>
      <c r="K1091" s="106" t="e">
        <f t="shared" si="1945"/>
        <v>#DIV/0!</v>
      </c>
      <c r="L1091" s="106" t="e">
        <f t="shared" si="1945"/>
        <v>#DIV/0!</v>
      </c>
      <c r="M1091" s="107" t="e">
        <f t="shared" si="1945"/>
        <v>#DIV/0!</v>
      </c>
      <c r="N1091" s="107" t="e">
        <f t="shared" si="1945"/>
        <v>#DIV/0!</v>
      </c>
      <c r="O1091" s="107" t="e">
        <f t="shared" si="1945"/>
        <v>#DIV/0!</v>
      </c>
      <c r="P1091" s="108" t="e">
        <f t="shared" si="1945"/>
        <v>#DIV/0!</v>
      </c>
      <c r="Q1091" s="109" t="e">
        <f t="shared" si="1945"/>
        <v>#DIV/0!</v>
      </c>
      <c r="R1091" s="110" t="e">
        <f t="shared" si="1945"/>
        <v>#DIV/0!</v>
      </c>
      <c r="S1091" s="105"/>
      <c r="T1091" s="91"/>
      <c r="U1091" s="100"/>
      <c r="V1091" s="92"/>
      <c r="W1091" s="101" t="s">
        <v>102</v>
      </c>
      <c r="X1091" s="106" t="e">
        <f t="shared" ref="X1091:AK1091" si="1946">X1090/X1089</f>
        <v>#DIV/0!</v>
      </c>
      <c r="Y1091" s="106" t="e">
        <f t="shared" si="1946"/>
        <v>#DIV/0!</v>
      </c>
      <c r="Z1091" s="106" t="e">
        <f t="shared" si="1946"/>
        <v>#DIV/0!</v>
      </c>
      <c r="AA1091" s="106" t="e">
        <f t="shared" si="1946"/>
        <v>#DIV/0!</v>
      </c>
      <c r="AB1091" s="106" t="e">
        <f t="shared" si="1946"/>
        <v>#DIV/0!</v>
      </c>
      <c r="AC1091" s="106" t="e">
        <f t="shared" si="1946"/>
        <v>#DIV/0!</v>
      </c>
      <c r="AD1091" s="106" t="e">
        <f t="shared" si="1946"/>
        <v>#DIV/0!</v>
      </c>
      <c r="AE1091" s="106" t="e">
        <f t="shared" si="1946"/>
        <v>#DIV/0!</v>
      </c>
      <c r="AF1091" s="107" t="e">
        <f t="shared" si="1946"/>
        <v>#DIV/0!</v>
      </c>
      <c r="AG1091" s="107" t="e">
        <f t="shared" si="1946"/>
        <v>#DIV/0!</v>
      </c>
      <c r="AH1091" s="107" t="e">
        <f t="shared" si="1946"/>
        <v>#DIV/0!</v>
      </c>
      <c r="AI1091" s="108" t="e">
        <f t="shared" si="1946"/>
        <v>#DIV/0!</v>
      </c>
      <c r="AJ1091" s="109" t="e">
        <f t="shared" si="1946"/>
        <v>#DIV/0!</v>
      </c>
      <c r="AK1091" s="110" t="e">
        <f t="shared" si="1946"/>
        <v>#DIV/0!</v>
      </c>
      <c r="AL1091" s="105"/>
    </row>
    <row r="1092" spans="1:38" ht="15.6" hidden="1" thickBot="1">
      <c r="A1092" s="91"/>
      <c r="B1092" s="100"/>
      <c r="C1092" s="111"/>
      <c r="D1092" s="112" t="s">
        <v>103</v>
      </c>
      <c r="E1092" s="113" t="e">
        <f t="shared" ref="E1092:R1092" si="1947">E1090/E1088</f>
        <v>#DIV/0!</v>
      </c>
      <c r="F1092" s="113" t="e">
        <f t="shared" si="1947"/>
        <v>#DIV/0!</v>
      </c>
      <c r="G1092" s="113" t="e">
        <f t="shared" si="1947"/>
        <v>#DIV/0!</v>
      </c>
      <c r="H1092" s="113" t="e">
        <f t="shared" si="1947"/>
        <v>#DIV/0!</v>
      </c>
      <c r="I1092" s="113" t="e">
        <f t="shared" si="1947"/>
        <v>#DIV/0!</v>
      </c>
      <c r="J1092" s="113" t="e">
        <f t="shared" si="1947"/>
        <v>#DIV/0!</v>
      </c>
      <c r="K1092" s="113" t="e">
        <f t="shared" si="1947"/>
        <v>#DIV/0!</v>
      </c>
      <c r="L1092" s="113" t="e">
        <f t="shared" si="1947"/>
        <v>#DIV/0!</v>
      </c>
      <c r="M1092" s="113" t="e">
        <f t="shared" si="1947"/>
        <v>#DIV/0!</v>
      </c>
      <c r="N1092" s="113" t="e">
        <f t="shared" si="1947"/>
        <v>#DIV/0!</v>
      </c>
      <c r="O1092" s="113" t="e">
        <f t="shared" si="1947"/>
        <v>#DIV/0!</v>
      </c>
      <c r="P1092" s="114" t="e">
        <f t="shared" si="1947"/>
        <v>#DIV/0!</v>
      </c>
      <c r="Q1092" s="115" t="e">
        <f t="shared" si="1947"/>
        <v>#DIV/0!</v>
      </c>
      <c r="R1092" s="116" t="e">
        <f t="shared" si="1947"/>
        <v>#DIV/0!</v>
      </c>
      <c r="T1092" s="91"/>
      <c r="U1092" s="100"/>
      <c r="V1092" s="111"/>
      <c r="W1092" s="112" t="s">
        <v>103</v>
      </c>
      <c r="X1092" s="113" t="e">
        <f t="shared" ref="X1092:AK1092" si="1948">X1090/X1088</f>
        <v>#DIV/0!</v>
      </c>
      <c r="Y1092" s="113" t="e">
        <f t="shared" si="1948"/>
        <v>#DIV/0!</v>
      </c>
      <c r="Z1092" s="113" t="e">
        <f t="shared" si="1948"/>
        <v>#DIV/0!</v>
      </c>
      <c r="AA1092" s="113" t="e">
        <f t="shared" si="1948"/>
        <v>#DIV/0!</v>
      </c>
      <c r="AB1092" s="113" t="e">
        <f t="shared" si="1948"/>
        <v>#DIV/0!</v>
      </c>
      <c r="AC1092" s="113" t="e">
        <f t="shared" si="1948"/>
        <v>#DIV/0!</v>
      </c>
      <c r="AD1092" s="113" t="e">
        <f t="shared" si="1948"/>
        <v>#DIV/0!</v>
      </c>
      <c r="AE1092" s="113" t="e">
        <f t="shared" si="1948"/>
        <v>#DIV/0!</v>
      </c>
      <c r="AF1092" s="113" t="e">
        <f t="shared" si="1948"/>
        <v>#DIV/0!</v>
      </c>
      <c r="AG1092" s="113" t="e">
        <f t="shared" si="1948"/>
        <v>#DIV/0!</v>
      </c>
      <c r="AH1092" s="113" t="e">
        <f t="shared" si="1948"/>
        <v>#DIV/0!</v>
      </c>
      <c r="AI1092" s="114" t="e">
        <f t="shared" si="1948"/>
        <v>#DIV/0!</v>
      </c>
      <c r="AJ1092" s="115" t="e">
        <f t="shared" si="1948"/>
        <v>#DIV/0!</v>
      </c>
      <c r="AK1092" s="116" t="e">
        <f t="shared" si="1948"/>
        <v>#DIV/0!</v>
      </c>
    </row>
    <row r="1093" spans="1:38" ht="15.6" hidden="1" thickBot="1">
      <c r="A1093" s="91"/>
      <c r="B1093" s="100"/>
      <c r="C1093" s="86"/>
      <c r="D1093" s="87">
        <v>2019</v>
      </c>
      <c r="E1093" s="88"/>
      <c r="F1093" s="121"/>
      <c r="G1093" s="121"/>
      <c r="H1093" s="121"/>
      <c r="I1093" s="121"/>
      <c r="J1093" s="121"/>
      <c r="K1093" s="121"/>
      <c r="L1093" s="121"/>
      <c r="M1093" s="122"/>
      <c r="N1093" s="122"/>
      <c r="O1093" s="122"/>
      <c r="P1093" s="123"/>
      <c r="Q1093" s="89">
        <f t="shared" ref="Q1093:Q1095" si="1949">SUM(E1093:P1093)</f>
        <v>0</v>
      </c>
      <c r="R1093" s="90">
        <f t="shared" ref="R1093" si="1950">SUM(E1093:M1093)</f>
        <v>0</v>
      </c>
      <c r="T1093" s="91"/>
      <c r="U1093" s="100"/>
      <c r="V1093" s="86">
        <f t="shared" ref="V1093:V1094" si="1951">C1093</f>
        <v>0</v>
      </c>
      <c r="W1093" s="87">
        <v>2019</v>
      </c>
      <c r="X1093" s="88"/>
      <c r="Y1093" s="121"/>
      <c r="Z1093" s="121"/>
      <c r="AA1093" s="121"/>
      <c r="AB1093" s="121"/>
      <c r="AC1093" s="121"/>
      <c r="AD1093" s="121"/>
      <c r="AE1093" s="121"/>
      <c r="AF1093" s="122"/>
      <c r="AG1093" s="122"/>
      <c r="AH1093" s="122"/>
      <c r="AI1093" s="123"/>
      <c r="AJ1093" s="89">
        <f t="shared" ref="AJ1093:AJ1095" si="1952">SUM(X1093:AI1093)</f>
        <v>0</v>
      </c>
      <c r="AK1093" s="90">
        <f t="shared" ref="AK1093:AK1095" si="1953">SUM(X1093:AF1093)</f>
        <v>0</v>
      </c>
    </row>
    <row r="1094" spans="1:38" ht="15.6" hidden="1" thickBot="1">
      <c r="A1094" s="91"/>
      <c r="B1094" s="100"/>
      <c r="C1094" s="92"/>
      <c r="D1094" s="93" t="s">
        <v>92</v>
      </c>
      <c r="E1094" s="94"/>
      <c r="F1094" s="97"/>
      <c r="G1094" s="97"/>
      <c r="H1094" s="97"/>
      <c r="I1094" s="97"/>
      <c r="J1094" s="97"/>
      <c r="K1094" s="97"/>
      <c r="L1094" s="97"/>
      <c r="M1094" s="98"/>
      <c r="N1094" s="98"/>
      <c r="O1094" s="98"/>
      <c r="P1094" s="99"/>
      <c r="Q1094" s="95">
        <f t="shared" si="1949"/>
        <v>0</v>
      </c>
      <c r="R1094" s="96">
        <f t="shared" si="1869"/>
        <v>0</v>
      </c>
      <c r="T1094" s="91"/>
      <c r="U1094" s="100"/>
      <c r="V1094" s="92">
        <f t="shared" si="1951"/>
        <v>0</v>
      </c>
      <c r="W1094" s="93" t="s">
        <v>92</v>
      </c>
      <c r="X1094" s="94"/>
      <c r="Y1094" s="97"/>
      <c r="Z1094" s="97"/>
      <c r="AA1094" s="97"/>
      <c r="AB1094" s="97"/>
      <c r="AC1094" s="97"/>
      <c r="AD1094" s="97"/>
      <c r="AE1094" s="97"/>
      <c r="AF1094" s="98"/>
      <c r="AG1094" s="98"/>
      <c r="AH1094" s="98"/>
      <c r="AI1094" s="99"/>
      <c r="AJ1094" s="95">
        <f t="shared" si="1952"/>
        <v>0</v>
      </c>
      <c r="AK1094" s="96">
        <f t="shared" si="1953"/>
        <v>0</v>
      </c>
    </row>
    <row r="1095" spans="1:38" ht="15.6" hidden="1" thickBot="1">
      <c r="A1095" s="91"/>
      <c r="B1095" s="100"/>
      <c r="C1095" s="92"/>
      <c r="D1095" s="101">
        <v>2020</v>
      </c>
      <c r="E1095" s="102"/>
      <c r="F1095" s="124"/>
      <c r="G1095" s="124"/>
      <c r="H1095" s="124"/>
      <c r="I1095" s="124"/>
      <c r="J1095" s="124"/>
      <c r="K1095" s="124"/>
      <c r="L1095" s="124"/>
      <c r="M1095" s="125"/>
      <c r="N1095" s="125"/>
      <c r="O1095" s="125"/>
      <c r="P1095" s="126"/>
      <c r="Q1095" s="103">
        <f t="shared" si="1949"/>
        <v>0</v>
      </c>
      <c r="R1095" s="104">
        <f t="shared" si="1869"/>
        <v>0</v>
      </c>
      <c r="S1095" s="105"/>
      <c r="T1095" s="91"/>
      <c r="U1095" s="100"/>
      <c r="V1095" s="92"/>
      <c r="W1095" s="101">
        <v>2020</v>
      </c>
      <c r="X1095" s="102"/>
      <c r="Y1095" s="124"/>
      <c r="Z1095" s="124"/>
      <c r="AA1095" s="124"/>
      <c r="AB1095" s="124"/>
      <c r="AC1095" s="124"/>
      <c r="AD1095" s="124"/>
      <c r="AE1095" s="124"/>
      <c r="AF1095" s="125"/>
      <c r="AG1095" s="125"/>
      <c r="AH1095" s="125"/>
      <c r="AI1095" s="126"/>
      <c r="AJ1095" s="103">
        <f t="shared" si="1952"/>
        <v>0</v>
      </c>
      <c r="AK1095" s="104">
        <f t="shared" si="1953"/>
        <v>0</v>
      </c>
      <c r="AL1095" s="105"/>
    </row>
    <row r="1096" spans="1:38" ht="15.6" hidden="1" thickBot="1">
      <c r="A1096" s="91"/>
      <c r="B1096" s="100"/>
      <c r="C1096" s="92"/>
      <c r="D1096" s="101" t="s">
        <v>102</v>
      </c>
      <c r="E1096" s="106" t="e">
        <f t="shared" ref="E1096:R1096" si="1954">E1095/E1094</f>
        <v>#DIV/0!</v>
      </c>
      <c r="F1096" s="106" t="e">
        <f t="shared" si="1954"/>
        <v>#DIV/0!</v>
      </c>
      <c r="G1096" s="106" t="e">
        <f t="shared" si="1954"/>
        <v>#DIV/0!</v>
      </c>
      <c r="H1096" s="106" t="e">
        <f t="shared" si="1954"/>
        <v>#DIV/0!</v>
      </c>
      <c r="I1096" s="106" t="e">
        <f t="shared" si="1954"/>
        <v>#DIV/0!</v>
      </c>
      <c r="J1096" s="106" t="e">
        <f t="shared" si="1954"/>
        <v>#DIV/0!</v>
      </c>
      <c r="K1096" s="106" t="e">
        <f t="shared" si="1954"/>
        <v>#DIV/0!</v>
      </c>
      <c r="L1096" s="106" t="e">
        <f t="shared" si="1954"/>
        <v>#DIV/0!</v>
      </c>
      <c r="M1096" s="107" t="e">
        <f t="shared" si="1954"/>
        <v>#DIV/0!</v>
      </c>
      <c r="N1096" s="107" t="e">
        <f t="shared" si="1954"/>
        <v>#DIV/0!</v>
      </c>
      <c r="O1096" s="107" t="e">
        <f t="shared" si="1954"/>
        <v>#DIV/0!</v>
      </c>
      <c r="P1096" s="108" t="e">
        <f t="shared" si="1954"/>
        <v>#DIV/0!</v>
      </c>
      <c r="Q1096" s="109" t="e">
        <f t="shared" si="1954"/>
        <v>#DIV/0!</v>
      </c>
      <c r="R1096" s="110" t="e">
        <f t="shared" si="1954"/>
        <v>#DIV/0!</v>
      </c>
      <c r="S1096" s="105"/>
      <c r="T1096" s="91"/>
      <c r="U1096" s="100"/>
      <c r="V1096" s="92"/>
      <c r="W1096" s="101" t="s">
        <v>102</v>
      </c>
      <c r="X1096" s="106" t="e">
        <f t="shared" ref="X1096:AK1096" si="1955">X1095/X1094</f>
        <v>#DIV/0!</v>
      </c>
      <c r="Y1096" s="106" t="e">
        <f t="shared" si="1955"/>
        <v>#DIV/0!</v>
      </c>
      <c r="Z1096" s="106" t="e">
        <f t="shared" si="1955"/>
        <v>#DIV/0!</v>
      </c>
      <c r="AA1096" s="106" t="e">
        <f t="shared" si="1955"/>
        <v>#DIV/0!</v>
      </c>
      <c r="AB1096" s="106" t="e">
        <f t="shared" si="1955"/>
        <v>#DIV/0!</v>
      </c>
      <c r="AC1096" s="106" t="e">
        <f t="shared" si="1955"/>
        <v>#DIV/0!</v>
      </c>
      <c r="AD1096" s="106" t="e">
        <f t="shared" si="1955"/>
        <v>#DIV/0!</v>
      </c>
      <c r="AE1096" s="106" t="e">
        <f t="shared" si="1955"/>
        <v>#DIV/0!</v>
      </c>
      <c r="AF1096" s="107" t="e">
        <f t="shared" si="1955"/>
        <v>#DIV/0!</v>
      </c>
      <c r="AG1096" s="107" t="e">
        <f t="shared" si="1955"/>
        <v>#DIV/0!</v>
      </c>
      <c r="AH1096" s="107" t="e">
        <f t="shared" si="1955"/>
        <v>#DIV/0!</v>
      </c>
      <c r="AI1096" s="108" t="e">
        <f t="shared" si="1955"/>
        <v>#DIV/0!</v>
      </c>
      <c r="AJ1096" s="109" t="e">
        <f t="shared" si="1955"/>
        <v>#DIV/0!</v>
      </c>
      <c r="AK1096" s="110" t="e">
        <f t="shared" si="1955"/>
        <v>#DIV/0!</v>
      </c>
      <c r="AL1096" s="105"/>
    </row>
    <row r="1097" spans="1:38" ht="15.6" hidden="1" thickBot="1">
      <c r="A1097" s="91"/>
      <c r="B1097" s="100"/>
      <c r="C1097" s="111"/>
      <c r="D1097" s="112" t="s">
        <v>103</v>
      </c>
      <c r="E1097" s="113" t="e">
        <f t="shared" ref="E1097:R1097" si="1956">E1095/E1093</f>
        <v>#DIV/0!</v>
      </c>
      <c r="F1097" s="113" t="e">
        <f t="shared" si="1956"/>
        <v>#DIV/0!</v>
      </c>
      <c r="G1097" s="113" t="e">
        <f t="shared" si="1956"/>
        <v>#DIV/0!</v>
      </c>
      <c r="H1097" s="113" t="e">
        <f t="shared" si="1956"/>
        <v>#DIV/0!</v>
      </c>
      <c r="I1097" s="113" t="e">
        <f t="shared" si="1956"/>
        <v>#DIV/0!</v>
      </c>
      <c r="J1097" s="113" t="e">
        <f t="shared" si="1956"/>
        <v>#DIV/0!</v>
      </c>
      <c r="K1097" s="113" t="e">
        <f t="shared" si="1956"/>
        <v>#DIV/0!</v>
      </c>
      <c r="L1097" s="113" t="e">
        <f t="shared" si="1956"/>
        <v>#DIV/0!</v>
      </c>
      <c r="M1097" s="113" t="e">
        <f t="shared" si="1956"/>
        <v>#DIV/0!</v>
      </c>
      <c r="N1097" s="113" t="e">
        <f t="shared" si="1956"/>
        <v>#DIV/0!</v>
      </c>
      <c r="O1097" s="113" t="e">
        <f t="shared" si="1956"/>
        <v>#DIV/0!</v>
      </c>
      <c r="P1097" s="114" t="e">
        <f t="shared" si="1956"/>
        <v>#DIV/0!</v>
      </c>
      <c r="Q1097" s="115" t="e">
        <f t="shared" si="1956"/>
        <v>#DIV/0!</v>
      </c>
      <c r="R1097" s="116" t="e">
        <f t="shared" si="1956"/>
        <v>#DIV/0!</v>
      </c>
      <c r="T1097" s="91"/>
      <c r="U1097" s="100"/>
      <c r="V1097" s="111"/>
      <c r="W1097" s="112" t="s">
        <v>103</v>
      </c>
      <c r="X1097" s="113" t="e">
        <f t="shared" ref="X1097:AK1097" si="1957">X1095/X1093</f>
        <v>#DIV/0!</v>
      </c>
      <c r="Y1097" s="113" t="e">
        <f t="shared" si="1957"/>
        <v>#DIV/0!</v>
      </c>
      <c r="Z1097" s="113" t="e">
        <f t="shared" si="1957"/>
        <v>#DIV/0!</v>
      </c>
      <c r="AA1097" s="113" t="e">
        <f t="shared" si="1957"/>
        <v>#DIV/0!</v>
      </c>
      <c r="AB1097" s="113" t="e">
        <f t="shared" si="1957"/>
        <v>#DIV/0!</v>
      </c>
      <c r="AC1097" s="113" t="e">
        <f t="shared" si="1957"/>
        <v>#DIV/0!</v>
      </c>
      <c r="AD1097" s="113" t="e">
        <f t="shared" si="1957"/>
        <v>#DIV/0!</v>
      </c>
      <c r="AE1097" s="113" t="e">
        <f t="shared" si="1957"/>
        <v>#DIV/0!</v>
      </c>
      <c r="AF1097" s="113" t="e">
        <f t="shared" si="1957"/>
        <v>#DIV/0!</v>
      </c>
      <c r="AG1097" s="113" t="e">
        <f t="shared" si="1957"/>
        <v>#DIV/0!</v>
      </c>
      <c r="AH1097" s="113" t="e">
        <f t="shared" si="1957"/>
        <v>#DIV/0!</v>
      </c>
      <c r="AI1097" s="114" t="e">
        <f t="shared" si="1957"/>
        <v>#DIV/0!</v>
      </c>
      <c r="AJ1097" s="115" t="e">
        <f t="shared" si="1957"/>
        <v>#DIV/0!</v>
      </c>
      <c r="AK1097" s="116" t="e">
        <f t="shared" si="1957"/>
        <v>#DIV/0!</v>
      </c>
    </row>
    <row r="1098" spans="1:38" ht="15.6" hidden="1" thickBot="1">
      <c r="A1098" s="91"/>
      <c r="B1098" s="100"/>
      <c r="C1098" s="86"/>
      <c r="D1098" s="87">
        <v>2019</v>
      </c>
      <c r="E1098" s="88"/>
      <c r="F1098" s="121"/>
      <c r="G1098" s="121"/>
      <c r="H1098" s="121"/>
      <c r="I1098" s="121"/>
      <c r="J1098" s="121"/>
      <c r="K1098" s="121"/>
      <c r="L1098" s="121"/>
      <c r="M1098" s="122"/>
      <c r="N1098" s="122"/>
      <c r="O1098" s="122"/>
      <c r="P1098" s="123"/>
      <c r="Q1098" s="89">
        <f t="shared" ref="Q1098:Q1100" si="1958">SUM(E1098:P1098)</f>
        <v>0</v>
      </c>
      <c r="R1098" s="90">
        <f t="shared" ref="R1098" si="1959">SUM(E1098:M1098)</f>
        <v>0</v>
      </c>
      <c r="T1098" s="91"/>
      <c r="U1098" s="100"/>
      <c r="V1098" s="86">
        <f t="shared" ref="V1098:V1099" si="1960">C1098</f>
        <v>0</v>
      </c>
      <c r="W1098" s="87">
        <v>2019</v>
      </c>
      <c r="X1098" s="88"/>
      <c r="Y1098" s="121"/>
      <c r="Z1098" s="121"/>
      <c r="AA1098" s="121"/>
      <c r="AB1098" s="121"/>
      <c r="AC1098" s="121"/>
      <c r="AD1098" s="121"/>
      <c r="AE1098" s="121"/>
      <c r="AF1098" s="122"/>
      <c r="AG1098" s="122"/>
      <c r="AH1098" s="122"/>
      <c r="AI1098" s="123"/>
      <c r="AJ1098" s="89">
        <f t="shared" ref="AJ1098:AJ1100" si="1961">SUM(X1098:AI1098)</f>
        <v>0</v>
      </c>
      <c r="AK1098" s="90">
        <f t="shared" ref="AK1098:AK1100" si="1962">SUM(X1098:AF1098)</f>
        <v>0</v>
      </c>
    </row>
    <row r="1099" spans="1:38" ht="15.6" hidden="1" thickBot="1">
      <c r="A1099" s="91"/>
      <c r="B1099" s="100"/>
      <c r="C1099" s="92"/>
      <c r="D1099" s="93" t="s">
        <v>92</v>
      </c>
      <c r="E1099" s="94"/>
      <c r="F1099" s="97"/>
      <c r="G1099" s="97"/>
      <c r="H1099" s="97"/>
      <c r="I1099" s="97"/>
      <c r="J1099" s="97"/>
      <c r="K1099" s="97"/>
      <c r="L1099" s="97"/>
      <c r="M1099" s="98"/>
      <c r="N1099" s="98"/>
      <c r="O1099" s="98"/>
      <c r="P1099" s="99"/>
      <c r="Q1099" s="95">
        <f t="shared" si="1958"/>
        <v>0</v>
      </c>
      <c r="R1099" s="96">
        <f t="shared" si="1869"/>
        <v>0</v>
      </c>
      <c r="T1099" s="91"/>
      <c r="U1099" s="100"/>
      <c r="V1099" s="92">
        <f t="shared" si="1960"/>
        <v>0</v>
      </c>
      <c r="W1099" s="93" t="s">
        <v>92</v>
      </c>
      <c r="X1099" s="94"/>
      <c r="Y1099" s="97"/>
      <c r="Z1099" s="97"/>
      <c r="AA1099" s="97"/>
      <c r="AB1099" s="97"/>
      <c r="AC1099" s="97"/>
      <c r="AD1099" s="97"/>
      <c r="AE1099" s="97"/>
      <c r="AF1099" s="98"/>
      <c r="AG1099" s="98"/>
      <c r="AH1099" s="98"/>
      <c r="AI1099" s="99"/>
      <c r="AJ1099" s="95">
        <f t="shared" si="1961"/>
        <v>0</v>
      </c>
      <c r="AK1099" s="96">
        <f t="shared" si="1962"/>
        <v>0</v>
      </c>
    </row>
    <row r="1100" spans="1:38" ht="15.6" hidden="1" thickBot="1">
      <c r="A1100" s="91"/>
      <c r="B1100" s="100"/>
      <c r="C1100" s="92"/>
      <c r="D1100" s="101">
        <v>2020</v>
      </c>
      <c r="E1100" s="102"/>
      <c r="F1100" s="124"/>
      <c r="G1100" s="124"/>
      <c r="H1100" s="124"/>
      <c r="I1100" s="124"/>
      <c r="J1100" s="124"/>
      <c r="K1100" s="124"/>
      <c r="L1100" s="124"/>
      <c r="M1100" s="125"/>
      <c r="N1100" s="125"/>
      <c r="O1100" s="125"/>
      <c r="P1100" s="126"/>
      <c r="Q1100" s="103">
        <f t="shared" si="1958"/>
        <v>0</v>
      </c>
      <c r="R1100" s="104">
        <f t="shared" si="1869"/>
        <v>0</v>
      </c>
      <c r="S1100" s="105"/>
      <c r="T1100" s="91"/>
      <c r="U1100" s="100"/>
      <c r="V1100" s="92"/>
      <c r="W1100" s="101">
        <v>2020</v>
      </c>
      <c r="X1100" s="102"/>
      <c r="Y1100" s="124"/>
      <c r="Z1100" s="124"/>
      <c r="AA1100" s="124"/>
      <c r="AB1100" s="124"/>
      <c r="AC1100" s="124"/>
      <c r="AD1100" s="124"/>
      <c r="AE1100" s="124"/>
      <c r="AF1100" s="125"/>
      <c r="AG1100" s="125"/>
      <c r="AH1100" s="125"/>
      <c r="AI1100" s="126"/>
      <c r="AJ1100" s="103">
        <f t="shared" si="1961"/>
        <v>0</v>
      </c>
      <c r="AK1100" s="104">
        <f t="shared" si="1962"/>
        <v>0</v>
      </c>
      <c r="AL1100" s="105"/>
    </row>
    <row r="1101" spans="1:38" ht="15.6" hidden="1" thickBot="1">
      <c r="A1101" s="91"/>
      <c r="B1101" s="100"/>
      <c r="C1101" s="92"/>
      <c r="D1101" s="101" t="s">
        <v>102</v>
      </c>
      <c r="E1101" s="106" t="e">
        <f t="shared" ref="E1101:R1101" si="1963">E1100/E1099</f>
        <v>#DIV/0!</v>
      </c>
      <c r="F1101" s="106" t="e">
        <f t="shared" si="1963"/>
        <v>#DIV/0!</v>
      </c>
      <c r="G1101" s="106" t="e">
        <f t="shared" si="1963"/>
        <v>#DIV/0!</v>
      </c>
      <c r="H1101" s="106" t="e">
        <f t="shared" si="1963"/>
        <v>#DIV/0!</v>
      </c>
      <c r="I1101" s="106" t="e">
        <f t="shared" si="1963"/>
        <v>#DIV/0!</v>
      </c>
      <c r="J1101" s="106" t="e">
        <f t="shared" si="1963"/>
        <v>#DIV/0!</v>
      </c>
      <c r="K1101" s="106" t="e">
        <f t="shared" si="1963"/>
        <v>#DIV/0!</v>
      </c>
      <c r="L1101" s="106" t="e">
        <f t="shared" si="1963"/>
        <v>#DIV/0!</v>
      </c>
      <c r="M1101" s="107" t="e">
        <f t="shared" si="1963"/>
        <v>#DIV/0!</v>
      </c>
      <c r="N1101" s="107" t="e">
        <f t="shared" si="1963"/>
        <v>#DIV/0!</v>
      </c>
      <c r="O1101" s="107" t="e">
        <f t="shared" si="1963"/>
        <v>#DIV/0!</v>
      </c>
      <c r="P1101" s="108" t="e">
        <f t="shared" si="1963"/>
        <v>#DIV/0!</v>
      </c>
      <c r="Q1101" s="109" t="e">
        <f t="shared" si="1963"/>
        <v>#DIV/0!</v>
      </c>
      <c r="R1101" s="110" t="e">
        <f t="shared" si="1963"/>
        <v>#DIV/0!</v>
      </c>
      <c r="S1101" s="105"/>
      <c r="T1101" s="91"/>
      <c r="U1101" s="100"/>
      <c r="V1101" s="92"/>
      <c r="W1101" s="101" t="s">
        <v>102</v>
      </c>
      <c r="X1101" s="106" t="e">
        <f t="shared" ref="X1101:AK1101" si="1964">X1100/X1099</f>
        <v>#DIV/0!</v>
      </c>
      <c r="Y1101" s="106" t="e">
        <f t="shared" si="1964"/>
        <v>#DIV/0!</v>
      </c>
      <c r="Z1101" s="106" t="e">
        <f t="shared" si="1964"/>
        <v>#DIV/0!</v>
      </c>
      <c r="AA1101" s="106" t="e">
        <f t="shared" si="1964"/>
        <v>#DIV/0!</v>
      </c>
      <c r="AB1101" s="106" t="e">
        <f t="shared" si="1964"/>
        <v>#DIV/0!</v>
      </c>
      <c r="AC1101" s="106" t="e">
        <f t="shared" si="1964"/>
        <v>#DIV/0!</v>
      </c>
      <c r="AD1101" s="106" t="e">
        <f t="shared" si="1964"/>
        <v>#DIV/0!</v>
      </c>
      <c r="AE1101" s="106" t="e">
        <f t="shared" si="1964"/>
        <v>#DIV/0!</v>
      </c>
      <c r="AF1101" s="107" t="e">
        <f t="shared" si="1964"/>
        <v>#DIV/0!</v>
      </c>
      <c r="AG1101" s="107" t="e">
        <f t="shared" si="1964"/>
        <v>#DIV/0!</v>
      </c>
      <c r="AH1101" s="107" t="e">
        <f t="shared" si="1964"/>
        <v>#DIV/0!</v>
      </c>
      <c r="AI1101" s="108" t="e">
        <f t="shared" si="1964"/>
        <v>#DIV/0!</v>
      </c>
      <c r="AJ1101" s="109" t="e">
        <f t="shared" si="1964"/>
        <v>#DIV/0!</v>
      </c>
      <c r="AK1101" s="110" t="e">
        <f t="shared" si="1964"/>
        <v>#DIV/0!</v>
      </c>
      <c r="AL1101" s="105"/>
    </row>
    <row r="1102" spans="1:38" ht="15.6" hidden="1" thickBot="1">
      <c r="A1102" s="91"/>
      <c r="B1102" s="100"/>
      <c r="C1102" s="111"/>
      <c r="D1102" s="112" t="s">
        <v>103</v>
      </c>
      <c r="E1102" s="113" t="e">
        <f t="shared" ref="E1102:R1102" si="1965">E1100/E1098</f>
        <v>#DIV/0!</v>
      </c>
      <c r="F1102" s="113" t="e">
        <f t="shared" si="1965"/>
        <v>#DIV/0!</v>
      </c>
      <c r="G1102" s="113" t="e">
        <f t="shared" si="1965"/>
        <v>#DIV/0!</v>
      </c>
      <c r="H1102" s="113" t="e">
        <f t="shared" si="1965"/>
        <v>#DIV/0!</v>
      </c>
      <c r="I1102" s="113" t="e">
        <f t="shared" si="1965"/>
        <v>#DIV/0!</v>
      </c>
      <c r="J1102" s="113" t="e">
        <f t="shared" si="1965"/>
        <v>#DIV/0!</v>
      </c>
      <c r="K1102" s="113" t="e">
        <f t="shared" si="1965"/>
        <v>#DIV/0!</v>
      </c>
      <c r="L1102" s="113" t="e">
        <f t="shared" si="1965"/>
        <v>#DIV/0!</v>
      </c>
      <c r="M1102" s="113" t="e">
        <f t="shared" si="1965"/>
        <v>#DIV/0!</v>
      </c>
      <c r="N1102" s="113" t="e">
        <f t="shared" si="1965"/>
        <v>#DIV/0!</v>
      </c>
      <c r="O1102" s="113" t="e">
        <f t="shared" si="1965"/>
        <v>#DIV/0!</v>
      </c>
      <c r="P1102" s="114" t="e">
        <f t="shared" si="1965"/>
        <v>#DIV/0!</v>
      </c>
      <c r="Q1102" s="115" t="e">
        <f t="shared" si="1965"/>
        <v>#DIV/0!</v>
      </c>
      <c r="R1102" s="116" t="e">
        <f t="shared" si="1965"/>
        <v>#DIV/0!</v>
      </c>
      <c r="T1102" s="91"/>
      <c r="U1102" s="100"/>
      <c r="V1102" s="111"/>
      <c r="W1102" s="112" t="s">
        <v>103</v>
      </c>
      <c r="X1102" s="113" t="e">
        <f t="shared" ref="X1102:AK1102" si="1966">X1100/X1098</f>
        <v>#DIV/0!</v>
      </c>
      <c r="Y1102" s="113" t="e">
        <f t="shared" si="1966"/>
        <v>#DIV/0!</v>
      </c>
      <c r="Z1102" s="113" t="e">
        <f t="shared" si="1966"/>
        <v>#DIV/0!</v>
      </c>
      <c r="AA1102" s="113" t="e">
        <f t="shared" si="1966"/>
        <v>#DIV/0!</v>
      </c>
      <c r="AB1102" s="113" t="e">
        <f t="shared" si="1966"/>
        <v>#DIV/0!</v>
      </c>
      <c r="AC1102" s="113" t="e">
        <f t="shared" si="1966"/>
        <v>#DIV/0!</v>
      </c>
      <c r="AD1102" s="113" t="e">
        <f t="shared" si="1966"/>
        <v>#DIV/0!</v>
      </c>
      <c r="AE1102" s="113" t="e">
        <f t="shared" si="1966"/>
        <v>#DIV/0!</v>
      </c>
      <c r="AF1102" s="113" t="e">
        <f t="shared" si="1966"/>
        <v>#DIV/0!</v>
      </c>
      <c r="AG1102" s="113" t="e">
        <f t="shared" si="1966"/>
        <v>#DIV/0!</v>
      </c>
      <c r="AH1102" s="113" t="e">
        <f t="shared" si="1966"/>
        <v>#DIV/0!</v>
      </c>
      <c r="AI1102" s="114" t="e">
        <f t="shared" si="1966"/>
        <v>#DIV/0!</v>
      </c>
      <c r="AJ1102" s="115" t="e">
        <f t="shared" si="1966"/>
        <v>#DIV/0!</v>
      </c>
      <c r="AK1102" s="116" t="e">
        <f t="shared" si="1966"/>
        <v>#DIV/0!</v>
      </c>
    </row>
    <row r="1103" spans="1:38" ht="15.6" hidden="1" thickBot="1">
      <c r="A1103" s="91"/>
      <c r="B1103" s="100"/>
      <c r="C1103" s="86"/>
      <c r="D1103" s="87">
        <v>2019</v>
      </c>
      <c r="E1103" s="88"/>
      <c r="F1103" s="121"/>
      <c r="G1103" s="121"/>
      <c r="H1103" s="121"/>
      <c r="I1103" s="121"/>
      <c r="J1103" s="121"/>
      <c r="K1103" s="121"/>
      <c r="L1103" s="121"/>
      <c r="M1103" s="122"/>
      <c r="N1103" s="122"/>
      <c r="O1103" s="122"/>
      <c r="P1103" s="123"/>
      <c r="Q1103" s="89">
        <f t="shared" ref="Q1103:Q1105" si="1967">SUM(E1103:P1103)</f>
        <v>0</v>
      </c>
      <c r="R1103" s="90">
        <f t="shared" ref="R1103" si="1968">SUM(E1103:M1103)</f>
        <v>0</v>
      </c>
      <c r="T1103" s="91"/>
      <c r="U1103" s="100"/>
      <c r="V1103" s="86">
        <f t="shared" ref="V1103:V1104" si="1969">C1103</f>
        <v>0</v>
      </c>
      <c r="W1103" s="87">
        <v>2019</v>
      </c>
      <c r="X1103" s="88"/>
      <c r="Y1103" s="121"/>
      <c r="Z1103" s="121"/>
      <c r="AA1103" s="121"/>
      <c r="AB1103" s="121"/>
      <c r="AC1103" s="121"/>
      <c r="AD1103" s="121"/>
      <c r="AE1103" s="121"/>
      <c r="AF1103" s="122"/>
      <c r="AG1103" s="122"/>
      <c r="AH1103" s="122"/>
      <c r="AI1103" s="123"/>
      <c r="AJ1103" s="89">
        <f t="shared" ref="AJ1103:AJ1105" si="1970">SUM(X1103:AI1103)</f>
        <v>0</v>
      </c>
      <c r="AK1103" s="90">
        <f t="shared" ref="AK1103:AK1105" si="1971">SUM(X1103:AF1103)</f>
        <v>0</v>
      </c>
    </row>
    <row r="1104" spans="1:38" ht="15.6" hidden="1" thickBot="1">
      <c r="A1104" s="91"/>
      <c r="B1104" s="100"/>
      <c r="C1104" s="92"/>
      <c r="D1104" s="93" t="s">
        <v>92</v>
      </c>
      <c r="E1104" s="94"/>
      <c r="F1104" s="97"/>
      <c r="G1104" s="97"/>
      <c r="H1104" s="97"/>
      <c r="I1104" s="97"/>
      <c r="J1104" s="97"/>
      <c r="K1104" s="97"/>
      <c r="L1104" s="97"/>
      <c r="M1104" s="98"/>
      <c r="N1104" s="98"/>
      <c r="O1104" s="98"/>
      <c r="P1104" s="99"/>
      <c r="Q1104" s="95">
        <f t="shared" si="1967"/>
        <v>0</v>
      </c>
      <c r="R1104" s="96">
        <f t="shared" si="1869"/>
        <v>0</v>
      </c>
      <c r="T1104" s="91"/>
      <c r="U1104" s="100"/>
      <c r="V1104" s="92">
        <f t="shared" si="1969"/>
        <v>0</v>
      </c>
      <c r="W1104" s="93" t="s">
        <v>92</v>
      </c>
      <c r="X1104" s="94"/>
      <c r="Y1104" s="97"/>
      <c r="Z1104" s="97"/>
      <c r="AA1104" s="97"/>
      <c r="AB1104" s="97"/>
      <c r="AC1104" s="97"/>
      <c r="AD1104" s="97"/>
      <c r="AE1104" s="97"/>
      <c r="AF1104" s="98"/>
      <c r="AG1104" s="98"/>
      <c r="AH1104" s="98"/>
      <c r="AI1104" s="99"/>
      <c r="AJ1104" s="95">
        <f t="shared" si="1970"/>
        <v>0</v>
      </c>
      <c r="AK1104" s="96">
        <f t="shared" si="1971"/>
        <v>0</v>
      </c>
    </row>
    <row r="1105" spans="1:38" ht="15.6" hidden="1" thickBot="1">
      <c r="A1105" s="91"/>
      <c r="B1105" s="100"/>
      <c r="C1105" s="92"/>
      <c r="D1105" s="101">
        <v>2020</v>
      </c>
      <c r="E1105" s="102"/>
      <c r="F1105" s="124"/>
      <c r="G1105" s="124"/>
      <c r="H1105" s="124"/>
      <c r="I1105" s="124"/>
      <c r="J1105" s="124"/>
      <c r="K1105" s="124"/>
      <c r="L1105" s="124"/>
      <c r="M1105" s="125"/>
      <c r="N1105" s="125"/>
      <c r="O1105" s="125"/>
      <c r="P1105" s="126"/>
      <c r="Q1105" s="103">
        <f t="shared" si="1967"/>
        <v>0</v>
      </c>
      <c r="R1105" s="104">
        <f t="shared" si="1869"/>
        <v>0</v>
      </c>
      <c r="S1105" s="105"/>
      <c r="T1105" s="91"/>
      <c r="U1105" s="100"/>
      <c r="V1105" s="92"/>
      <c r="W1105" s="101">
        <v>2020</v>
      </c>
      <c r="X1105" s="102"/>
      <c r="Y1105" s="124"/>
      <c r="Z1105" s="124"/>
      <c r="AA1105" s="124"/>
      <c r="AB1105" s="124"/>
      <c r="AC1105" s="124"/>
      <c r="AD1105" s="124"/>
      <c r="AE1105" s="124"/>
      <c r="AF1105" s="125"/>
      <c r="AG1105" s="125"/>
      <c r="AH1105" s="125"/>
      <c r="AI1105" s="126"/>
      <c r="AJ1105" s="103">
        <f t="shared" si="1970"/>
        <v>0</v>
      </c>
      <c r="AK1105" s="104">
        <f t="shared" si="1971"/>
        <v>0</v>
      </c>
      <c r="AL1105" s="105"/>
    </row>
    <row r="1106" spans="1:38" ht="15.6" hidden="1" thickBot="1">
      <c r="A1106" s="91"/>
      <c r="B1106" s="100"/>
      <c r="C1106" s="92"/>
      <c r="D1106" s="101" t="s">
        <v>102</v>
      </c>
      <c r="E1106" s="106" t="e">
        <f t="shared" ref="E1106:R1106" si="1972">E1105/E1104</f>
        <v>#DIV/0!</v>
      </c>
      <c r="F1106" s="106" t="e">
        <f t="shared" si="1972"/>
        <v>#DIV/0!</v>
      </c>
      <c r="G1106" s="106" t="e">
        <f t="shared" si="1972"/>
        <v>#DIV/0!</v>
      </c>
      <c r="H1106" s="106" t="e">
        <f t="shared" si="1972"/>
        <v>#DIV/0!</v>
      </c>
      <c r="I1106" s="106" t="e">
        <f t="shared" si="1972"/>
        <v>#DIV/0!</v>
      </c>
      <c r="J1106" s="106" t="e">
        <f t="shared" si="1972"/>
        <v>#DIV/0!</v>
      </c>
      <c r="K1106" s="106" t="e">
        <f t="shared" si="1972"/>
        <v>#DIV/0!</v>
      </c>
      <c r="L1106" s="106" t="e">
        <f t="shared" si="1972"/>
        <v>#DIV/0!</v>
      </c>
      <c r="M1106" s="107" t="e">
        <f t="shared" si="1972"/>
        <v>#DIV/0!</v>
      </c>
      <c r="N1106" s="107" t="e">
        <f t="shared" si="1972"/>
        <v>#DIV/0!</v>
      </c>
      <c r="O1106" s="107" t="e">
        <f t="shared" si="1972"/>
        <v>#DIV/0!</v>
      </c>
      <c r="P1106" s="108" t="e">
        <f t="shared" si="1972"/>
        <v>#DIV/0!</v>
      </c>
      <c r="Q1106" s="109" t="e">
        <f t="shared" si="1972"/>
        <v>#DIV/0!</v>
      </c>
      <c r="R1106" s="110" t="e">
        <f t="shared" si="1972"/>
        <v>#DIV/0!</v>
      </c>
      <c r="S1106" s="105"/>
      <c r="T1106" s="91"/>
      <c r="U1106" s="100"/>
      <c r="V1106" s="92"/>
      <c r="W1106" s="101" t="s">
        <v>102</v>
      </c>
      <c r="X1106" s="106" t="e">
        <f t="shared" ref="X1106:AK1106" si="1973">X1105/X1104</f>
        <v>#DIV/0!</v>
      </c>
      <c r="Y1106" s="106" t="e">
        <f t="shared" si="1973"/>
        <v>#DIV/0!</v>
      </c>
      <c r="Z1106" s="106" t="e">
        <f t="shared" si="1973"/>
        <v>#DIV/0!</v>
      </c>
      <c r="AA1106" s="106" t="e">
        <f t="shared" si="1973"/>
        <v>#DIV/0!</v>
      </c>
      <c r="AB1106" s="106" t="e">
        <f t="shared" si="1973"/>
        <v>#DIV/0!</v>
      </c>
      <c r="AC1106" s="106" t="e">
        <f t="shared" si="1973"/>
        <v>#DIV/0!</v>
      </c>
      <c r="AD1106" s="106" t="e">
        <f t="shared" si="1973"/>
        <v>#DIV/0!</v>
      </c>
      <c r="AE1106" s="106" t="e">
        <f t="shared" si="1973"/>
        <v>#DIV/0!</v>
      </c>
      <c r="AF1106" s="107" t="e">
        <f t="shared" si="1973"/>
        <v>#DIV/0!</v>
      </c>
      <c r="AG1106" s="107" t="e">
        <f t="shared" si="1973"/>
        <v>#DIV/0!</v>
      </c>
      <c r="AH1106" s="107" t="e">
        <f t="shared" si="1973"/>
        <v>#DIV/0!</v>
      </c>
      <c r="AI1106" s="108" t="e">
        <f t="shared" si="1973"/>
        <v>#DIV/0!</v>
      </c>
      <c r="AJ1106" s="109" t="e">
        <f t="shared" si="1973"/>
        <v>#DIV/0!</v>
      </c>
      <c r="AK1106" s="110" t="e">
        <f t="shared" si="1973"/>
        <v>#DIV/0!</v>
      </c>
      <c r="AL1106" s="105"/>
    </row>
    <row r="1107" spans="1:38" ht="15.6" hidden="1" thickBot="1">
      <c r="A1107" s="91"/>
      <c r="B1107" s="100"/>
      <c r="C1107" s="111"/>
      <c r="D1107" s="112" t="s">
        <v>103</v>
      </c>
      <c r="E1107" s="113" t="e">
        <f t="shared" ref="E1107:R1107" si="1974">E1105/E1103</f>
        <v>#DIV/0!</v>
      </c>
      <c r="F1107" s="113" t="e">
        <f t="shared" si="1974"/>
        <v>#DIV/0!</v>
      </c>
      <c r="G1107" s="113" t="e">
        <f t="shared" si="1974"/>
        <v>#DIV/0!</v>
      </c>
      <c r="H1107" s="113" t="e">
        <f t="shared" si="1974"/>
        <v>#DIV/0!</v>
      </c>
      <c r="I1107" s="113" t="e">
        <f t="shared" si="1974"/>
        <v>#DIV/0!</v>
      </c>
      <c r="J1107" s="113" t="e">
        <f t="shared" si="1974"/>
        <v>#DIV/0!</v>
      </c>
      <c r="K1107" s="113" t="e">
        <f t="shared" si="1974"/>
        <v>#DIV/0!</v>
      </c>
      <c r="L1107" s="113" t="e">
        <f t="shared" si="1974"/>
        <v>#DIV/0!</v>
      </c>
      <c r="M1107" s="113" t="e">
        <f t="shared" si="1974"/>
        <v>#DIV/0!</v>
      </c>
      <c r="N1107" s="113" t="e">
        <f t="shared" si="1974"/>
        <v>#DIV/0!</v>
      </c>
      <c r="O1107" s="113" t="e">
        <f t="shared" si="1974"/>
        <v>#DIV/0!</v>
      </c>
      <c r="P1107" s="114" t="e">
        <f t="shared" si="1974"/>
        <v>#DIV/0!</v>
      </c>
      <c r="Q1107" s="115" t="e">
        <f t="shared" si="1974"/>
        <v>#DIV/0!</v>
      </c>
      <c r="R1107" s="116" t="e">
        <f t="shared" si="1974"/>
        <v>#DIV/0!</v>
      </c>
      <c r="T1107" s="91"/>
      <c r="U1107" s="100"/>
      <c r="V1107" s="111"/>
      <c r="W1107" s="112" t="s">
        <v>103</v>
      </c>
      <c r="X1107" s="113" t="e">
        <f t="shared" ref="X1107:AK1107" si="1975">X1105/X1103</f>
        <v>#DIV/0!</v>
      </c>
      <c r="Y1107" s="113" t="e">
        <f t="shared" si="1975"/>
        <v>#DIV/0!</v>
      </c>
      <c r="Z1107" s="113" t="e">
        <f t="shared" si="1975"/>
        <v>#DIV/0!</v>
      </c>
      <c r="AA1107" s="113" t="e">
        <f t="shared" si="1975"/>
        <v>#DIV/0!</v>
      </c>
      <c r="AB1107" s="113" t="e">
        <f t="shared" si="1975"/>
        <v>#DIV/0!</v>
      </c>
      <c r="AC1107" s="113" t="e">
        <f t="shared" si="1975"/>
        <v>#DIV/0!</v>
      </c>
      <c r="AD1107" s="113" t="e">
        <f t="shared" si="1975"/>
        <v>#DIV/0!</v>
      </c>
      <c r="AE1107" s="113" t="e">
        <f t="shared" si="1975"/>
        <v>#DIV/0!</v>
      </c>
      <c r="AF1107" s="113" t="e">
        <f t="shared" si="1975"/>
        <v>#DIV/0!</v>
      </c>
      <c r="AG1107" s="113" t="e">
        <f t="shared" si="1975"/>
        <v>#DIV/0!</v>
      </c>
      <c r="AH1107" s="113" t="e">
        <f t="shared" si="1975"/>
        <v>#DIV/0!</v>
      </c>
      <c r="AI1107" s="114" t="e">
        <f t="shared" si="1975"/>
        <v>#DIV/0!</v>
      </c>
      <c r="AJ1107" s="115" t="e">
        <f t="shared" si="1975"/>
        <v>#DIV/0!</v>
      </c>
      <c r="AK1107" s="116" t="e">
        <f t="shared" si="1975"/>
        <v>#DIV/0!</v>
      </c>
    </row>
    <row r="1108" spans="1:38" ht="15.6" hidden="1" thickBot="1">
      <c r="A1108" s="91"/>
      <c r="B1108" s="100"/>
      <c r="C1108" s="86"/>
      <c r="D1108" s="87">
        <v>2019</v>
      </c>
      <c r="E1108" s="88"/>
      <c r="F1108" s="121"/>
      <c r="G1108" s="121"/>
      <c r="H1108" s="121"/>
      <c r="I1108" s="121"/>
      <c r="J1108" s="121"/>
      <c r="K1108" s="121"/>
      <c r="L1108" s="121"/>
      <c r="M1108" s="122"/>
      <c r="N1108" s="122"/>
      <c r="O1108" s="122"/>
      <c r="P1108" s="123"/>
      <c r="Q1108" s="89">
        <f t="shared" ref="Q1108:Q1110" si="1976">SUM(E1108:P1108)</f>
        <v>0</v>
      </c>
      <c r="R1108" s="90">
        <f t="shared" ref="R1108" si="1977">SUM(E1108:M1108)</f>
        <v>0</v>
      </c>
      <c r="T1108" s="91"/>
      <c r="U1108" s="100"/>
      <c r="V1108" s="86">
        <f t="shared" ref="V1108:V1109" si="1978">C1108</f>
        <v>0</v>
      </c>
      <c r="W1108" s="87">
        <v>2019</v>
      </c>
      <c r="X1108" s="88"/>
      <c r="Y1108" s="121"/>
      <c r="Z1108" s="121"/>
      <c r="AA1108" s="121"/>
      <c r="AB1108" s="121"/>
      <c r="AC1108" s="121"/>
      <c r="AD1108" s="121"/>
      <c r="AE1108" s="121"/>
      <c r="AF1108" s="122"/>
      <c r="AG1108" s="122"/>
      <c r="AH1108" s="122"/>
      <c r="AI1108" s="123"/>
      <c r="AJ1108" s="89">
        <f t="shared" ref="AJ1108:AJ1110" si="1979">SUM(X1108:AI1108)</f>
        <v>0</v>
      </c>
      <c r="AK1108" s="90">
        <f t="shared" ref="AK1108:AK1110" si="1980">SUM(X1108:AF1108)</f>
        <v>0</v>
      </c>
    </row>
    <row r="1109" spans="1:38" ht="15.6" hidden="1" thickBot="1">
      <c r="A1109" s="91"/>
      <c r="B1109" s="100"/>
      <c r="C1109" s="92"/>
      <c r="D1109" s="93" t="s">
        <v>92</v>
      </c>
      <c r="E1109" s="94"/>
      <c r="F1109" s="97"/>
      <c r="G1109" s="97"/>
      <c r="H1109" s="97"/>
      <c r="I1109" s="97"/>
      <c r="J1109" s="97"/>
      <c r="K1109" s="97"/>
      <c r="L1109" s="97"/>
      <c r="M1109" s="98"/>
      <c r="N1109" s="98"/>
      <c r="O1109" s="98"/>
      <c r="P1109" s="99"/>
      <c r="Q1109" s="95">
        <f t="shared" si="1976"/>
        <v>0</v>
      </c>
      <c r="R1109" s="96">
        <f t="shared" si="1869"/>
        <v>0</v>
      </c>
      <c r="T1109" s="91"/>
      <c r="U1109" s="100"/>
      <c r="V1109" s="92">
        <f t="shared" si="1978"/>
        <v>0</v>
      </c>
      <c r="W1109" s="93" t="s">
        <v>92</v>
      </c>
      <c r="X1109" s="94"/>
      <c r="Y1109" s="97"/>
      <c r="Z1109" s="97"/>
      <c r="AA1109" s="97"/>
      <c r="AB1109" s="97"/>
      <c r="AC1109" s="97"/>
      <c r="AD1109" s="97"/>
      <c r="AE1109" s="97"/>
      <c r="AF1109" s="98"/>
      <c r="AG1109" s="98"/>
      <c r="AH1109" s="98"/>
      <c r="AI1109" s="99"/>
      <c r="AJ1109" s="95">
        <f t="shared" si="1979"/>
        <v>0</v>
      </c>
      <c r="AK1109" s="96">
        <f t="shared" si="1980"/>
        <v>0</v>
      </c>
    </row>
    <row r="1110" spans="1:38" ht="15.6" hidden="1" thickBot="1">
      <c r="A1110" s="91"/>
      <c r="B1110" s="100"/>
      <c r="C1110" s="92"/>
      <c r="D1110" s="101">
        <v>2020</v>
      </c>
      <c r="E1110" s="102"/>
      <c r="F1110" s="124"/>
      <c r="G1110" s="124"/>
      <c r="H1110" s="124"/>
      <c r="I1110" s="124"/>
      <c r="J1110" s="124"/>
      <c r="K1110" s="124"/>
      <c r="L1110" s="124"/>
      <c r="M1110" s="125"/>
      <c r="N1110" s="125"/>
      <c r="O1110" s="125"/>
      <c r="P1110" s="126"/>
      <c r="Q1110" s="103">
        <f t="shared" si="1976"/>
        <v>0</v>
      </c>
      <c r="R1110" s="104">
        <f t="shared" si="1869"/>
        <v>0</v>
      </c>
      <c r="S1110" s="105"/>
      <c r="T1110" s="91"/>
      <c r="U1110" s="100"/>
      <c r="V1110" s="92"/>
      <c r="W1110" s="101">
        <v>2020</v>
      </c>
      <c r="X1110" s="102"/>
      <c r="Y1110" s="124"/>
      <c r="Z1110" s="124"/>
      <c r="AA1110" s="124"/>
      <c r="AB1110" s="124"/>
      <c r="AC1110" s="124"/>
      <c r="AD1110" s="124"/>
      <c r="AE1110" s="124"/>
      <c r="AF1110" s="125"/>
      <c r="AG1110" s="125"/>
      <c r="AH1110" s="125"/>
      <c r="AI1110" s="126"/>
      <c r="AJ1110" s="103">
        <f t="shared" si="1979"/>
        <v>0</v>
      </c>
      <c r="AK1110" s="104">
        <f t="shared" si="1980"/>
        <v>0</v>
      </c>
      <c r="AL1110" s="105"/>
    </row>
    <row r="1111" spans="1:38" ht="15.6" hidden="1" thickBot="1">
      <c r="A1111" s="91"/>
      <c r="B1111" s="100"/>
      <c r="C1111" s="92"/>
      <c r="D1111" s="101" t="s">
        <v>102</v>
      </c>
      <c r="E1111" s="106" t="e">
        <f t="shared" ref="E1111:R1111" si="1981">E1110/E1109</f>
        <v>#DIV/0!</v>
      </c>
      <c r="F1111" s="106" t="e">
        <f t="shared" si="1981"/>
        <v>#DIV/0!</v>
      </c>
      <c r="G1111" s="106" t="e">
        <f t="shared" si="1981"/>
        <v>#DIV/0!</v>
      </c>
      <c r="H1111" s="106" t="e">
        <f t="shared" si="1981"/>
        <v>#DIV/0!</v>
      </c>
      <c r="I1111" s="106" t="e">
        <f t="shared" si="1981"/>
        <v>#DIV/0!</v>
      </c>
      <c r="J1111" s="106" t="e">
        <f t="shared" si="1981"/>
        <v>#DIV/0!</v>
      </c>
      <c r="K1111" s="106" t="e">
        <f t="shared" si="1981"/>
        <v>#DIV/0!</v>
      </c>
      <c r="L1111" s="106" t="e">
        <f t="shared" si="1981"/>
        <v>#DIV/0!</v>
      </c>
      <c r="M1111" s="107" t="e">
        <f t="shared" si="1981"/>
        <v>#DIV/0!</v>
      </c>
      <c r="N1111" s="107" t="e">
        <f t="shared" si="1981"/>
        <v>#DIV/0!</v>
      </c>
      <c r="O1111" s="107" t="e">
        <f t="shared" si="1981"/>
        <v>#DIV/0!</v>
      </c>
      <c r="P1111" s="108" t="e">
        <f t="shared" si="1981"/>
        <v>#DIV/0!</v>
      </c>
      <c r="Q1111" s="109" t="e">
        <f t="shared" si="1981"/>
        <v>#DIV/0!</v>
      </c>
      <c r="R1111" s="110" t="e">
        <f t="shared" si="1981"/>
        <v>#DIV/0!</v>
      </c>
      <c r="S1111" s="105"/>
      <c r="T1111" s="91"/>
      <c r="U1111" s="100"/>
      <c r="V1111" s="92"/>
      <c r="W1111" s="101" t="s">
        <v>102</v>
      </c>
      <c r="X1111" s="106" t="e">
        <f t="shared" ref="X1111:AK1111" si="1982">X1110/X1109</f>
        <v>#DIV/0!</v>
      </c>
      <c r="Y1111" s="106" t="e">
        <f t="shared" si="1982"/>
        <v>#DIV/0!</v>
      </c>
      <c r="Z1111" s="106" t="e">
        <f t="shared" si="1982"/>
        <v>#DIV/0!</v>
      </c>
      <c r="AA1111" s="106" t="e">
        <f t="shared" si="1982"/>
        <v>#DIV/0!</v>
      </c>
      <c r="AB1111" s="106" t="e">
        <f t="shared" si="1982"/>
        <v>#DIV/0!</v>
      </c>
      <c r="AC1111" s="106" t="e">
        <f t="shared" si="1982"/>
        <v>#DIV/0!</v>
      </c>
      <c r="AD1111" s="106" t="e">
        <f t="shared" si="1982"/>
        <v>#DIV/0!</v>
      </c>
      <c r="AE1111" s="106" t="e">
        <f t="shared" si="1982"/>
        <v>#DIV/0!</v>
      </c>
      <c r="AF1111" s="107" t="e">
        <f t="shared" si="1982"/>
        <v>#DIV/0!</v>
      </c>
      <c r="AG1111" s="107" t="e">
        <f t="shared" si="1982"/>
        <v>#DIV/0!</v>
      </c>
      <c r="AH1111" s="107" t="e">
        <f t="shared" si="1982"/>
        <v>#DIV/0!</v>
      </c>
      <c r="AI1111" s="108" t="e">
        <f t="shared" si="1982"/>
        <v>#DIV/0!</v>
      </c>
      <c r="AJ1111" s="109" t="e">
        <f t="shared" si="1982"/>
        <v>#DIV/0!</v>
      </c>
      <c r="AK1111" s="110" t="e">
        <f t="shared" si="1982"/>
        <v>#DIV/0!</v>
      </c>
      <c r="AL1111" s="105"/>
    </row>
    <row r="1112" spans="1:38" ht="15.6" hidden="1" thickBot="1">
      <c r="A1112" s="91"/>
      <c r="B1112" s="100"/>
      <c r="C1112" s="111"/>
      <c r="D1112" s="112" t="s">
        <v>103</v>
      </c>
      <c r="E1112" s="113" t="e">
        <f t="shared" ref="E1112:R1112" si="1983">E1110/E1108</f>
        <v>#DIV/0!</v>
      </c>
      <c r="F1112" s="113" t="e">
        <f t="shared" si="1983"/>
        <v>#DIV/0!</v>
      </c>
      <c r="G1112" s="113" t="e">
        <f t="shared" si="1983"/>
        <v>#DIV/0!</v>
      </c>
      <c r="H1112" s="113" t="e">
        <f t="shared" si="1983"/>
        <v>#DIV/0!</v>
      </c>
      <c r="I1112" s="113" t="e">
        <f t="shared" si="1983"/>
        <v>#DIV/0!</v>
      </c>
      <c r="J1112" s="113" t="e">
        <f t="shared" si="1983"/>
        <v>#DIV/0!</v>
      </c>
      <c r="K1112" s="113" t="e">
        <f t="shared" si="1983"/>
        <v>#DIV/0!</v>
      </c>
      <c r="L1112" s="113" t="e">
        <f t="shared" si="1983"/>
        <v>#DIV/0!</v>
      </c>
      <c r="M1112" s="113" t="e">
        <f t="shared" si="1983"/>
        <v>#DIV/0!</v>
      </c>
      <c r="N1112" s="113" t="e">
        <f t="shared" si="1983"/>
        <v>#DIV/0!</v>
      </c>
      <c r="O1112" s="113" t="e">
        <f t="shared" si="1983"/>
        <v>#DIV/0!</v>
      </c>
      <c r="P1112" s="114" t="e">
        <f t="shared" si="1983"/>
        <v>#DIV/0!</v>
      </c>
      <c r="Q1112" s="115" t="e">
        <f t="shared" si="1983"/>
        <v>#DIV/0!</v>
      </c>
      <c r="R1112" s="116" t="e">
        <f t="shared" si="1983"/>
        <v>#DIV/0!</v>
      </c>
      <c r="T1112" s="91"/>
      <c r="U1112" s="100"/>
      <c r="V1112" s="111"/>
      <c r="W1112" s="112" t="s">
        <v>103</v>
      </c>
      <c r="X1112" s="113" t="e">
        <f t="shared" ref="X1112:AK1112" si="1984">X1110/X1108</f>
        <v>#DIV/0!</v>
      </c>
      <c r="Y1112" s="113" t="e">
        <f t="shared" si="1984"/>
        <v>#DIV/0!</v>
      </c>
      <c r="Z1112" s="113" t="e">
        <f t="shared" si="1984"/>
        <v>#DIV/0!</v>
      </c>
      <c r="AA1112" s="113" t="e">
        <f t="shared" si="1984"/>
        <v>#DIV/0!</v>
      </c>
      <c r="AB1112" s="113" t="e">
        <f t="shared" si="1984"/>
        <v>#DIV/0!</v>
      </c>
      <c r="AC1112" s="113" t="e">
        <f t="shared" si="1984"/>
        <v>#DIV/0!</v>
      </c>
      <c r="AD1112" s="113" t="e">
        <f t="shared" si="1984"/>
        <v>#DIV/0!</v>
      </c>
      <c r="AE1112" s="113" t="e">
        <f t="shared" si="1984"/>
        <v>#DIV/0!</v>
      </c>
      <c r="AF1112" s="113" t="e">
        <f t="shared" si="1984"/>
        <v>#DIV/0!</v>
      </c>
      <c r="AG1112" s="113" t="e">
        <f t="shared" si="1984"/>
        <v>#DIV/0!</v>
      </c>
      <c r="AH1112" s="113" t="e">
        <f t="shared" si="1984"/>
        <v>#DIV/0!</v>
      </c>
      <c r="AI1112" s="114" t="e">
        <f t="shared" si="1984"/>
        <v>#DIV/0!</v>
      </c>
      <c r="AJ1112" s="115" t="e">
        <f t="shared" si="1984"/>
        <v>#DIV/0!</v>
      </c>
      <c r="AK1112" s="116" t="e">
        <f t="shared" si="1984"/>
        <v>#DIV/0!</v>
      </c>
    </row>
    <row r="1113" spans="1:38" ht="15.6" hidden="1" thickBot="1">
      <c r="A1113" s="91"/>
      <c r="B1113" s="100"/>
      <c r="C1113" s="86"/>
      <c r="D1113" s="87">
        <v>2019</v>
      </c>
      <c r="E1113" s="88"/>
      <c r="F1113" s="121"/>
      <c r="G1113" s="121"/>
      <c r="H1113" s="121"/>
      <c r="I1113" s="121"/>
      <c r="J1113" s="121"/>
      <c r="K1113" s="121"/>
      <c r="L1113" s="121"/>
      <c r="M1113" s="122"/>
      <c r="N1113" s="122"/>
      <c r="O1113" s="122"/>
      <c r="P1113" s="123"/>
      <c r="Q1113" s="89">
        <f t="shared" ref="Q1113:Q1115" si="1985">SUM(E1113:P1113)</f>
        <v>0</v>
      </c>
      <c r="R1113" s="90">
        <f t="shared" ref="R1113:R1175" si="1986">SUM(E1113:M1113)</f>
        <v>0</v>
      </c>
      <c r="T1113" s="91"/>
      <c r="U1113" s="100"/>
      <c r="V1113" s="86">
        <f t="shared" ref="V1113:V1114" si="1987">C1113</f>
        <v>0</v>
      </c>
      <c r="W1113" s="87">
        <v>2019</v>
      </c>
      <c r="X1113" s="88"/>
      <c r="Y1113" s="121"/>
      <c r="Z1113" s="121"/>
      <c r="AA1113" s="121"/>
      <c r="AB1113" s="121"/>
      <c r="AC1113" s="121"/>
      <c r="AD1113" s="121"/>
      <c r="AE1113" s="121"/>
      <c r="AF1113" s="122"/>
      <c r="AG1113" s="122"/>
      <c r="AH1113" s="122"/>
      <c r="AI1113" s="123"/>
      <c r="AJ1113" s="89">
        <f t="shared" ref="AJ1113:AJ1115" si="1988">SUM(X1113:AI1113)</f>
        <v>0</v>
      </c>
      <c r="AK1113" s="90">
        <f t="shared" ref="AK1113:AK1115" si="1989">SUM(X1113:AF1113)</f>
        <v>0</v>
      </c>
    </row>
    <row r="1114" spans="1:38" ht="15.6" hidden="1" thickBot="1">
      <c r="A1114" s="91"/>
      <c r="B1114" s="100"/>
      <c r="C1114" s="92"/>
      <c r="D1114" s="93" t="s">
        <v>92</v>
      </c>
      <c r="E1114" s="94"/>
      <c r="F1114" s="97"/>
      <c r="G1114" s="97"/>
      <c r="H1114" s="97"/>
      <c r="I1114" s="97"/>
      <c r="J1114" s="97"/>
      <c r="K1114" s="97"/>
      <c r="L1114" s="97"/>
      <c r="M1114" s="98"/>
      <c r="N1114" s="98"/>
      <c r="O1114" s="98"/>
      <c r="P1114" s="99"/>
      <c r="Q1114" s="95">
        <f t="shared" si="1985"/>
        <v>0</v>
      </c>
      <c r="R1114" s="96">
        <f t="shared" si="1986"/>
        <v>0</v>
      </c>
      <c r="T1114" s="91"/>
      <c r="U1114" s="100"/>
      <c r="V1114" s="92">
        <f t="shared" si="1987"/>
        <v>0</v>
      </c>
      <c r="W1114" s="93" t="s">
        <v>92</v>
      </c>
      <c r="X1114" s="94"/>
      <c r="Y1114" s="97"/>
      <c r="Z1114" s="97"/>
      <c r="AA1114" s="97"/>
      <c r="AB1114" s="97"/>
      <c r="AC1114" s="97"/>
      <c r="AD1114" s="97"/>
      <c r="AE1114" s="97"/>
      <c r="AF1114" s="98"/>
      <c r="AG1114" s="98"/>
      <c r="AH1114" s="98"/>
      <c r="AI1114" s="99"/>
      <c r="AJ1114" s="95">
        <f t="shared" si="1988"/>
        <v>0</v>
      </c>
      <c r="AK1114" s="96">
        <f t="shared" si="1989"/>
        <v>0</v>
      </c>
    </row>
    <row r="1115" spans="1:38" ht="15.6" hidden="1" thickBot="1">
      <c r="A1115" s="91"/>
      <c r="B1115" s="100"/>
      <c r="C1115" s="92"/>
      <c r="D1115" s="101">
        <v>2020</v>
      </c>
      <c r="E1115" s="102"/>
      <c r="F1115" s="124"/>
      <c r="G1115" s="124"/>
      <c r="H1115" s="124"/>
      <c r="I1115" s="124"/>
      <c r="J1115" s="124"/>
      <c r="K1115" s="124"/>
      <c r="L1115" s="124"/>
      <c r="M1115" s="125"/>
      <c r="N1115" s="125"/>
      <c r="O1115" s="125"/>
      <c r="P1115" s="126"/>
      <c r="Q1115" s="103">
        <f t="shared" si="1985"/>
        <v>0</v>
      </c>
      <c r="R1115" s="104">
        <f t="shared" si="1986"/>
        <v>0</v>
      </c>
      <c r="S1115" s="105"/>
      <c r="T1115" s="91"/>
      <c r="U1115" s="100"/>
      <c r="V1115" s="92"/>
      <c r="W1115" s="101">
        <v>2020</v>
      </c>
      <c r="X1115" s="102"/>
      <c r="Y1115" s="124"/>
      <c r="Z1115" s="124"/>
      <c r="AA1115" s="124"/>
      <c r="AB1115" s="124"/>
      <c r="AC1115" s="124"/>
      <c r="AD1115" s="124"/>
      <c r="AE1115" s="124"/>
      <c r="AF1115" s="125"/>
      <c r="AG1115" s="125"/>
      <c r="AH1115" s="125"/>
      <c r="AI1115" s="126"/>
      <c r="AJ1115" s="103">
        <f t="shared" si="1988"/>
        <v>0</v>
      </c>
      <c r="AK1115" s="104">
        <f t="shared" si="1989"/>
        <v>0</v>
      </c>
      <c r="AL1115" s="105"/>
    </row>
    <row r="1116" spans="1:38" ht="15.6" hidden="1" thickBot="1">
      <c r="A1116" s="91"/>
      <c r="B1116" s="100"/>
      <c r="C1116" s="92"/>
      <c r="D1116" s="101" t="s">
        <v>102</v>
      </c>
      <c r="E1116" s="106" t="e">
        <f t="shared" ref="E1116:R1116" si="1990">E1115/E1114</f>
        <v>#DIV/0!</v>
      </c>
      <c r="F1116" s="106" t="e">
        <f t="shared" si="1990"/>
        <v>#DIV/0!</v>
      </c>
      <c r="G1116" s="106" t="e">
        <f t="shared" si="1990"/>
        <v>#DIV/0!</v>
      </c>
      <c r="H1116" s="106" t="e">
        <f t="shared" si="1990"/>
        <v>#DIV/0!</v>
      </c>
      <c r="I1116" s="106" t="e">
        <f t="shared" si="1990"/>
        <v>#DIV/0!</v>
      </c>
      <c r="J1116" s="106" t="e">
        <f t="shared" si="1990"/>
        <v>#DIV/0!</v>
      </c>
      <c r="K1116" s="106" t="e">
        <f t="shared" si="1990"/>
        <v>#DIV/0!</v>
      </c>
      <c r="L1116" s="106" t="e">
        <f t="shared" si="1990"/>
        <v>#DIV/0!</v>
      </c>
      <c r="M1116" s="107" t="e">
        <f t="shared" si="1990"/>
        <v>#DIV/0!</v>
      </c>
      <c r="N1116" s="107" t="e">
        <f t="shared" si="1990"/>
        <v>#DIV/0!</v>
      </c>
      <c r="O1116" s="107" t="e">
        <f t="shared" si="1990"/>
        <v>#DIV/0!</v>
      </c>
      <c r="P1116" s="108" t="e">
        <f t="shared" si="1990"/>
        <v>#DIV/0!</v>
      </c>
      <c r="Q1116" s="109" t="e">
        <f t="shared" si="1990"/>
        <v>#DIV/0!</v>
      </c>
      <c r="R1116" s="110" t="e">
        <f t="shared" si="1990"/>
        <v>#DIV/0!</v>
      </c>
      <c r="S1116" s="105"/>
      <c r="T1116" s="91"/>
      <c r="U1116" s="100"/>
      <c r="V1116" s="92"/>
      <c r="W1116" s="101" t="s">
        <v>102</v>
      </c>
      <c r="X1116" s="106" t="e">
        <f t="shared" ref="X1116:AK1116" si="1991">X1115/X1114</f>
        <v>#DIV/0!</v>
      </c>
      <c r="Y1116" s="106" t="e">
        <f t="shared" si="1991"/>
        <v>#DIV/0!</v>
      </c>
      <c r="Z1116" s="106" t="e">
        <f t="shared" si="1991"/>
        <v>#DIV/0!</v>
      </c>
      <c r="AA1116" s="106" t="e">
        <f t="shared" si="1991"/>
        <v>#DIV/0!</v>
      </c>
      <c r="AB1116" s="106" t="e">
        <f t="shared" si="1991"/>
        <v>#DIV/0!</v>
      </c>
      <c r="AC1116" s="106" t="e">
        <f t="shared" si="1991"/>
        <v>#DIV/0!</v>
      </c>
      <c r="AD1116" s="106" t="e">
        <f t="shared" si="1991"/>
        <v>#DIV/0!</v>
      </c>
      <c r="AE1116" s="106" t="e">
        <f t="shared" si="1991"/>
        <v>#DIV/0!</v>
      </c>
      <c r="AF1116" s="107" t="e">
        <f t="shared" si="1991"/>
        <v>#DIV/0!</v>
      </c>
      <c r="AG1116" s="107" t="e">
        <f t="shared" si="1991"/>
        <v>#DIV/0!</v>
      </c>
      <c r="AH1116" s="107" t="e">
        <f t="shared" si="1991"/>
        <v>#DIV/0!</v>
      </c>
      <c r="AI1116" s="108" t="e">
        <f t="shared" si="1991"/>
        <v>#DIV/0!</v>
      </c>
      <c r="AJ1116" s="109" t="e">
        <f t="shared" si="1991"/>
        <v>#DIV/0!</v>
      </c>
      <c r="AK1116" s="110" t="e">
        <f t="shared" si="1991"/>
        <v>#DIV/0!</v>
      </c>
      <c r="AL1116" s="105"/>
    </row>
    <row r="1117" spans="1:38" ht="15.6" hidden="1" thickBot="1">
      <c r="A1117" s="91"/>
      <c r="B1117" s="100"/>
      <c r="C1117" s="111"/>
      <c r="D1117" s="112" t="s">
        <v>103</v>
      </c>
      <c r="E1117" s="113" t="e">
        <f t="shared" ref="E1117:R1117" si="1992">E1115/E1113</f>
        <v>#DIV/0!</v>
      </c>
      <c r="F1117" s="113" t="e">
        <f t="shared" si="1992"/>
        <v>#DIV/0!</v>
      </c>
      <c r="G1117" s="113" t="e">
        <f t="shared" si="1992"/>
        <v>#DIV/0!</v>
      </c>
      <c r="H1117" s="113" t="e">
        <f t="shared" si="1992"/>
        <v>#DIV/0!</v>
      </c>
      <c r="I1117" s="113" t="e">
        <f t="shared" si="1992"/>
        <v>#DIV/0!</v>
      </c>
      <c r="J1117" s="113" t="e">
        <f t="shared" si="1992"/>
        <v>#DIV/0!</v>
      </c>
      <c r="K1117" s="113" t="e">
        <f t="shared" si="1992"/>
        <v>#DIV/0!</v>
      </c>
      <c r="L1117" s="113" t="e">
        <f t="shared" si="1992"/>
        <v>#DIV/0!</v>
      </c>
      <c r="M1117" s="113" t="e">
        <f t="shared" si="1992"/>
        <v>#DIV/0!</v>
      </c>
      <c r="N1117" s="113" t="e">
        <f t="shared" si="1992"/>
        <v>#DIV/0!</v>
      </c>
      <c r="O1117" s="113" t="e">
        <f t="shared" si="1992"/>
        <v>#DIV/0!</v>
      </c>
      <c r="P1117" s="114" t="e">
        <f t="shared" si="1992"/>
        <v>#DIV/0!</v>
      </c>
      <c r="Q1117" s="115" t="e">
        <f t="shared" si="1992"/>
        <v>#DIV/0!</v>
      </c>
      <c r="R1117" s="116" t="e">
        <f t="shared" si="1992"/>
        <v>#DIV/0!</v>
      </c>
      <c r="T1117" s="91"/>
      <c r="U1117" s="100"/>
      <c r="V1117" s="111"/>
      <c r="W1117" s="112" t="s">
        <v>103</v>
      </c>
      <c r="X1117" s="113" t="e">
        <f t="shared" ref="X1117:AK1117" si="1993">X1115/X1113</f>
        <v>#DIV/0!</v>
      </c>
      <c r="Y1117" s="113" t="e">
        <f t="shared" si="1993"/>
        <v>#DIV/0!</v>
      </c>
      <c r="Z1117" s="113" t="e">
        <f t="shared" si="1993"/>
        <v>#DIV/0!</v>
      </c>
      <c r="AA1117" s="113" t="e">
        <f t="shared" si="1993"/>
        <v>#DIV/0!</v>
      </c>
      <c r="AB1117" s="113" t="e">
        <f t="shared" si="1993"/>
        <v>#DIV/0!</v>
      </c>
      <c r="AC1117" s="113" t="e">
        <f t="shared" si="1993"/>
        <v>#DIV/0!</v>
      </c>
      <c r="AD1117" s="113" t="e">
        <f t="shared" si="1993"/>
        <v>#DIV/0!</v>
      </c>
      <c r="AE1117" s="113" t="e">
        <f t="shared" si="1993"/>
        <v>#DIV/0!</v>
      </c>
      <c r="AF1117" s="113" t="e">
        <f t="shared" si="1993"/>
        <v>#DIV/0!</v>
      </c>
      <c r="AG1117" s="113" t="e">
        <f t="shared" si="1993"/>
        <v>#DIV/0!</v>
      </c>
      <c r="AH1117" s="113" t="e">
        <f t="shared" si="1993"/>
        <v>#DIV/0!</v>
      </c>
      <c r="AI1117" s="114" t="e">
        <f t="shared" si="1993"/>
        <v>#DIV/0!</v>
      </c>
      <c r="AJ1117" s="115" t="e">
        <f t="shared" si="1993"/>
        <v>#DIV/0!</v>
      </c>
      <c r="AK1117" s="116" t="e">
        <f t="shared" si="1993"/>
        <v>#DIV/0!</v>
      </c>
    </row>
    <row r="1118" spans="1:38" ht="15.6" hidden="1" thickBot="1">
      <c r="A1118" s="91"/>
      <c r="B1118" s="100"/>
      <c r="C1118" s="86"/>
      <c r="D1118" s="87">
        <v>2019</v>
      </c>
      <c r="E1118" s="88"/>
      <c r="F1118" s="121"/>
      <c r="G1118" s="121"/>
      <c r="H1118" s="121"/>
      <c r="I1118" s="121"/>
      <c r="J1118" s="121"/>
      <c r="K1118" s="121"/>
      <c r="L1118" s="121"/>
      <c r="M1118" s="122"/>
      <c r="N1118" s="122"/>
      <c r="O1118" s="122"/>
      <c r="P1118" s="123"/>
      <c r="Q1118" s="89">
        <f t="shared" ref="Q1118:Q1120" si="1994">SUM(E1118:P1118)</f>
        <v>0</v>
      </c>
      <c r="R1118" s="90">
        <f t="shared" ref="R1118" si="1995">SUM(E1118:M1118)</f>
        <v>0</v>
      </c>
      <c r="T1118" s="91"/>
      <c r="U1118" s="100"/>
      <c r="V1118" s="86">
        <f t="shared" ref="V1118:V1119" si="1996">C1118</f>
        <v>0</v>
      </c>
      <c r="W1118" s="87">
        <v>2019</v>
      </c>
      <c r="X1118" s="88"/>
      <c r="Y1118" s="121"/>
      <c r="Z1118" s="121"/>
      <c r="AA1118" s="121"/>
      <c r="AB1118" s="121"/>
      <c r="AC1118" s="121"/>
      <c r="AD1118" s="121"/>
      <c r="AE1118" s="121"/>
      <c r="AF1118" s="122"/>
      <c r="AG1118" s="122"/>
      <c r="AH1118" s="122"/>
      <c r="AI1118" s="123"/>
      <c r="AJ1118" s="89">
        <f t="shared" ref="AJ1118:AJ1120" si="1997">SUM(X1118:AI1118)</f>
        <v>0</v>
      </c>
      <c r="AK1118" s="90">
        <f t="shared" ref="AK1118:AK1120" si="1998">SUM(X1118:AF1118)</f>
        <v>0</v>
      </c>
    </row>
    <row r="1119" spans="1:38" ht="15.6" hidden="1" thickBot="1">
      <c r="A1119" s="91"/>
      <c r="B1119" s="100"/>
      <c r="C1119" s="92"/>
      <c r="D1119" s="93" t="s">
        <v>92</v>
      </c>
      <c r="E1119" s="94"/>
      <c r="F1119" s="97"/>
      <c r="G1119" s="97"/>
      <c r="H1119" s="97"/>
      <c r="I1119" s="97"/>
      <c r="J1119" s="97"/>
      <c r="K1119" s="97"/>
      <c r="L1119" s="97"/>
      <c r="M1119" s="98"/>
      <c r="N1119" s="98"/>
      <c r="O1119" s="98"/>
      <c r="P1119" s="99"/>
      <c r="Q1119" s="95">
        <f t="shared" si="1994"/>
        <v>0</v>
      </c>
      <c r="R1119" s="96">
        <f t="shared" si="1986"/>
        <v>0</v>
      </c>
      <c r="T1119" s="91"/>
      <c r="U1119" s="100"/>
      <c r="V1119" s="92">
        <f t="shared" si="1996"/>
        <v>0</v>
      </c>
      <c r="W1119" s="93" t="s">
        <v>92</v>
      </c>
      <c r="X1119" s="94"/>
      <c r="Y1119" s="97"/>
      <c r="Z1119" s="97"/>
      <c r="AA1119" s="97"/>
      <c r="AB1119" s="97"/>
      <c r="AC1119" s="97"/>
      <c r="AD1119" s="97"/>
      <c r="AE1119" s="97"/>
      <c r="AF1119" s="98"/>
      <c r="AG1119" s="98"/>
      <c r="AH1119" s="98"/>
      <c r="AI1119" s="99"/>
      <c r="AJ1119" s="95">
        <f t="shared" si="1997"/>
        <v>0</v>
      </c>
      <c r="AK1119" s="96">
        <f t="shared" si="1998"/>
        <v>0</v>
      </c>
    </row>
    <row r="1120" spans="1:38" ht="15.6" hidden="1" thickBot="1">
      <c r="A1120" s="91"/>
      <c r="B1120" s="100"/>
      <c r="C1120" s="92"/>
      <c r="D1120" s="101">
        <v>2020</v>
      </c>
      <c r="E1120" s="102"/>
      <c r="F1120" s="124"/>
      <c r="G1120" s="124"/>
      <c r="H1120" s="124"/>
      <c r="I1120" s="124"/>
      <c r="J1120" s="124"/>
      <c r="K1120" s="124"/>
      <c r="L1120" s="124"/>
      <c r="M1120" s="125"/>
      <c r="N1120" s="125"/>
      <c r="O1120" s="125"/>
      <c r="P1120" s="126"/>
      <c r="Q1120" s="103">
        <f t="shared" si="1994"/>
        <v>0</v>
      </c>
      <c r="R1120" s="104">
        <f t="shared" si="1986"/>
        <v>0</v>
      </c>
      <c r="S1120" s="105"/>
      <c r="T1120" s="91"/>
      <c r="U1120" s="100"/>
      <c r="V1120" s="92"/>
      <c r="W1120" s="101">
        <v>2020</v>
      </c>
      <c r="X1120" s="102"/>
      <c r="Y1120" s="124"/>
      <c r="Z1120" s="124"/>
      <c r="AA1120" s="124"/>
      <c r="AB1120" s="124"/>
      <c r="AC1120" s="124"/>
      <c r="AD1120" s="124"/>
      <c r="AE1120" s="124"/>
      <c r="AF1120" s="125"/>
      <c r="AG1120" s="125"/>
      <c r="AH1120" s="125"/>
      <c r="AI1120" s="126"/>
      <c r="AJ1120" s="103">
        <f t="shared" si="1997"/>
        <v>0</v>
      </c>
      <c r="AK1120" s="104">
        <f t="shared" si="1998"/>
        <v>0</v>
      </c>
      <c r="AL1120" s="105"/>
    </row>
    <row r="1121" spans="1:38" ht="15.6" hidden="1" thickBot="1">
      <c r="A1121" s="91"/>
      <c r="B1121" s="100"/>
      <c r="C1121" s="92"/>
      <c r="D1121" s="101" t="s">
        <v>102</v>
      </c>
      <c r="E1121" s="106" t="e">
        <f t="shared" ref="E1121:R1121" si="1999">E1120/E1119</f>
        <v>#DIV/0!</v>
      </c>
      <c r="F1121" s="106" t="e">
        <f t="shared" si="1999"/>
        <v>#DIV/0!</v>
      </c>
      <c r="G1121" s="106" t="e">
        <f t="shared" si="1999"/>
        <v>#DIV/0!</v>
      </c>
      <c r="H1121" s="106" t="e">
        <f t="shared" si="1999"/>
        <v>#DIV/0!</v>
      </c>
      <c r="I1121" s="106" t="e">
        <f t="shared" si="1999"/>
        <v>#DIV/0!</v>
      </c>
      <c r="J1121" s="106" t="e">
        <f t="shared" si="1999"/>
        <v>#DIV/0!</v>
      </c>
      <c r="K1121" s="106" t="e">
        <f t="shared" si="1999"/>
        <v>#DIV/0!</v>
      </c>
      <c r="L1121" s="106" t="e">
        <f t="shared" si="1999"/>
        <v>#DIV/0!</v>
      </c>
      <c r="M1121" s="107" t="e">
        <f t="shared" si="1999"/>
        <v>#DIV/0!</v>
      </c>
      <c r="N1121" s="107" t="e">
        <f t="shared" si="1999"/>
        <v>#DIV/0!</v>
      </c>
      <c r="O1121" s="107" t="e">
        <f t="shared" si="1999"/>
        <v>#DIV/0!</v>
      </c>
      <c r="P1121" s="108" t="e">
        <f t="shared" si="1999"/>
        <v>#DIV/0!</v>
      </c>
      <c r="Q1121" s="109" t="e">
        <f t="shared" si="1999"/>
        <v>#DIV/0!</v>
      </c>
      <c r="R1121" s="110" t="e">
        <f t="shared" si="1999"/>
        <v>#DIV/0!</v>
      </c>
      <c r="S1121" s="105"/>
      <c r="T1121" s="91"/>
      <c r="U1121" s="100"/>
      <c r="V1121" s="92"/>
      <c r="W1121" s="101" t="s">
        <v>102</v>
      </c>
      <c r="X1121" s="106" t="e">
        <f t="shared" ref="X1121:AK1121" si="2000">X1120/X1119</f>
        <v>#DIV/0!</v>
      </c>
      <c r="Y1121" s="106" t="e">
        <f t="shared" si="2000"/>
        <v>#DIV/0!</v>
      </c>
      <c r="Z1121" s="106" t="e">
        <f t="shared" si="2000"/>
        <v>#DIV/0!</v>
      </c>
      <c r="AA1121" s="106" t="e">
        <f t="shared" si="2000"/>
        <v>#DIV/0!</v>
      </c>
      <c r="AB1121" s="106" t="e">
        <f t="shared" si="2000"/>
        <v>#DIV/0!</v>
      </c>
      <c r="AC1121" s="106" t="e">
        <f t="shared" si="2000"/>
        <v>#DIV/0!</v>
      </c>
      <c r="AD1121" s="106" t="e">
        <f t="shared" si="2000"/>
        <v>#DIV/0!</v>
      </c>
      <c r="AE1121" s="106" t="e">
        <f t="shared" si="2000"/>
        <v>#DIV/0!</v>
      </c>
      <c r="AF1121" s="107" t="e">
        <f t="shared" si="2000"/>
        <v>#DIV/0!</v>
      </c>
      <c r="AG1121" s="107" t="e">
        <f t="shared" si="2000"/>
        <v>#DIV/0!</v>
      </c>
      <c r="AH1121" s="107" t="e">
        <f t="shared" si="2000"/>
        <v>#DIV/0!</v>
      </c>
      <c r="AI1121" s="108" t="e">
        <f t="shared" si="2000"/>
        <v>#DIV/0!</v>
      </c>
      <c r="AJ1121" s="109" t="e">
        <f t="shared" si="2000"/>
        <v>#DIV/0!</v>
      </c>
      <c r="AK1121" s="110" t="e">
        <f t="shared" si="2000"/>
        <v>#DIV/0!</v>
      </c>
      <c r="AL1121" s="105"/>
    </row>
    <row r="1122" spans="1:38" ht="15.6" hidden="1" thickBot="1">
      <c r="A1122" s="91"/>
      <c r="B1122" s="100"/>
      <c r="C1122" s="111"/>
      <c r="D1122" s="112" t="s">
        <v>103</v>
      </c>
      <c r="E1122" s="113" t="e">
        <f t="shared" ref="E1122:R1122" si="2001">E1120/E1118</f>
        <v>#DIV/0!</v>
      </c>
      <c r="F1122" s="113" t="e">
        <f t="shared" si="2001"/>
        <v>#DIV/0!</v>
      </c>
      <c r="G1122" s="113" t="e">
        <f t="shared" si="2001"/>
        <v>#DIV/0!</v>
      </c>
      <c r="H1122" s="113" t="e">
        <f t="shared" si="2001"/>
        <v>#DIV/0!</v>
      </c>
      <c r="I1122" s="113" t="e">
        <f t="shared" si="2001"/>
        <v>#DIV/0!</v>
      </c>
      <c r="J1122" s="113" t="e">
        <f t="shared" si="2001"/>
        <v>#DIV/0!</v>
      </c>
      <c r="K1122" s="113" t="e">
        <f t="shared" si="2001"/>
        <v>#DIV/0!</v>
      </c>
      <c r="L1122" s="113" t="e">
        <f t="shared" si="2001"/>
        <v>#DIV/0!</v>
      </c>
      <c r="M1122" s="113" t="e">
        <f t="shared" si="2001"/>
        <v>#DIV/0!</v>
      </c>
      <c r="N1122" s="113" t="e">
        <f t="shared" si="2001"/>
        <v>#DIV/0!</v>
      </c>
      <c r="O1122" s="113" t="e">
        <f t="shared" si="2001"/>
        <v>#DIV/0!</v>
      </c>
      <c r="P1122" s="114" t="e">
        <f t="shared" si="2001"/>
        <v>#DIV/0!</v>
      </c>
      <c r="Q1122" s="115" t="e">
        <f t="shared" si="2001"/>
        <v>#DIV/0!</v>
      </c>
      <c r="R1122" s="116" t="e">
        <f t="shared" si="2001"/>
        <v>#DIV/0!</v>
      </c>
      <c r="T1122" s="91"/>
      <c r="U1122" s="100"/>
      <c r="V1122" s="111"/>
      <c r="W1122" s="112" t="s">
        <v>103</v>
      </c>
      <c r="X1122" s="113" t="e">
        <f t="shared" ref="X1122:AK1122" si="2002">X1120/X1118</f>
        <v>#DIV/0!</v>
      </c>
      <c r="Y1122" s="113" t="e">
        <f t="shared" si="2002"/>
        <v>#DIV/0!</v>
      </c>
      <c r="Z1122" s="113" t="e">
        <f t="shared" si="2002"/>
        <v>#DIV/0!</v>
      </c>
      <c r="AA1122" s="113" t="e">
        <f t="shared" si="2002"/>
        <v>#DIV/0!</v>
      </c>
      <c r="AB1122" s="113" t="e">
        <f t="shared" si="2002"/>
        <v>#DIV/0!</v>
      </c>
      <c r="AC1122" s="113" t="e">
        <f t="shared" si="2002"/>
        <v>#DIV/0!</v>
      </c>
      <c r="AD1122" s="113" t="e">
        <f t="shared" si="2002"/>
        <v>#DIV/0!</v>
      </c>
      <c r="AE1122" s="113" t="e">
        <f t="shared" si="2002"/>
        <v>#DIV/0!</v>
      </c>
      <c r="AF1122" s="113" t="e">
        <f t="shared" si="2002"/>
        <v>#DIV/0!</v>
      </c>
      <c r="AG1122" s="113" t="e">
        <f t="shared" si="2002"/>
        <v>#DIV/0!</v>
      </c>
      <c r="AH1122" s="113" t="e">
        <f t="shared" si="2002"/>
        <v>#DIV/0!</v>
      </c>
      <c r="AI1122" s="114" t="e">
        <f t="shared" si="2002"/>
        <v>#DIV/0!</v>
      </c>
      <c r="AJ1122" s="115" t="e">
        <f t="shared" si="2002"/>
        <v>#DIV/0!</v>
      </c>
      <c r="AK1122" s="116" t="e">
        <f t="shared" si="2002"/>
        <v>#DIV/0!</v>
      </c>
    </row>
    <row r="1123" spans="1:38" ht="15.6" hidden="1" thickBot="1">
      <c r="A1123" s="91"/>
      <c r="B1123" s="100"/>
      <c r="C1123" s="86" t="s">
        <v>116</v>
      </c>
      <c r="D1123" s="87">
        <v>2019</v>
      </c>
      <c r="E1123" s="88"/>
      <c r="F1123" s="121"/>
      <c r="G1123" s="121"/>
      <c r="H1123" s="121"/>
      <c r="I1123" s="121"/>
      <c r="J1123" s="121"/>
      <c r="K1123" s="121"/>
      <c r="L1123" s="121"/>
      <c r="M1123" s="122"/>
      <c r="N1123" s="122"/>
      <c r="O1123" s="122"/>
      <c r="P1123" s="123"/>
      <c r="Q1123" s="89">
        <f t="shared" ref="Q1123:Q1125" si="2003">SUM(E1123:P1123)</f>
        <v>0</v>
      </c>
      <c r="R1123" s="90">
        <f t="shared" ref="R1123" si="2004">SUM(E1123:M1123)</f>
        <v>0</v>
      </c>
      <c r="T1123" s="91"/>
      <c r="U1123" s="100"/>
      <c r="V1123" s="86" t="str">
        <f t="shared" ref="V1123:V1124" si="2005">C1123</f>
        <v>その他</v>
      </c>
      <c r="W1123" s="87">
        <v>2019</v>
      </c>
      <c r="X1123" s="88"/>
      <c r="Y1123" s="121"/>
      <c r="Z1123" s="121"/>
      <c r="AA1123" s="121"/>
      <c r="AB1123" s="121"/>
      <c r="AC1123" s="121"/>
      <c r="AD1123" s="121"/>
      <c r="AE1123" s="121"/>
      <c r="AF1123" s="122"/>
      <c r="AG1123" s="122"/>
      <c r="AH1123" s="122"/>
      <c r="AI1123" s="123"/>
      <c r="AJ1123" s="89">
        <f t="shared" ref="AJ1123:AJ1125" si="2006">SUM(X1123:AI1123)</f>
        <v>0</v>
      </c>
      <c r="AK1123" s="90">
        <f t="shared" ref="AK1123:AK1125" si="2007">SUM(X1123:AF1123)</f>
        <v>0</v>
      </c>
    </row>
    <row r="1124" spans="1:38" ht="15.6" hidden="1" thickBot="1">
      <c r="A1124" s="91"/>
      <c r="B1124" s="100"/>
      <c r="C1124" s="92" t="s">
        <v>129</v>
      </c>
      <c r="D1124" s="93" t="s">
        <v>92</v>
      </c>
      <c r="E1124" s="94"/>
      <c r="F1124" s="97"/>
      <c r="G1124" s="97"/>
      <c r="H1124" s="97"/>
      <c r="I1124" s="97"/>
      <c r="J1124" s="97"/>
      <c r="K1124" s="97"/>
      <c r="L1124" s="97"/>
      <c r="M1124" s="98"/>
      <c r="N1124" s="98"/>
      <c r="O1124" s="98"/>
      <c r="P1124" s="99"/>
      <c r="Q1124" s="95">
        <f t="shared" si="2003"/>
        <v>0</v>
      </c>
      <c r="R1124" s="96">
        <f t="shared" si="1986"/>
        <v>0</v>
      </c>
      <c r="T1124" s="91"/>
      <c r="U1124" s="100"/>
      <c r="V1124" s="92" t="str">
        <f t="shared" si="2005"/>
        <v>Others</v>
      </c>
      <c r="W1124" s="93" t="s">
        <v>92</v>
      </c>
      <c r="X1124" s="94"/>
      <c r="Y1124" s="97"/>
      <c r="Z1124" s="97"/>
      <c r="AA1124" s="97"/>
      <c r="AB1124" s="97"/>
      <c r="AC1124" s="97"/>
      <c r="AD1124" s="97"/>
      <c r="AE1124" s="97"/>
      <c r="AF1124" s="98"/>
      <c r="AG1124" s="98"/>
      <c r="AH1124" s="98"/>
      <c r="AI1124" s="99"/>
      <c r="AJ1124" s="95">
        <f t="shared" si="2006"/>
        <v>0</v>
      </c>
      <c r="AK1124" s="96">
        <f t="shared" si="2007"/>
        <v>0</v>
      </c>
    </row>
    <row r="1125" spans="1:38" ht="15.6" hidden="1" thickBot="1">
      <c r="A1125" s="91"/>
      <c r="B1125" s="100"/>
      <c r="C1125" s="92"/>
      <c r="D1125" s="101">
        <v>2020</v>
      </c>
      <c r="E1125" s="102"/>
      <c r="F1125" s="124"/>
      <c r="G1125" s="124"/>
      <c r="H1125" s="124"/>
      <c r="I1125" s="124"/>
      <c r="J1125" s="124"/>
      <c r="K1125" s="124"/>
      <c r="L1125" s="124"/>
      <c r="M1125" s="125"/>
      <c r="N1125" s="125"/>
      <c r="O1125" s="125"/>
      <c r="P1125" s="126"/>
      <c r="Q1125" s="103">
        <f t="shared" si="2003"/>
        <v>0</v>
      </c>
      <c r="R1125" s="104">
        <f t="shared" si="1986"/>
        <v>0</v>
      </c>
      <c r="S1125" s="105"/>
      <c r="T1125" s="91"/>
      <c r="U1125" s="100"/>
      <c r="V1125" s="92"/>
      <c r="W1125" s="101">
        <v>2020</v>
      </c>
      <c r="X1125" s="102"/>
      <c r="Y1125" s="124"/>
      <c r="Z1125" s="124"/>
      <c r="AA1125" s="124"/>
      <c r="AB1125" s="124"/>
      <c r="AC1125" s="124"/>
      <c r="AD1125" s="124"/>
      <c r="AE1125" s="124"/>
      <c r="AF1125" s="125"/>
      <c r="AG1125" s="125"/>
      <c r="AH1125" s="125"/>
      <c r="AI1125" s="126"/>
      <c r="AJ1125" s="103">
        <f t="shared" si="2006"/>
        <v>0</v>
      </c>
      <c r="AK1125" s="104">
        <f t="shared" si="2007"/>
        <v>0</v>
      </c>
      <c r="AL1125" s="105"/>
    </row>
    <row r="1126" spans="1:38" ht="15.6" hidden="1" thickBot="1">
      <c r="A1126" s="91"/>
      <c r="B1126" s="100"/>
      <c r="C1126" s="92"/>
      <c r="D1126" s="101" t="s">
        <v>102</v>
      </c>
      <c r="E1126" s="106" t="e">
        <f t="shared" ref="E1126:R1126" si="2008">E1125/E1124</f>
        <v>#DIV/0!</v>
      </c>
      <c r="F1126" s="106" t="e">
        <f t="shared" si="2008"/>
        <v>#DIV/0!</v>
      </c>
      <c r="G1126" s="106" t="e">
        <f t="shared" si="2008"/>
        <v>#DIV/0!</v>
      </c>
      <c r="H1126" s="106" t="e">
        <f t="shared" si="2008"/>
        <v>#DIV/0!</v>
      </c>
      <c r="I1126" s="106" t="e">
        <f t="shared" si="2008"/>
        <v>#DIV/0!</v>
      </c>
      <c r="J1126" s="106" t="e">
        <f t="shared" si="2008"/>
        <v>#DIV/0!</v>
      </c>
      <c r="K1126" s="106" t="e">
        <f t="shared" si="2008"/>
        <v>#DIV/0!</v>
      </c>
      <c r="L1126" s="106" t="e">
        <f t="shared" si="2008"/>
        <v>#DIV/0!</v>
      </c>
      <c r="M1126" s="107" t="e">
        <f t="shared" si="2008"/>
        <v>#DIV/0!</v>
      </c>
      <c r="N1126" s="107" t="e">
        <f t="shared" si="2008"/>
        <v>#DIV/0!</v>
      </c>
      <c r="O1126" s="107" t="e">
        <f t="shared" si="2008"/>
        <v>#DIV/0!</v>
      </c>
      <c r="P1126" s="108" t="e">
        <f t="shared" si="2008"/>
        <v>#DIV/0!</v>
      </c>
      <c r="Q1126" s="109" t="e">
        <f t="shared" si="2008"/>
        <v>#DIV/0!</v>
      </c>
      <c r="R1126" s="110" t="e">
        <f t="shared" si="2008"/>
        <v>#DIV/0!</v>
      </c>
      <c r="S1126" s="105"/>
      <c r="T1126" s="91"/>
      <c r="U1126" s="100"/>
      <c r="V1126" s="92"/>
      <c r="W1126" s="101" t="s">
        <v>102</v>
      </c>
      <c r="X1126" s="106" t="e">
        <f t="shared" ref="X1126:AK1126" si="2009">X1125/X1124</f>
        <v>#DIV/0!</v>
      </c>
      <c r="Y1126" s="106" t="e">
        <f t="shared" si="2009"/>
        <v>#DIV/0!</v>
      </c>
      <c r="Z1126" s="106" t="e">
        <f t="shared" si="2009"/>
        <v>#DIV/0!</v>
      </c>
      <c r="AA1126" s="106" t="e">
        <f t="shared" si="2009"/>
        <v>#DIV/0!</v>
      </c>
      <c r="AB1126" s="106" t="e">
        <f t="shared" si="2009"/>
        <v>#DIV/0!</v>
      </c>
      <c r="AC1126" s="106" t="e">
        <f t="shared" si="2009"/>
        <v>#DIV/0!</v>
      </c>
      <c r="AD1126" s="106" t="e">
        <f t="shared" si="2009"/>
        <v>#DIV/0!</v>
      </c>
      <c r="AE1126" s="106" t="e">
        <f t="shared" si="2009"/>
        <v>#DIV/0!</v>
      </c>
      <c r="AF1126" s="107" t="e">
        <f t="shared" si="2009"/>
        <v>#DIV/0!</v>
      </c>
      <c r="AG1126" s="107" t="e">
        <f t="shared" si="2009"/>
        <v>#DIV/0!</v>
      </c>
      <c r="AH1126" s="107" t="e">
        <f t="shared" si="2009"/>
        <v>#DIV/0!</v>
      </c>
      <c r="AI1126" s="108" t="e">
        <f t="shared" si="2009"/>
        <v>#DIV/0!</v>
      </c>
      <c r="AJ1126" s="109" t="e">
        <f t="shared" si="2009"/>
        <v>#DIV/0!</v>
      </c>
      <c r="AK1126" s="110" t="e">
        <f t="shared" si="2009"/>
        <v>#DIV/0!</v>
      </c>
      <c r="AL1126" s="105"/>
    </row>
    <row r="1127" spans="1:38" ht="15.6" hidden="1" thickBot="1">
      <c r="A1127" s="91"/>
      <c r="B1127" s="100"/>
      <c r="C1127" s="111"/>
      <c r="D1127" s="112" t="s">
        <v>103</v>
      </c>
      <c r="E1127" s="113" t="e">
        <f t="shared" ref="E1127:R1127" si="2010">E1125/E1123</f>
        <v>#DIV/0!</v>
      </c>
      <c r="F1127" s="113" t="e">
        <f t="shared" si="2010"/>
        <v>#DIV/0!</v>
      </c>
      <c r="G1127" s="113" t="e">
        <f t="shared" si="2010"/>
        <v>#DIV/0!</v>
      </c>
      <c r="H1127" s="113" t="e">
        <f t="shared" si="2010"/>
        <v>#DIV/0!</v>
      </c>
      <c r="I1127" s="113" t="e">
        <f t="shared" si="2010"/>
        <v>#DIV/0!</v>
      </c>
      <c r="J1127" s="113" t="e">
        <f t="shared" si="2010"/>
        <v>#DIV/0!</v>
      </c>
      <c r="K1127" s="113" t="e">
        <f t="shared" si="2010"/>
        <v>#DIV/0!</v>
      </c>
      <c r="L1127" s="113" t="e">
        <f t="shared" si="2010"/>
        <v>#DIV/0!</v>
      </c>
      <c r="M1127" s="113" t="e">
        <f t="shared" si="2010"/>
        <v>#DIV/0!</v>
      </c>
      <c r="N1127" s="113" t="e">
        <f t="shared" si="2010"/>
        <v>#DIV/0!</v>
      </c>
      <c r="O1127" s="113" t="e">
        <f t="shared" si="2010"/>
        <v>#DIV/0!</v>
      </c>
      <c r="P1127" s="114" t="e">
        <f t="shared" si="2010"/>
        <v>#DIV/0!</v>
      </c>
      <c r="Q1127" s="115" t="e">
        <f t="shared" si="2010"/>
        <v>#DIV/0!</v>
      </c>
      <c r="R1127" s="116" t="e">
        <f t="shared" si="2010"/>
        <v>#DIV/0!</v>
      </c>
      <c r="T1127" s="91"/>
      <c r="U1127" s="100"/>
      <c r="V1127" s="111"/>
      <c r="W1127" s="112" t="s">
        <v>103</v>
      </c>
      <c r="X1127" s="113" t="e">
        <f t="shared" ref="X1127:AK1127" si="2011">X1125/X1123</f>
        <v>#DIV/0!</v>
      </c>
      <c r="Y1127" s="113" t="e">
        <f t="shared" si="2011"/>
        <v>#DIV/0!</v>
      </c>
      <c r="Z1127" s="113" t="e">
        <f t="shared" si="2011"/>
        <v>#DIV/0!</v>
      </c>
      <c r="AA1127" s="113" t="e">
        <f t="shared" si="2011"/>
        <v>#DIV/0!</v>
      </c>
      <c r="AB1127" s="113" t="e">
        <f t="shared" si="2011"/>
        <v>#DIV/0!</v>
      </c>
      <c r="AC1127" s="113" t="e">
        <f t="shared" si="2011"/>
        <v>#DIV/0!</v>
      </c>
      <c r="AD1127" s="113" t="e">
        <f t="shared" si="2011"/>
        <v>#DIV/0!</v>
      </c>
      <c r="AE1127" s="113" t="e">
        <f t="shared" si="2011"/>
        <v>#DIV/0!</v>
      </c>
      <c r="AF1127" s="113" t="e">
        <f t="shared" si="2011"/>
        <v>#DIV/0!</v>
      </c>
      <c r="AG1127" s="113" t="e">
        <f t="shared" si="2011"/>
        <v>#DIV/0!</v>
      </c>
      <c r="AH1127" s="113" t="e">
        <f t="shared" si="2011"/>
        <v>#DIV/0!</v>
      </c>
      <c r="AI1127" s="114" t="e">
        <f t="shared" si="2011"/>
        <v>#DIV/0!</v>
      </c>
      <c r="AJ1127" s="115" t="e">
        <f t="shared" si="2011"/>
        <v>#DIV/0!</v>
      </c>
      <c r="AK1127" s="116" t="e">
        <f t="shared" si="2011"/>
        <v>#DIV/0!</v>
      </c>
    </row>
    <row r="1128" spans="1:38" ht="15.6" hidden="1" thickBot="1">
      <c r="A1128" s="91"/>
      <c r="B1128" s="303" t="s">
        <v>167</v>
      </c>
      <c r="C1128" s="304"/>
      <c r="D1128" s="127">
        <v>2019</v>
      </c>
      <c r="E1128" s="128">
        <f>SUM(E1123,E1118,E1113,E1108,E1103,E1098,E1093,E1088,E1083,E1078,E1073,E1068,E1063,E1058)</f>
        <v>0</v>
      </c>
      <c r="F1128" s="129">
        <f t="shared" ref="F1128:P1128" si="2012">SUM(F1123,F1118,F1113,F1108,F1103,F1098,F1093,F1088,F1083,F1078,F1073,F1068,F1063,F1058)</f>
        <v>0</v>
      </c>
      <c r="G1128" s="129">
        <f t="shared" si="2012"/>
        <v>0</v>
      </c>
      <c r="H1128" s="129">
        <f t="shared" si="2012"/>
        <v>0</v>
      </c>
      <c r="I1128" s="129">
        <f t="shared" si="2012"/>
        <v>0</v>
      </c>
      <c r="J1128" s="129">
        <f t="shared" si="2012"/>
        <v>0</v>
      </c>
      <c r="K1128" s="129">
        <f t="shared" si="2012"/>
        <v>0</v>
      </c>
      <c r="L1128" s="129">
        <f t="shared" si="2012"/>
        <v>0</v>
      </c>
      <c r="M1128" s="129">
        <f t="shared" si="2012"/>
        <v>0</v>
      </c>
      <c r="N1128" s="129">
        <f t="shared" si="2012"/>
        <v>0</v>
      </c>
      <c r="O1128" s="129">
        <f t="shared" si="2012"/>
        <v>0</v>
      </c>
      <c r="P1128" s="130">
        <f t="shared" si="2012"/>
        <v>0</v>
      </c>
      <c r="Q1128" s="131">
        <f>SUM(E1128:P1128)</f>
        <v>0</v>
      </c>
      <c r="R1128" s="90">
        <f t="shared" ref="R1128" si="2013">SUM(E1128:M1128)</f>
        <v>0</v>
      </c>
      <c r="T1128" s="91"/>
      <c r="U1128" s="309" t="s">
        <v>167</v>
      </c>
      <c r="V1128" s="310"/>
      <c r="W1128" s="132">
        <v>2019</v>
      </c>
      <c r="X1128" s="133">
        <f>SUM(X1123,X1118,X1113,X1108,X1103,X1098,X1093,X1088,X1083,X1078,X1073,X1068,X1063,X1058)</f>
        <v>0</v>
      </c>
      <c r="Y1128" s="134">
        <f t="shared" ref="Y1128:AI1128" si="2014">SUM(Y1123,Y1118,Y1113,Y1108,Y1103,Y1098,Y1093,Y1088,Y1083,Y1078,Y1073,Y1068,Y1063,Y1058)</f>
        <v>0</v>
      </c>
      <c r="Z1128" s="134">
        <f t="shared" si="2014"/>
        <v>0</v>
      </c>
      <c r="AA1128" s="134">
        <f t="shared" si="2014"/>
        <v>0</v>
      </c>
      <c r="AB1128" s="134">
        <f t="shared" si="2014"/>
        <v>0</v>
      </c>
      <c r="AC1128" s="134">
        <f t="shared" si="2014"/>
        <v>0</v>
      </c>
      <c r="AD1128" s="134">
        <f t="shared" si="2014"/>
        <v>0</v>
      </c>
      <c r="AE1128" s="134">
        <f t="shared" si="2014"/>
        <v>0</v>
      </c>
      <c r="AF1128" s="134">
        <f t="shared" si="2014"/>
        <v>0</v>
      </c>
      <c r="AG1128" s="134">
        <f t="shared" si="2014"/>
        <v>0</v>
      </c>
      <c r="AH1128" s="134">
        <f t="shared" si="2014"/>
        <v>0</v>
      </c>
      <c r="AI1128" s="135">
        <f t="shared" si="2014"/>
        <v>0</v>
      </c>
      <c r="AJ1128" s="136">
        <f>SUM(X1128:AI1128)</f>
        <v>0</v>
      </c>
      <c r="AK1128" s="90">
        <f t="shared" ref="AK1128:AK1130" si="2015">SUM(X1128:AF1128)</f>
        <v>0</v>
      </c>
    </row>
    <row r="1129" spans="1:38" ht="15.6" hidden="1" thickBot="1">
      <c r="A1129" s="91"/>
      <c r="B1129" s="305"/>
      <c r="C1129" s="306"/>
      <c r="D1129" s="137" t="s">
        <v>92</v>
      </c>
      <c r="E1129" s="138">
        <f t="shared" ref="E1129:P1130" si="2016">SUM(E1124,E1119,E1114,E1109,E1104,E1099,E1094,E1089,E1084,E1079,E1074,E1069,E1064,E1059)</f>
        <v>0</v>
      </c>
      <c r="F1129" s="138">
        <f t="shared" si="2016"/>
        <v>0</v>
      </c>
      <c r="G1129" s="138">
        <f t="shared" si="2016"/>
        <v>0</v>
      </c>
      <c r="H1129" s="138">
        <f t="shared" si="2016"/>
        <v>0</v>
      </c>
      <c r="I1129" s="138">
        <f t="shared" si="2016"/>
        <v>0</v>
      </c>
      <c r="J1129" s="138">
        <f t="shared" si="2016"/>
        <v>0</v>
      </c>
      <c r="K1129" s="138">
        <f t="shared" si="2016"/>
        <v>0</v>
      </c>
      <c r="L1129" s="138">
        <f t="shared" si="2016"/>
        <v>0</v>
      </c>
      <c r="M1129" s="138">
        <f t="shared" si="2016"/>
        <v>0</v>
      </c>
      <c r="N1129" s="138">
        <f t="shared" si="2016"/>
        <v>0</v>
      </c>
      <c r="O1129" s="138">
        <f t="shared" si="2016"/>
        <v>0</v>
      </c>
      <c r="P1129" s="138">
        <f t="shared" si="2016"/>
        <v>0</v>
      </c>
      <c r="Q1129" s="139">
        <f t="shared" ref="Q1129:Q1130" si="2017">SUM(E1129:P1129)</f>
        <v>0</v>
      </c>
      <c r="R1129" s="96">
        <f t="shared" si="1986"/>
        <v>0</v>
      </c>
      <c r="T1129" s="91"/>
      <c r="U1129" s="311"/>
      <c r="V1129" s="312"/>
      <c r="W1129" s="140" t="s">
        <v>92</v>
      </c>
      <c r="X1129" s="141">
        <f t="shared" ref="X1129:AI1130" si="2018">SUM(X1124,X1119,X1114,X1109,X1104,X1099,X1094,X1089,X1084,X1079,X1074,X1069,X1064,X1059)</f>
        <v>0</v>
      </c>
      <c r="Y1129" s="141">
        <f t="shared" si="2018"/>
        <v>0</v>
      </c>
      <c r="Z1129" s="141">
        <f t="shared" si="2018"/>
        <v>0</v>
      </c>
      <c r="AA1129" s="141">
        <f t="shared" si="2018"/>
        <v>0</v>
      </c>
      <c r="AB1129" s="141">
        <f t="shared" si="2018"/>
        <v>0</v>
      </c>
      <c r="AC1129" s="141">
        <f t="shared" si="2018"/>
        <v>0</v>
      </c>
      <c r="AD1129" s="141">
        <f t="shared" si="2018"/>
        <v>0</v>
      </c>
      <c r="AE1129" s="141">
        <f t="shared" si="2018"/>
        <v>0</v>
      </c>
      <c r="AF1129" s="141">
        <f t="shared" si="2018"/>
        <v>0</v>
      </c>
      <c r="AG1129" s="141">
        <f t="shared" si="2018"/>
        <v>0</v>
      </c>
      <c r="AH1129" s="141">
        <f t="shared" si="2018"/>
        <v>0</v>
      </c>
      <c r="AI1129" s="141">
        <f t="shared" si="2018"/>
        <v>0</v>
      </c>
      <c r="AJ1129" s="142">
        <f t="shared" ref="AJ1129:AJ1130" si="2019">SUM(X1129:AI1129)</f>
        <v>0</v>
      </c>
      <c r="AK1129" s="96">
        <f t="shared" si="2015"/>
        <v>0</v>
      </c>
    </row>
    <row r="1130" spans="1:38" ht="15.6" hidden="1" thickBot="1">
      <c r="A1130" s="91"/>
      <c r="B1130" s="305"/>
      <c r="C1130" s="306"/>
      <c r="D1130" s="143">
        <v>2020</v>
      </c>
      <c r="E1130" s="144">
        <f>SUM(E1125,E1120,E1115,E1110,E1105,E1100,E1095,E1090,E1085,E1080,E1075,E1070,E1065,E1060)</f>
        <v>0</v>
      </c>
      <c r="F1130" s="144">
        <f t="shared" si="2016"/>
        <v>0</v>
      </c>
      <c r="G1130" s="144">
        <f t="shared" si="2016"/>
        <v>0</v>
      </c>
      <c r="H1130" s="144">
        <f t="shared" si="2016"/>
        <v>0</v>
      </c>
      <c r="I1130" s="144">
        <f t="shared" si="2016"/>
        <v>0</v>
      </c>
      <c r="J1130" s="144">
        <f t="shared" si="2016"/>
        <v>0</v>
      </c>
      <c r="K1130" s="144">
        <f t="shared" si="2016"/>
        <v>0</v>
      </c>
      <c r="L1130" s="144">
        <f t="shared" si="2016"/>
        <v>0</v>
      </c>
      <c r="M1130" s="144">
        <f t="shared" si="2016"/>
        <v>0</v>
      </c>
      <c r="N1130" s="144">
        <f t="shared" si="2016"/>
        <v>0</v>
      </c>
      <c r="O1130" s="144">
        <f t="shared" si="2016"/>
        <v>0</v>
      </c>
      <c r="P1130" s="144">
        <f t="shared" si="2016"/>
        <v>0</v>
      </c>
      <c r="Q1130" s="145">
        <f t="shared" si="2017"/>
        <v>0</v>
      </c>
      <c r="R1130" s="104">
        <f t="shared" si="1986"/>
        <v>0</v>
      </c>
      <c r="S1130" s="105"/>
      <c r="T1130" s="91"/>
      <c r="U1130" s="311"/>
      <c r="V1130" s="312"/>
      <c r="W1130" s="146">
        <v>2020</v>
      </c>
      <c r="X1130" s="147">
        <f>SUM(X1125,X1120,X1115,X1110,X1105,X1100,X1095,X1090,X1085,X1080,X1075,X1070,X1065,X1060)</f>
        <v>0</v>
      </c>
      <c r="Y1130" s="147">
        <f t="shared" si="2018"/>
        <v>0</v>
      </c>
      <c r="Z1130" s="147">
        <f t="shared" si="2018"/>
        <v>0</v>
      </c>
      <c r="AA1130" s="147">
        <f t="shared" si="2018"/>
        <v>0</v>
      </c>
      <c r="AB1130" s="147">
        <f t="shared" si="2018"/>
        <v>0</v>
      </c>
      <c r="AC1130" s="147">
        <f t="shared" si="2018"/>
        <v>0</v>
      </c>
      <c r="AD1130" s="147">
        <f t="shared" si="2018"/>
        <v>0</v>
      </c>
      <c r="AE1130" s="147">
        <f t="shared" si="2018"/>
        <v>0</v>
      </c>
      <c r="AF1130" s="147">
        <f t="shared" si="2018"/>
        <v>0</v>
      </c>
      <c r="AG1130" s="147">
        <f t="shared" si="2018"/>
        <v>0</v>
      </c>
      <c r="AH1130" s="147">
        <f t="shared" si="2018"/>
        <v>0</v>
      </c>
      <c r="AI1130" s="147">
        <f t="shared" si="2018"/>
        <v>0</v>
      </c>
      <c r="AJ1130" s="148">
        <f t="shared" si="2019"/>
        <v>0</v>
      </c>
      <c r="AK1130" s="104">
        <f t="shared" si="2015"/>
        <v>0</v>
      </c>
      <c r="AL1130" s="105"/>
    </row>
    <row r="1131" spans="1:38" ht="15.6" hidden="1" thickBot="1">
      <c r="A1131" s="91"/>
      <c r="B1131" s="305"/>
      <c r="C1131" s="306"/>
      <c r="D1131" s="143" t="s">
        <v>102</v>
      </c>
      <c r="E1131" s="149" t="e">
        <f t="shared" ref="E1131:R1131" si="2020">E1130/E1129</f>
        <v>#DIV/0!</v>
      </c>
      <c r="F1131" s="149" t="e">
        <f t="shared" si="2020"/>
        <v>#DIV/0!</v>
      </c>
      <c r="G1131" s="149" t="e">
        <f t="shared" si="2020"/>
        <v>#DIV/0!</v>
      </c>
      <c r="H1131" s="149" t="e">
        <f t="shared" si="2020"/>
        <v>#DIV/0!</v>
      </c>
      <c r="I1131" s="149" t="e">
        <f t="shared" si="2020"/>
        <v>#DIV/0!</v>
      </c>
      <c r="J1131" s="149" t="e">
        <f t="shared" si="2020"/>
        <v>#DIV/0!</v>
      </c>
      <c r="K1131" s="149" t="e">
        <f t="shared" si="2020"/>
        <v>#DIV/0!</v>
      </c>
      <c r="L1131" s="149" t="e">
        <f t="shared" si="2020"/>
        <v>#DIV/0!</v>
      </c>
      <c r="M1131" s="149" t="e">
        <f t="shared" si="2020"/>
        <v>#DIV/0!</v>
      </c>
      <c r="N1131" s="149" t="e">
        <f t="shared" si="2020"/>
        <v>#DIV/0!</v>
      </c>
      <c r="O1131" s="149" t="e">
        <f t="shared" si="2020"/>
        <v>#DIV/0!</v>
      </c>
      <c r="P1131" s="150" t="e">
        <f t="shared" si="2020"/>
        <v>#DIV/0!</v>
      </c>
      <c r="Q1131" s="151" t="e">
        <f t="shared" si="2020"/>
        <v>#DIV/0!</v>
      </c>
      <c r="R1131" s="104" t="e">
        <f t="shared" si="2020"/>
        <v>#DIV/0!</v>
      </c>
      <c r="S1131" s="105"/>
      <c r="T1131" s="91"/>
      <c r="U1131" s="311"/>
      <c r="V1131" s="312"/>
      <c r="W1131" s="146" t="s">
        <v>102</v>
      </c>
      <c r="X1131" s="152" t="e">
        <f t="shared" ref="X1131:AK1131" si="2021">X1130/X1129</f>
        <v>#DIV/0!</v>
      </c>
      <c r="Y1131" s="152" t="e">
        <f t="shared" si="2021"/>
        <v>#DIV/0!</v>
      </c>
      <c r="Z1131" s="152" t="e">
        <f t="shared" si="2021"/>
        <v>#DIV/0!</v>
      </c>
      <c r="AA1131" s="152" t="e">
        <f t="shared" si="2021"/>
        <v>#DIV/0!</v>
      </c>
      <c r="AB1131" s="152" t="e">
        <f t="shared" si="2021"/>
        <v>#DIV/0!</v>
      </c>
      <c r="AC1131" s="152" t="e">
        <f t="shared" si="2021"/>
        <v>#DIV/0!</v>
      </c>
      <c r="AD1131" s="152" t="e">
        <f t="shared" si="2021"/>
        <v>#DIV/0!</v>
      </c>
      <c r="AE1131" s="152" t="e">
        <f t="shared" si="2021"/>
        <v>#DIV/0!</v>
      </c>
      <c r="AF1131" s="152" t="e">
        <f t="shared" si="2021"/>
        <v>#DIV/0!</v>
      </c>
      <c r="AG1131" s="152" t="e">
        <f t="shared" si="2021"/>
        <v>#DIV/0!</v>
      </c>
      <c r="AH1131" s="152" t="e">
        <f t="shared" si="2021"/>
        <v>#DIV/0!</v>
      </c>
      <c r="AI1131" s="153" t="e">
        <f t="shared" si="2021"/>
        <v>#DIV/0!</v>
      </c>
      <c r="AJ1131" s="154" t="e">
        <f t="shared" si="2021"/>
        <v>#DIV/0!</v>
      </c>
      <c r="AK1131" s="104" t="e">
        <f t="shared" si="2021"/>
        <v>#DIV/0!</v>
      </c>
      <c r="AL1131" s="105"/>
    </row>
    <row r="1132" spans="1:38" ht="15.6" hidden="1" thickBot="1">
      <c r="A1132" s="155"/>
      <c r="B1132" s="307"/>
      <c r="C1132" s="308"/>
      <c r="D1132" s="156" t="s">
        <v>103</v>
      </c>
      <c r="E1132" s="165" t="e">
        <f t="shared" ref="E1132:R1132" si="2022">E1130/E1128</f>
        <v>#DIV/0!</v>
      </c>
      <c r="F1132" s="165" t="e">
        <f t="shared" si="2022"/>
        <v>#DIV/0!</v>
      </c>
      <c r="G1132" s="165" t="e">
        <f t="shared" si="2022"/>
        <v>#DIV/0!</v>
      </c>
      <c r="H1132" s="165" t="e">
        <f t="shared" si="2022"/>
        <v>#DIV/0!</v>
      </c>
      <c r="I1132" s="165" t="e">
        <f t="shared" si="2022"/>
        <v>#DIV/0!</v>
      </c>
      <c r="J1132" s="165" t="e">
        <f t="shared" si="2022"/>
        <v>#DIV/0!</v>
      </c>
      <c r="K1132" s="165" t="e">
        <f t="shared" si="2022"/>
        <v>#DIV/0!</v>
      </c>
      <c r="L1132" s="165" t="e">
        <f t="shared" si="2022"/>
        <v>#DIV/0!</v>
      </c>
      <c r="M1132" s="165" t="e">
        <f t="shared" si="2022"/>
        <v>#DIV/0!</v>
      </c>
      <c r="N1132" s="165" t="e">
        <f t="shared" si="2022"/>
        <v>#DIV/0!</v>
      </c>
      <c r="O1132" s="165" t="e">
        <f t="shared" si="2022"/>
        <v>#DIV/0!</v>
      </c>
      <c r="P1132" s="166" t="e">
        <f t="shared" si="2022"/>
        <v>#DIV/0!</v>
      </c>
      <c r="Q1132" s="167" t="e">
        <f t="shared" si="2022"/>
        <v>#DIV/0!</v>
      </c>
      <c r="R1132" s="168" t="e">
        <f t="shared" si="2022"/>
        <v>#DIV/0!</v>
      </c>
      <c r="T1132" s="155"/>
      <c r="U1132" s="313"/>
      <c r="V1132" s="314"/>
      <c r="W1132" s="160" t="s">
        <v>103</v>
      </c>
      <c r="X1132" s="169" t="e">
        <f t="shared" ref="X1132:AK1132" si="2023">X1130/X1128</f>
        <v>#DIV/0!</v>
      </c>
      <c r="Y1132" s="169" t="e">
        <f t="shared" si="2023"/>
        <v>#DIV/0!</v>
      </c>
      <c r="Z1132" s="169" t="e">
        <f t="shared" si="2023"/>
        <v>#DIV/0!</v>
      </c>
      <c r="AA1132" s="169" t="e">
        <f t="shared" si="2023"/>
        <v>#DIV/0!</v>
      </c>
      <c r="AB1132" s="169" t="e">
        <f t="shared" si="2023"/>
        <v>#DIV/0!</v>
      </c>
      <c r="AC1132" s="169" t="e">
        <f t="shared" si="2023"/>
        <v>#DIV/0!</v>
      </c>
      <c r="AD1132" s="169" t="e">
        <f t="shared" si="2023"/>
        <v>#DIV/0!</v>
      </c>
      <c r="AE1132" s="169" t="e">
        <f t="shared" si="2023"/>
        <v>#DIV/0!</v>
      </c>
      <c r="AF1132" s="169" t="e">
        <f t="shared" si="2023"/>
        <v>#DIV/0!</v>
      </c>
      <c r="AG1132" s="169" t="e">
        <f t="shared" si="2023"/>
        <v>#DIV/0!</v>
      </c>
      <c r="AH1132" s="169" t="e">
        <f t="shared" si="2023"/>
        <v>#DIV/0!</v>
      </c>
      <c r="AI1132" s="170" t="e">
        <f t="shared" si="2023"/>
        <v>#DIV/0!</v>
      </c>
      <c r="AJ1132" s="171" t="e">
        <f t="shared" si="2023"/>
        <v>#DIV/0!</v>
      </c>
      <c r="AK1132" s="168" t="e">
        <f t="shared" si="2023"/>
        <v>#DIV/0!</v>
      </c>
    </row>
    <row r="1133" spans="1:38" ht="15.6" hidden="1" thickBot="1">
      <c r="A1133" s="84" t="s">
        <v>160</v>
      </c>
      <c r="B1133" s="85" t="s">
        <v>150</v>
      </c>
      <c r="C1133" s="86" t="s">
        <v>122</v>
      </c>
      <c r="D1133" s="87">
        <v>2019</v>
      </c>
      <c r="E1133" s="88"/>
      <c r="F1133" s="121"/>
      <c r="G1133" s="121"/>
      <c r="H1133" s="121"/>
      <c r="I1133" s="121"/>
      <c r="J1133" s="121"/>
      <c r="K1133" s="121"/>
      <c r="L1133" s="121"/>
      <c r="M1133" s="122"/>
      <c r="N1133" s="122"/>
      <c r="O1133" s="122"/>
      <c r="P1133" s="123"/>
      <c r="Q1133" s="89">
        <f>SUM(E1133:P1133)</f>
        <v>0</v>
      </c>
      <c r="R1133" s="90">
        <f t="shared" ref="R1133" si="2024">SUM(E1133:M1133)</f>
        <v>0</v>
      </c>
      <c r="T1133" s="84" t="s">
        <v>160</v>
      </c>
      <c r="U1133" s="85" t="s">
        <v>150</v>
      </c>
      <c r="V1133" s="86" t="str">
        <f>C1133</f>
        <v>得意先名</v>
      </c>
      <c r="W1133" s="87">
        <v>2019</v>
      </c>
      <c r="X1133" s="88"/>
      <c r="Y1133" s="121"/>
      <c r="Z1133" s="121"/>
      <c r="AA1133" s="121"/>
      <c r="AB1133" s="121"/>
      <c r="AC1133" s="121"/>
      <c r="AD1133" s="121"/>
      <c r="AE1133" s="121"/>
      <c r="AF1133" s="122"/>
      <c r="AG1133" s="122"/>
      <c r="AH1133" s="122"/>
      <c r="AI1133" s="123"/>
      <c r="AJ1133" s="89">
        <f>SUM(X1133:AI1133)</f>
        <v>0</v>
      </c>
      <c r="AK1133" s="90">
        <f t="shared" ref="AK1133:AK1135" si="2025">SUM(X1133:AF1133)</f>
        <v>0</v>
      </c>
    </row>
    <row r="1134" spans="1:38" ht="15.6" hidden="1" thickBot="1">
      <c r="A1134" s="91"/>
      <c r="B1134" s="85" t="s">
        <v>151</v>
      </c>
      <c r="C1134" s="92" t="s">
        <v>124</v>
      </c>
      <c r="D1134" s="93" t="s">
        <v>92</v>
      </c>
      <c r="E1134" s="94"/>
      <c r="F1134" s="97"/>
      <c r="G1134" s="97"/>
      <c r="H1134" s="97"/>
      <c r="I1134" s="97"/>
      <c r="J1134" s="97"/>
      <c r="K1134" s="97"/>
      <c r="L1134" s="97"/>
      <c r="M1134" s="98"/>
      <c r="N1134" s="98"/>
      <c r="O1134" s="98"/>
      <c r="P1134" s="99"/>
      <c r="Q1134" s="95">
        <f>SUM(E1134:P1134)</f>
        <v>0</v>
      </c>
      <c r="R1134" s="96">
        <f t="shared" si="1986"/>
        <v>0</v>
      </c>
      <c r="T1134" s="91"/>
      <c r="U1134" s="85" t="s">
        <v>151</v>
      </c>
      <c r="V1134" s="92" t="str">
        <f>C1134</f>
        <v>得意先名（英語）</v>
      </c>
      <c r="W1134" s="93" t="s">
        <v>92</v>
      </c>
      <c r="X1134" s="94"/>
      <c r="Y1134" s="97"/>
      <c r="Z1134" s="97"/>
      <c r="AA1134" s="97"/>
      <c r="AB1134" s="97"/>
      <c r="AC1134" s="97"/>
      <c r="AD1134" s="97"/>
      <c r="AE1134" s="97"/>
      <c r="AF1134" s="98"/>
      <c r="AG1134" s="98"/>
      <c r="AH1134" s="98"/>
      <c r="AI1134" s="99"/>
      <c r="AJ1134" s="95">
        <f>SUM(X1134:AI1134)</f>
        <v>0</v>
      </c>
      <c r="AK1134" s="96">
        <f t="shared" si="2025"/>
        <v>0</v>
      </c>
    </row>
    <row r="1135" spans="1:38" ht="15.6" hidden="1" thickBot="1">
      <c r="A1135" s="91"/>
      <c r="B1135" s="100"/>
      <c r="C1135" s="92"/>
      <c r="D1135" s="101">
        <v>2020</v>
      </c>
      <c r="E1135" s="102"/>
      <c r="F1135" s="124"/>
      <c r="G1135" s="124"/>
      <c r="H1135" s="124"/>
      <c r="I1135" s="124"/>
      <c r="J1135" s="124"/>
      <c r="K1135" s="124"/>
      <c r="L1135" s="124"/>
      <c r="M1135" s="125"/>
      <c r="N1135" s="125"/>
      <c r="O1135" s="125"/>
      <c r="P1135" s="126"/>
      <c r="Q1135" s="103">
        <f>SUM(E1135:P1135)</f>
        <v>0</v>
      </c>
      <c r="R1135" s="104">
        <f t="shared" si="1986"/>
        <v>0</v>
      </c>
      <c r="S1135" s="105"/>
      <c r="T1135" s="91"/>
      <c r="U1135" s="100"/>
      <c r="V1135" s="92"/>
      <c r="W1135" s="101">
        <v>2020</v>
      </c>
      <c r="X1135" s="102"/>
      <c r="Y1135" s="124"/>
      <c r="Z1135" s="124"/>
      <c r="AA1135" s="124"/>
      <c r="AB1135" s="124"/>
      <c r="AC1135" s="124"/>
      <c r="AD1135" s="124"/>
      <c r="AE1135" s="124"/>
      <c r="AF1135" s="125"/>
      <c r="AG1135" s="125"/>
      <c r="AH1135" s="125"/>
      <c r="AI1135" s="126"/>
      <c r="AJ1135" s="103">
        <f>SUM(X1135:AI1135)</f>
        <v>0</v>
      </c>
      <c r="AK1135" s="104">
        <f t="shared" si="2025"/>
        <v>0</v>
      </c>
      <c r="AL1135" s="105"/>
    </row>
    <row r="1136" spans="1:38" ht="15.6" hidden="1" thickBot="1">
      <c r="A1136" s="91"/>
      <c r="B1136" s="100"/>
      <c r="C1136" s="92"/>
      <c r="D1136" s="101" t="s">
        <v>102</v>
      </c>
      <c r="E1136" s="106" t="e">
        <f>E1135/E1134</f>
        <v>#DIV/0!</v>
      </c>
      <c r="F1136" s="106" t="e">
        <f t="shared" ref="F1136:R1136" si="2026">F1135/F1134</f>
        <v>#DIV/0!</v>
      </c>
      <c r="G1136" s="106" t="e">
        <f t="shared" si="2026"/>
        <v>#DIV/0!</v>
      </c>
      <c r="H1136" s="106" t="e">
        <f t="shared" si="2026"/>
        <v>#DIV/0!</v>
      </c>
      <c r="I1136" s="106" t="e">
        <f t="shared" si="2026"/>
        <v>#DIV/0!</v>
      </c>
      <c r="J1136" s="106" t="e">
        <f t="shared" si="2026"/>
        <v>#DIV/0!</v>
      </c>
      <c r="K1136" s="106" t="e">
        <f t="shared" si="2026"/>
        <v>#DIV/0!</v>
      </c>
      <c r="L1136" s="106" t="e">
        <f t="shared" si="2026"/>
        <v>#DIV/0!</v>
      </c>
      <c r="M1136" s="107" t="e">
        <f t="shared" si="2026"/>
        <v>#DIV/0!</v>
      </c>
      <c r="N1136" s="107" t="e">
        <f t="shared" si="2026"/>
        <v>#DIV/0!</v>
      </c>
      <c r="O1136" s="107" t="e">
        <f t="shared" si="2026"/>
        <v>#DIV/0!</v>
      </c>
      <c r="P1136" s="108" t="e">
        <f t="shared" si="2026"/>
        <v>#DIV/0!</v>
      </c>
      <c r="Q1136" s="109" t="e">
        <f t="shared" si="2026"/>
        <v>#DIV/0!</v>
      </c>
      <c r="R1136" s="110" t="e">
        <f t="shared" si="2026"/>
        <v>#DIV/0!</v>
      </c>
      <c r="S1136" s="105"/>
      <c r="T1136" s="91"/>
      <c r="U1136" s="100"/>
      <c r="V1136" s="92"/>
      <c r="W1136" s="101" t="s">
        <v>102</v>
      </c>
      <c r="X1136" s="106" t="e">
        <f>X1135/X1134</f>
        <v>#DIV/0!</v>
      </c>
      <c r="Y1136" s="106" t="e">
        <f t="shared" ref="Y1136:AK1136" si="2027">Y1135/Y1134</f>
        <v>#DIV/0!</v>
      </c>
      <c r="Z1136" s="106" t="e">
        <f t="shared" si="2027"/>
        <v>#DIV/0!</v>
      </c>
      <c r="AA1136" s="106" t="e">
        <f t="shared" si="2027"/>
        <v>#DIV/0!</v>
      </c>
      <c r="AB1136" s="106" t="e">
        <f t="shared" si="2027"/>
        <v>#DIV/0!</v>
      </c>
      <c r="AC1136" s="106" t="e">
        <f t="shared" si="2027"/>
        <v>#DIV/0!</v>
      </c>
      <c r="AD1136" s="106" t="e">
        <f t="shared" si="2027"/>
        <v>#DIV/0!</v>
      </c>
      <c r="AE1136" s="106" t="e">
        <f t="shared" si="2027"/>
        <v>#DIV/0!</v>
      </c>
      <c r="AF1136" s="107" t="e">
        <f t="shared" si="2027"/>
        <v>#DIV/0!</v>
      </c>
      <c r="AG1136" s="107" t="e">
        <f t="shared" si="2027"/>
        <v>#DIV/0!</v>
      </c>
      <c r="AH1136" s="107" t="e">
        <f t="shared" si="2027"/>
        <v>#DIV/0!</v>
      </c>
      <c r="AI1136" s="108" t="e">
        <f t="shared" si="2027"/>
        <v>#DIV/0!</v>
      </c>
      <c r="AJ1136" s="109" t="e">
        <f t="shared" si="2027"/>
        <v>#DIV/0!</v>
      </c>
      <c r="AK1136" s="110" t="e">
        <f t="shared" si="2027"/>
        <v>#DIV/0!</v>
      </c>
      <c r="AL1136" s="105"/>
    </row>
    <row r="1137" spans="1:38" ht="15.6" hidden="1" thickBot="1">
      <c r="A1137" s="91"/>
      <c r="B1137" s="100"/>
      <c r="C1137" s="111"/>
      <c r="D1137" s="112" t="s">
        <v>103</v>
      </c>
      <c r="E1137" s="113" t="e">
        <f>E1135/E1133</f>
        <v>#DIV/0!</v>
      </c>
      <c r="F1137" s="113" t="e">
        <f t="shared" ref="F1137:R1137" si="2028">F1135/F1133</f>
        <v>#DIV/0!</v>
      </c>
      <c r="G1137" s="113" t="e">
        <f t="shared" si="2028"/>
        <v>#DIV/0!</v>
      </c>
      <c r="H1137" s="113" t="e">
        <f t="shared" si="2028"/>
        <v>#DIV/0!</v>
      </c>
      <c r="I1137" s="113" t="e">
        <f t="shared" si="2028"/>
        <v>#DIV/0!</v>
      </c>
      <c r="J1137" s="113" t="e">
        <f t="shared" si="2028"/>
        <v>#DIV/0!</v>
      </c>
      <c r="K1137" s="113" t="e">
        <f t="shared" si="2028"/>
        <v>#DIV/0!</v>
      </c>
      <c r="L1137" s="113" t="e">
        <f t="shared" si="2028"/>
        <v>#DIV/0!</v>
      </c>
      <c r="M1137" s="113" t="e">
        <f t="shared" si="2028"/>
        <v>#DIV/0!</v>
      </c>
      <c r="N1137" s="113" t="e">
        <f t="shared" si="2028"/>
        <v>#DIV/0!</v>
      </c>
      <c r="O1137" s="113" t="e">
        <f t="shared" si="2028"/>
        <v>#DIV/0!</v>
      </c>
      <c r="P1137" s="114" t="e">
        <f t="shared" si="2028"/>
        <v>#DIV/0!</v>
      </c>
      <c r="Q1137" s="115" t="e">
        <f t="shared" si="2028"/>
        <v>#DIV/0!</v>
      </c>
      <c r="R1137" s="116" t="e">
        <f t="shared" si="2028"/>
        <v>#DIV/0!</v>
      </c>
      <c r="T1137" s="91"/>
      <c r="U1137" s="100"/>
      <c r="V1137" s="111"/>
      <c r="W1137" s="112" t="s">
        <v>103</v>
      </c>
      <c r="X1137" s="113" t="e">
        <f>X1135/X1133</f>
        <v>#DIV/0!</v>
      </c>
      <c r="Y1137" s="113" t="e">
        <f t="shared" ref="Y1137:AK1137" si="2029">Y1135/Y1133</f>
        <v>#DIV/0!</v>
      </c>
      <c r="Z1137" s="113" t="e">
        <f t="shared" si="2029"/>
        <v>#DIV/0!</v>
      </c>
      <c r="AA1137" s="113" t="e">
        <f t="shared" si="2029"/>
        <v>#DIV/0!</v>
      </c>
      <c r="AB1137" s="113" t="e">
        <f t="shared" si="2029"/>
        <v>#DIV/0!</v>
      </c>
      <c r="AC1137" s="113" t="e">
        <f t="shared" si="2029"/>
        <v>#DIV/0!</v>
      </c>
      <c r="AD1137" s="113" t="e">
        <f t="shared" si="2029"/>
        <v>#DIV/0!</v>
      </c>
      <c r="AE1137" s="113" t="e">
        <f t="shared" si="2029"/>
        <v>#DIV/0!</v>
      </c>
      <c r="AF1137" s="113" t="e">
        <f t="shared" si="2029"/>
        <v>#DIV/0!</v>
      </c>
      <c r="AG1137" s="113" t="e">
        <f t="shared" si="2029"/>
        <v>#DIV/0!</v>
      </c>
      <c r="AH1137" s="113" t="e">
        <f t="shared" si="2029"/>
        <v>#DIV/0!</v>
      </c>
      <c r="AI1137" s="114" t="e">
        <f t="shared" si="2029"/>
        <v>#DIV/0!</v>
      </c>
      <c r="AJ1137" s="115" t="e">
        <f t="shared" si="2029"/>
        <v>#DIV/0!</v>
      </c>
      <c r="AK1137" s="116" t="e">
        <f t="shared" si="2029"/>
        <v>#DIV/0!</v>
      </c>
    </row>
    <row r="1138" spans="1:38" ht="15.6" hidden="1" thickBot="1">
      <c r="A1138" s="91"/>
      <c r="B1138" s="100"/>
      <c r="C1138" s="86"/>
      <c r="D1138" s="87">
        <v>2019</v>
      </c>
      <c r="E1138" s="88"/>
      <c r="F1138" s="121"/>
      <c r="G1138" s="121"/>
      <c r="H1138" s="121"/>
      <c r="I1138" s="121"/>
      <c r="J1138" s="121"/>
      <c r="K1138" s="121"/>
      <c r="L1138" s="121"/>
      <c r="M1138" s="122"/>
      <c r="N1138" s="122"/>
      <c r="O1138" s="122"/>
      <c r="P1138" s="123"/>
      <c r="Q1138" s="89">
        <f t="shared" ref="Q1138:Q1140" si="2030">SUM(E1138:P1138)</f>
        <v>0</v>
      </c>
      <c r="R1138" s="90">
        <f t="shared" ref="R1138" si="2031">SUM(E1138:M1138)</f>
        <v>0</v>
      </c>
      <c r="T1138" s="91"/>
      <c r="U1138" s="100"/>
      <c r="V1138" s="86">
        <f t="shared" ref="V1138:V1139" si="2032">C1138</f>
        <v>0</v>
      </c>
      <c r="W1138" s="87">
        <v>2019</v>
      </c>
      <c r="X1138" s="88"/>
      <c r="Y1138" s="121"/>
      <c r="Z1138" s="121"/>
      <c r="AA1138" s="121"/>
      <c r="AB1138" s="121"/>
      <c r="AC1138" s="121"/>
      <c r="AD1138" s="121"/>
      <c r="AE1138" s="121"/>
      <c r="AF1138" s="122"/>
      <c r="AG1138" s="122"/>
      <c r="AH1138" s="122"/>
      <c r="AI1138" s="123"/>
      <c r="AJ1138" s="89">
        <f t="shared" ref="AJ1138:AJ1140" si="2033">SUM(X1138:AI1138)</f>
        <v>0</v>
      </c>
      <c r="AK1138" s="90">
        <f t="shared" ref="AK1138:AK1140" si="2034">SUM(X1138:AF1138)</f>
        <v>0</v>
      </c>
    </row>
    <row r="1139" spans="1:38" ht="15.6" hidden="1" thickBot="1">
      <c r="A1139" s="91"/>
      <c r="B1139" s="100"/>
      <c r="C1139" s="92"/>
      <c r="D1139" s="93" t="s">
        <v>92</v>
      </c>
      <c r="E1139" s="94"/>
      <c r="F1139" s="97"/>
      <c r="G1139" s="97"/>
      <c r="H1139" s="97"/>
      <c r="I1139" s="97"/>
      <c r="J1139" s="97"/>
      <c r="K1139" s="97"/>
      <c r="L1139" s="97"/>
      <c r="M1139" s="98"/>
      <c r="N1139" s="98"/>
      <c r="O1139" s="98"/>
      <c r="P1139" s="99"/>
      <c r="Q1139" s="95">
        <f t="shared" si="2030"/>
        <v>0</v>
      </c>
      <c r="R1139" s="96">
        <f t="shared" si="1986"/>
        <v>0</v>
      </c>
      <c r="T1139" s="91"/>
      <c r="U1139" s="100"/>
      <c r="V1139" s="92">
        <f t="shared" si="2032"/>
        <v>0</v>
      </c>
      <c r="W1139" s="93" t="s">
        <v>92</v>
      </c>
      <c r="X1139" s="94"/>
      <c r="Y1139" s="97"/>
      <c r="Z1139" s="97"/>
      <c r="AA1139" s="97"/>
      <c r="AB1139" s="97"/>
      <c r="AC1139" s="97"/>
      <c r="AD1139" s="97"/>
      <c r="AE1139" s="97"/>
      <c r="AF1139" s="98"/>
      <c r="AG1139" s="98"/>
      <c r="AH1139" s="98"/>
      <c r="AI1139" s="99"/>
      <c r="AJ1139" s="95">
        <f t="shared" si="2033"/>
        <v>0</v>
      </c>
      <c r="AK1139" s="96">
        <f t="shared" si="2034"/>
        <v>0</v>
      </c>
    </row>
    <row r="1140" spans="1:38" ht="15.6" hidden="1" thickBot="1">
      <c r="A1140" s="91"/>
      <c r="B1140" s="100"/>
      <c r="C1140" s="92"/>
      <c r="D1140" s="101">
        <v>2020</v>
      </c>
      <c r="E1140" s="102"/>
      <c r="F1140" s="124"/>
      <c r="G1140" s="124"/>
      <c r="H1140" s="124"/>
      <c r="I1140" s="124"/>
      <c r="J1140" s="124"/>
      <c r="K1140" s="124"/>
      <c r="L1140" s="124"/>
      <c r="M1140" s="125"/>
      <c r="N1140" s="125"/>
      <c r="O1140" s="125"/>
      <c r="P1140" s="126"/>
      <c r="Q1140" s="103">
        <f t="shared" si="2030"/>
        <v>0</v>
      </c>
      <c r="R1140" s="104">
        <f t="shared" si="1986"/>
        <v>0</v>
      </c>
      <c r="S1140" s="105"/>
      <c r="T1140" s="91"/>
      <c r="U1140" s="100"/>
      <c r="V1140" s="92"/>
      <c r="W1140" s="101">
        <v>2020</v>
      </c>
      <c r="X1140" s="102"/>
      <c r="Y1140" s="124"/>
      <c r="Z1140" s="124"/>
      <c r="AA1140" s="124"/>
      <c r="AB1140" s="124"/>
      <c r="AC1140" s="124"/>
      <c r="AD1140" s="124"/>
      <c r="AE1140" s="124"/>
      <c r="AF1140" s="125"/>
      <c r="AG1140" s="125"/>
      <c r="AH1140" s="125"/>
      <c r="AI1140" s="126"/>
      <c r="AJ1140" s="103">
        <f t="shared" si="2033"/>
        <v>0</v>
      </c>
      <c r="AK1140" s="104">
        <f t="shared" si="2034"/>
        <v>0</v>
      </c>
      <c r="AL1140" s="105"/>
    </row>
    <row r="1141" spans="1:38" ht="15.6" hidden="1" thickBot="1">
      <c r="A1141" s="91"/>
      <c r="B1141" s="100"/>
      <c r="C1141" s="92"/>
      <c r="D1141" s="101" t="s">
        <v>102</v>
      </c>
      <c r="E1141" s="106" t="e">
        <f t="shared" ref="E1141:R1141" si="2035">E1140/E1139</f>
        <v>#DIV/0!</v>
      </c>
      <c r="F1141" s="106" t="e">
        <f t="shared" si="2035"/>
        <v>#DIV/0!</v>
      </c>
      <c r="G1141" s="106" t="e">
        <f t="shared" si="2035"/>
        <v>#DIV/0!</v>
      </c>
      <c r="H1141" s="106" t="e">
        <f t="shared" si="2035"/>
        <v>#DIV/0!</v>
      </c>
      <c r="I1141" s="106" t="e">
        <f t="shared" si="2035"/>
        <v>#DIV/0!</v>
      </c>
      <c r="J1141" s="106" t="e">
        <f t="shared" si="2035"/>
        <v>#DIV/0!</v>
      </c>
      <c r="K1141" s="106" t="e">
        <f t="shared" si="2035"/>
        <v>#DIV/0!</v>
      </c>
      <c r="L1141" s="106" t="e">
        <f t="shared" si="2035"/>
        <v>#DIV/0!</v>
      </c>
      <c r="M1141" s="107" t="e">
        <f t="shared" si="2035"/>
        <v>#DIV/0!</v>
      </c>
      <c r="N1141" s="107" t="e">
        <f t="shared" si="2035"/>
        <v>#DIV/0!</v>
      </c>
      <c r="O1141" s="107" t="e">
        <f t="shared" si="2035"/>
        <v>#DIV/0!</v>
      </c>
      <c r="P1141" s="108" t="e">
        <f t="shared" si="2035"/>
        <v>#DIV/0!</v>
      </c>
      <c r="Q1141" s="109" t="e">
        <f t="shared" si="2035"/>
        <v>#DIV/0!</v>
      </c>
      <c r="R1141" s="110" t="e">
        <f t="shared" si="2035"/>
        <v>#DIV/0!</v>
      </c>
      <c r="S1141" s="105"/>
      <c r="T1141" s="91"/>
      <c r="U1141" s="100"/>
      <c r="V1141" s="92"/>
      <c r="W1141" s="101" t="s">
        <v>102</v>
      </c>
      <c r="X1141" s="106" t="e">
        <f t="shared" ref="X1141:AK1141" si="2036">X1140/X1139</f>
        <v>#DIV/0!</v>
      </c>
      <c r="Y1141" s="106" t="e">
        <f t="shared" si="2036"/>
        <v>#DIV/0!</v>
      </c>
      <c r="Z1141" s="106" t="e">
        <f t="shared" si="2036"/>
        <v>#DIV/0!</v>
      </c>
      <c r="AA1141" s="106" t="e">
        <f t="shared" si="2036"/>
        <v>#DIV/0!</v>
      </c>
      <c r="AB1141" s="106" t="e">
        <f t="shared" si="2036"/>
        <v>#DIV/0!</v>
      </c>
      <c r="AC1141" s="106" t="e">
        <f t="shared" si="2036"/>
        <v>#DIV/0!</v>
      </c>
      <c r="AD1141" s="106" t="e">
        <f t="shared" si="2036"/>
        <v>#DIV/0!</v>
      </c>
      <c r="AE1141" s="106" t="e">
        <f t="shared" si="2036"/>
        <v>#DIV/0!</v>
      </c>
      <c r="AF1141" s="107" t="e">
        <f t="shared" si="2036"/>
        <v>#DIV/0!</v>
      </c>
      <c r="AG1141" s="107" t="e">
        <f t="shared" si="2036"/>
        <v>#DIV/0!</v>
      </c>
      <c r="AH1141" s="107" t="e">
        <f t="shared" si="2036"/>
        <v>#DIV/0!</v>
      </c>
      <c r="AI1141" s="108" t="e">
        <f t="shared" si="2036"/>
        <v>#DIV/0!</v>
      </c>
      <c r="AJ1141" s="109" t="e">
        <f t="shared" si="2036"/>
        <v>#DIV/0!</v>
      </c>
      <c r="AK1141" s="110" t="e">
        <f t="shared" si="2036"/>
        <v>#DIV/0!</v>
      </c>
      <c r="AL1141" s="105"/>
    </row>
    <row r="1142" spans="1:38" ht="15.6" hidden="1" thickBot="1">
      <c r="A1142" s="91"/>
      <c r="B1142" s="100"/>
      <c r="C1142" s="111"/>
      <c r="D1142" s="112" t="s">
        <v>103</v>
      </c>
      <c r="E1142" s="113" t="e">
        <f t="shared" ref="E1142:R1142" si="2037">E1140/E1138</f>
        <v>#DIV/0!</v>
      </c>
      <c r="F1142" s="113" t="e">
        <f t="shared" si="2037"/>
        <v>#DIV/0!</v>
      </c>
      <c r="G1142" s="113" t="e">
        <f t="shared" si="2037"/>
        <v>#DIV/0!</v>
      </c>
      <c r="H1142" s="113" t="e">
        <f t="shared" si="2037"/>
        <v>#DIV/0!</v>
      </c>
      <c r="I1142" s="113" t="e">
        <f t="shared" si="2037"/>
        <v>#DIV/0!</v>
      </c>
      <c r="J1142" s="113" t="e">
        <f t="shared" si="2037"/>
        <v>#DIV/0!</v>
      </c>
      <c r="K1142" s="113" t="e">
        <f t="shared" si="2037"/>
        <v>#DIV/0!</v>
      </c>
      <c r="L1142" s="113" t="e">
        <f t="shared" si="2037"/>
        <v>#DIV/0!</v>
      </c>
      <c r="M1142" s="113" t="e">
        <f t="shared" si="2037"/>
        <v>#DIV/0!</v>
      </c>
      <c r="N1142" s="113" t="e">
        <f t="shared" si="2037"/>
        <v>#DIV/0!</v>
      </c>
      <c r="O1142" s="113" t="e">
        <f t="shared" si="2037"/>
        <v>#DIV/0!</v>
      </c>
      <c r="P1142" s="114" t="e">
        <f t="shared" si="2037"/>
        <v>#DIV/0!</v>
      </c>
      <c r="Q1142" s="115" t="e">
        <f t="shared" si="2037"/>
        <v>#DIV/0!</v>
      </c>
      <c r="R1142" s="116" t="e">
        <f t="shared" si="2037"/>
        <v>#DIV/0!</v>
      </c>
      <c r="T1142" s="91"/>
      <c r="U1142" s="100"/>
      <c r="V1142" s="111"/>
      <c r="W1142" s="112" t="s">
        <v>103</v>
      </c>
      <c r="X1142" s="113" t="e">
        <f t="shared" ref="X1142:AK1142" si="2038">X1140/X1138</f>
        <v>#DIV/0!</v>
      </c>
      <c r="Y1142" s="113" t="e">
        <f t="shared" si="2038"/>
        <v>#DIV/0!</v>
      </c>
      <c r="Z1142" s="113" t="e">
        <f t="shared" si="2038"/>
        <v>#DIV/0!</v>
      </c>
      <c r="AA1142" s="113" t="e">
        <f t="shared" si="2038"/>
        <v>#DIV/0!</v>
      </c>
      <c r="AB1142" s="113" t="e">
        <f t="shared" si="2038"/>
        <v>#DIV/0!</v>
      </c>
      <c r="AC1142" s="113" t="e">
        <f t="shared" si="2038"/>
        <v>#DIV/0!</v>
      </c>
      <c r="AD1142" s="113" t="e">
        <f t="shared" si="2038"/>
        <v>#DIV/0!</v>
      </c>
      <c r="AE1142" s="113" t="e">
        <f t="shared" si="2038"/>
        <v>#DIV/0!</v>
      </c>
      <c r="AF1142" s="113" t="e">
        <f t="shared" si="2038"/>
        <v>#DIV/0!</v>
      </c>
      <c r="AG1142" s="113" t="e">
        <f t="shared" si="2038"/>
        <v>#DIV/0!</v>
      </c>
      <c r="AH1142" s="113" t="e">
        <f t="shared" si="2038"/>
        <v>#DIV/0!</v>
      </c>
      <c r="AI1142" s="114" t="e">
        <f t="shared" si="2038"/>
        <v>#DIV/0!</v>
      </c>
      <c r="AJ1142" s="115" t="e">
        <f t="shared" si="2038"/>
        <v>#DIV/0!</v>
      </c>
      <c r="AK1142" s="116" t="e">
        <f t="shared" si="2038"/>
        <v>#DIV/0!</v>
      </c>
    </row>
    <row r="1143" spans="1:38" ht="15.6" hidden="1" thickBot="1">
      <c r="A1143" s="91"/>
      <c r="B1143" s="100"/>
      <c r="C1143" s="86"/>
      <c r="D1143" s="87">
        <v>2019</v>
      </c>
      <c r="E1143" s="88"/>
      <c r="F1143" s="121"/>
      <c r="G1143" s="121"/>
      <c r="H1143" s="121"/>
      <c r="I1143" s="121"/>
      <c r="J1143" s="121"/>
      <c r="K1143" s="121"/>
      <c r="L1143" s="121"/>
      <c r="M1143" s="122"/>
      <c r="N1143" s="122"/>
      <c r="O1143" s="122"/>
      <c r="P1143" s="123"/>
      <c r="Q1143" s="89">
        <f t="shared" ref="Q1143:Q1145" si="2039">SUM(E1143:P1143)</f>
        <v>0</v>
      </c>
      <c r="R1143" s="90">
        <f t="shared" ref="R1143" si="2040">SUM(E1143:M1143)</f>
        <v>0</v>
      </c>
      <c r="T1143" s="91"/>
      <c r="U1143" s="100"/>
      <c r="V1143" s="86">
        <f t="shared" ref="V1143:V1144" si="2041">C1143</f>
        <v>0</v>
      </c>
      <c r="W1143" s="87">
        <v>2019</v>
      </c>
      <c r="X1143" s="88"/>
      <c r="Y1143" s="121"/>
      <c r="Z1143" s="121"/>
      <c r="AA1143" s="121"/>
      <c r="AB1143" s="121"/>
      <c r="AC1143" s="121"/>
      <c r="AD1143" s="121"/>
      <c r="AE1143" s="121"/>
      <c r="AF1143" s="122"/>
      <c r="AG1143" s="122"/>
      <c r="AH1143" s="122"/>
      <c r="AI1143" s="123"/>
      <c r="AJ1143" s="89">
        <f t="shared" ref="AJ1143:AJ1145" si="2042">SUM(X1143:AI1143)</f>
        <v>0</v>
      </c>
      <c r="AK1143" s="90">
        <f t="shared" ref="AK1143:AK1145" si="2043">SUM(X1143:AF1143)</f>
        <v>0</v>
      </c>
    </row>
    <row r="1144" spans="1:38" ht="15.6" hidden="1" thickBot="1">
      <c r="A1144" s="91"/>
      <c r="B1144" s="100"/>
      <c r="C1144" s="92"/>
      <c r="D1144" s="93" t="s">
        <v>92</v>
      </c>
      <c r="E1144" s="94"/>
      <c r="F1144" s="97"/>
      <c r="G1144" s="97"/>
      <c r="H1144" s="97"/>
      <c r="I1144" s="97"/>
      <c r="J1144" s="97"/>
      <c r="K1144" s="97"/>
      <c r="L1144" s="97"/>
      <c r="M1144" s="98"/>
      <c r="N1144" s="98"/>
      <c r="O1144" s="98"/>
      <c r="P1144" s="99"/>
      <c r="Q1144" s="95">
        <f t="shared" si="2039"/>
        <v>0</v>
      </c>
      <c r="R1144" s="96">
        <f t="shared" si="1986"/>
        <v>0</v>
      </c>
      <c r="T1144" s="91"/>
      <c r="U1144" s="100"/>
      <c r="V1144" s="92">
        <f t="shared" si="2041"/>
        <v>0</v>
      </c>
      <c r="W1144" s="93" t="s">
        <v>92</v>
      </c>
      <c r="X1144" s="94"/>
      <c r="Y1144" s="97"/>
      <c r="Z1144" s="97"/>
      <c r="AA1144" s="97"/>
      <c r="AB1144" s="97"/>
      <c r="AC1144" s="97"/>
      <c r="AD1144" s="97"/>
      <c r="AE1144" s="97"/>
      <c r="AF1144" s="98"/>
      <c r="AG1144" s="98"/>
      <c r="AH1144" s="98"/>
      <c r="AI1144" s="99"/>
      <c r="AJ1144" s="95">
        <f t="shared" si="2042"/>
        <v>0</v>
      </c>
      <c r="AK1144" s="96">
        <f t="shared" si="2043"/>
        <v>0</v>
      </c>
    </row>
    <row r="1145" spans="1:38" ht="15.6" hidden="1" thickBot="1">
      <c r="A1145" s="91"/>
      <c r="B1145" s="100"/>
      <c r="C1145" s="92"/>
      <c r="D1145" s="101">
        <v>2020</v>
      </c>
      <c r="E1145" s="102"/>
      <c r="F1145" s="124"/>
      <c r="G1145" s="124"/>
      <c r="H1145" s="124"/>
      <c r="I1145" s="124"/>
      <c r="J1145" s="124"/>
      <c r="K1145" s="124"/>
      <c r="L1145" s="124"/>
      <c r="M1145" s="125"/>
      <c r="N1145" s="125"/>
      <c r="O1145" s="125"/>
      <c r="P1145" s="126"/>
      <c r="Q1145" s="103">
        <f t="shared" si="2039"/>
        <v>0</v>
      </c>
      <c r="R1145" s="104">
        <f t="shared" si="1986"/>
        <v>0</v>
      </c>
      <c r="S1145" s="105"/>
      <c r="T1145" s="91"/>
      <c r="U1145" s="100"/>
      <c r="V1145" s="92"/>
      <c r="W1145" s="101">
        <v>2020</v>
      </c>
      <c r="X1145" s="102"/>
      <c r="Y1145" s="124"/>
      <c r="Z1145" s="124"/>
      <c r="AA1145" s="124"/>
      <c r="AB1145" s="124"/>
      <c r="AC1145" s="124"/>
      <c r="AD1145" s="124"/>
      <c r="AE1145" s="124"/>
      <c r="AF1145" s="125"/>
      <c r="AG1145" s="125"/>
      <c r="AH1145" s="125"/>
      <c r="AI1145" s="126"/>
      <c r="AJ1145" s="103">
        <f t="shared" si="2042"/>
        <v>0</v>
      </c>
      <c r="AK1145" s="104">
        <f t="shared" si="2043"/>
        <v>0</v>
      </c>
      <c r="AL1145" s="105"/>
    </row>
    <row r="1146" spans="1:38" ht="15.6" hidden="1" thickBot="1">
      <c r="A1146" s="91"/>
      <c r="B1146" s="100"/>
      <c r="C1146" s="92"/>
      <c r="D1146" s="101" t="s">
        <v>102</v>
      </c>
      <c r="E1146" s="106" t="e">
        <f t="shared" ref="E1146:R1146" si="2044">E1145/E1144</f>
        <v>#DIV/0!</v>
      </c>
      <c r="F1146" s="106" t="e">
        <f t="shared" si="2044"/>
        <v>#DIV/0!</v>
      </c>
      <c r="G1146" s="106" t="e">
        <f t="shared" si="2044"/>
        <v>#DIV/0!</v>
      </c>
      <c r="H1146" s="106" t="e">
        <f t="shared" si="2044"/>
        <v>#DIV/0!</v>
      </c>
      <c r="I1146" s="106" t="e">
        <f t="shared" si="2044"/>
        <v>#DIV/0!</v>
      </c>
      <c r="J1146" s="106" t="e">
        <f t="shared" si="2044"/>
        <v>#DIV/0!</v>
      </c>
      <c r="K1146" s="106" t="e">
        <f t="shared" si="2044"/>
        <v>#DIV/0!</v>
      </c>
      <c r="L1146" s="106" t="e">
        <f t="shared" si="2044"/>
        <v>#DIV/0!</v>
      </c>
      <c r="M1146" s="107" t="e">
        <f t="shared" si="2044"/>
        <v>#DIV/0!</v>
      </c>
      <c r="N1146" s="107" t="e">
        <f t="shared" si="2044"/>
        <v>#DIV/0!</v>
      </c>
      <c r="O1146" s="107" t="e">
        <f t="shared" si="2044"/>
        <v>#DIV/0!</v>
      </c>
      <c r="P1146" s="108" t="e">
        <f t="shared" si="2044"/>
        <v>#DIV/0!</v>
      </c>
      <c r="Q1146" s="109" t="e">
        <f t="shared" si="2044"/>
        <v>#DIV/0!</v>
      </c>
      <c r="R1146" s="110" t="e">
        <f t="shared" si="2044"/>
        <v>#DIV/0!</v>
      </c>
      <c r="S1146" s="105"/>
      <c r="T1146" s="91"/>
      <c r="U1146" s="100"/>
      <c r="V1146" s="92"/>
      <c r="W1146" s="101" t="s">
        <v>102</v>
      </c>
      <c r="X1146" s="106" t="e">
        <f t="shared" ref="X1146:AK1146" si="2045">X1145/X1144</f>
        <v>#DIV/0!</v>
      </c>
      <c r="Y1146" s="106" t="e">
        <f t="shared" si="2045"/>
        <v>#DIV/0!</v>
      </c>
      <c r="Z1146" s="106" t="e">
        <f t="shared" si="2045"/>
        <v>#DIV/0!</v>
      </c>
      <c r="AA1146" s="106" t="e">
        <f t="shared" si="2045"/>
        <v>#DIV/0!</v>
      </c>
      <c r="AB1146" s="106" t="e">
        <f t="shared" si="2045"/>
        <v>#DIV/0!</v>
      </c>
      <c r="AC1146" s="106" t="e">
        <f t="shared" si="2045"/>
        <v>#DIV/0!</v>
      </c>
      <c r="AD1146" s="106" t="e">
        <f t="shared" si="2045"/>
        <v>#DIV/0!</v>
      </c>
      <c r="AE1146" s="106" t="e">
        <f t="shared" si="2045"/>
        <v>#DIV/0!</v>
      </c>
      <c r="AF1146" s="107" t="e">
        <f t="shared" si="2045"/>
        <v>#DIV/0!</v>
      </c>
      <c r="AG1146" s="107" t="e">
        <f t="shared" si="2045"/>
        <v>#DIV/0!</v>
      </c>
      <c r="AH1146" s="107" t="e">
        <f t="shared" si="2045"/>
        <v>#DIV/0!</v>
      </c>
      <c r="AI1146" s="108" t="e">
        <f t="shared" si="2045"/>
        <v>#DIV/0!</v>
      </c>
      <c r="AJ1146" s="109" t="e">
        <f t="shared" si="2045"/>
        <v>#DIV/0!</v>
      </c>
      <c r="AK1146" s="110" t="e">
        <f t="shared" si="2045"/>
        <v>#DIV/0!</v>
      </c>
      <c r="AL1146" s="105"/>
    </row>
    <row r="1147" spans="1:38" ht="15.6" hidden="1" thickBot="1">
      <c r="A1147" s="91"/>
      <c r="B1147" s="100"/>
      <c r="C1147" s="111"/>
      <c r="D1147" s="112" t="s">
        <v>103</v>
      </c>
      <c r="E1147" s="113" t="e">
        <f t="shared" ref="E1147:R1147" si="2046">E1145/E1143</f>
        <v>#DIV/0!</v>
      </c>
      <c r="F1147" s="113" t="e">
        <f t="shared" si="2046"/>
        <v>#DIV/0!</v>
      </c>
      <c r="G1147" s="113" t="e">
        <f t="shared" si="2046"/>
        <v>#DIV/0!</v>
      </c>
      <c r="H1147" s="113" t="e">
        <f t="shared" si="2046"/>
        <v>#DIV/0!</v>
      </c>
      <c r="I1147" s="113" t="e">
        <f t="shared" si="2046"/>
        <v>#DIV/0!</v>
      </c>
      <c r="J1147" s="113" t="e">
        <f t="shared" si="2046"/>
        <v>#DIV/0!</v>
      </c>
      <c r="K1147" s="113" t="e">
        <f t="shared" si="2046"/>
        <v>#DIV/0!</v>
      </c>
      <c r="L1147" s="113" t="e">
        <f t="shared" si="2046"/>
        <v>#DIV/0!</v>
      </c>
      <c r="M1147" s="113" t="e">
        <f t="shared" si="2046"/>
        <v>#DIV/0!</v>
      </c>
      <c r="N1147" s="113" t="e">
        <f t="shared" si="2046"/>
        <v>#DIV/0!</v>
      </c>
      <c r="O1147" s="113" t="e">
        <f t="shared" si="2046"/>
        <v>#DIV/0!</v>
      </c>
      <c r="P1147" s="114" t="e">
        <f t="shared" si="2046"/>
        <v>#DIV/0!</v>
      </c>
      <c r="Q1147" s="115" t="e">
        <f t="shared" si="2046"/>
        <v>#DIV/0!</v>
      </c>
      <c r="R1147" s="116" t="e">
        <f t="shared" si="2046"/>
        <v>#DIV/0!</v>
      </c>
      <c r="T1147" s="91"/>
      <c r="U1147" s="100"/>
      <c r="V1147" s="111"/>
      <c r="W1147" s="112" t="s">
        <v>103</v>
      </c>
      <c r="X1147" s="113" t="e">
        <f t="shared" ref="X1147:AK1147" si="2047">X1145/X1143</f>
        <v>#DIV/0!</v>
      </c>
      <c r="Y1147" s="113" t="e">
        <f t="shared" si="2047"/>
        <v>#DIV/0!</v>
      </c>
      <c r="Z1147" s="113" t="e">
        <f t="shared" si="2047"/>
        <v>#DIV/0!</v>
      </c>
      <c r="AA1147" s="113" t="e">
        <f t="shared" si="2047"/>
        <v>#DIV/0!</v>
      </c>
      <c r="AB1147" s="113" t="e">
        <f t="shared" si="2047"/>
        <v>#DIV/0!</v>
      </c>
      <c r="AC1147" s="113" t="e">
        <f t="shared" si="2047"/>
        <v>#DIV/0!</v>
      </c>
      <c r="AD1147" s="113" t="e">
        <f t="shared" si="2047"/>
        <v>#DIV/0!</v>
      </c>
      <c r="AE1147" s="113" t="e">
        <f t="shared" si="2047"/>
        <v>#DIV/0!</v>
      </c>
      <c r="AF1147" s="113" t="e">
        <f t="shared" si="2047"/>
        <v>#DIV/0!</v>
      </c>
      <c r="AG1147" s="113" t="e">
        <f t="shared" si="2047"/>
        <v>#DIV/0!</v>
      </c>
      <c r="AH1147" s="113" t="e">
        <f t="shared" si="2047"/>
        <v>#DIV/0!</v>
      </c>
      <c r="AI1147" s="114" t="e">
        <f t="shared" si="2047"/>
        <v>#DIV/0!</v>
      </c>
      <c r="AJ1147" s="115" t="e">
        <f t="shared" si="2047"/>
        <v>#DIV/0!</v>
      </c>
      <c r="AK1147" s="116" t="e">
        <f t="shared" si="2047"/>
        <v>#DIV/0!</v>
      </c>
    </row>
    <row r="1148" spans="1:38" ht="15.6" hidden="1" thickBot="1">
      <c r="A1148" s="91"/>
      <c r="B1148" s="100"/>
      <c r="C1148" s="86"/>
      <c r="D1148" s="87">
        <v>2019</v>
      </c>
      <c r="E1148" s="88"/>
      <c r="F1148" s="121"/>
      <c r="G1148" s="121"/>
      <c r="H1148" s="121"/>
      <c r="I1148" s="121"/>
      <c r="J1148" s="121"/>
      <c r="K1148" s="121"/>
      <c r="L1148" s="121"/>
      <c r="M1148" s="122"/>
      <c r="N1148" s="122"/>
      <c r="O1148" s="122"/>
      <c r="P1148" s="123"/>
      <c r="Q1148" s="89">
        <f t="shared" ref="Q1148:Q1150" si="2048">SUM(E1148:P1148)</f>
        <v>0</v>
      </c>
      <c r="R1148" s="90">
        <f t="shared" ref="R1148" si="2049">SUM(E1148:M1148)</f>
        <v>0</v>
      </c>
      <c r="T1148" s="91"/>
      <c r="U1148" s="100"/>
      <c r="V1148" s="86">
        <f t="shared" ref="V1148:V1149" si="2050">C1148</f>
        <v>0</v>
      </c>
      <c r="W1148" s="87">
        <v>2019</v>
      </c>
      <c r="X1148" s="88"/>
      <c r="Y1148" s="121"/>
      <c r="Z1148" s="121"/>
      <c r="AA1148" s="121"/>
      <c r="AB1148" s="121"/>
      <c r="AC1148" s="121"/>
      <c r="AD1148" s="121"/>
      <c r="AE1148" s="121"/>
      <c r="AF1148" s="122"/>
      <c r="AG1148" s="122"/>
      <c r="AH1148" s="122"/>
      <c r="AI1148" s="123"/>
      <c r="AJ1148" s="89">
        <f t="shared" ref="AJ1148:AJ1150" si="2051">SUM(X1148:AI1148)</f>
        <v>0</v>
      </c>
      <c r="AK1148" s="90">
        <f t="shared" ref="AK1148:AK1150" si="2052">SUM(X1148:AF1148)</f>
        <v>0</v>
      </c>
    </row>
    <row r="1149" spans="1:38" ht="15.6" hidden="1" thickBot="1">
      <c r="A1149" s="91"/>
      <c r="B1149" s="100"/>
      <c r="C1149" s="92"/>
      <c r="D1149" s="93" t="s">
        <v>92</v>
      </c>
      <c r="E1149" s="94"/>
      <c r="F1149" s="97"/>
      <c r="G1149" s="97"/>
      <c r="H1149" s="97"/>
      <c r="I1149" s="97"/>
      <c r="J1149" s="97"/>
      <c r="K1149" s="97"/>
      <c r="L1149" s="97"/>
      <c r="M1149" s="98"/>
      <c r="N1149" s="98"/>
      <c r="O1149" s="98"/>
      <c r="P1149" s="99"/>
      <c r="Q1149" s="95">
        <f t="shared" si="2048"/>
        <v>0</v>
      </c>
      <c r="R1149" s="96">
        <f t="shared" si="1986"/>
        <v>0</v>
      </c>
      <c r="T1149" s="91"/>
      <c r="U1149" s="100"/>
      <c r="V1149" s="92">
        <f t="shared" si="2050"/>
        <v>0</v>
      </c>
      <c r="W1149" s="93" t="s">
        <v>92</v>
      </c>
      <c r="X1149" s="94"/>
      <c r="Y1149" s="97"/>
      <c r="Z1149" s="97"/>
      <c r="AA1149" s="97"/>
      <c r="AB1149" s="97"/>
      <c r="AC1149" s="97"/>
      <c r="AD1149" s="97"/>
      <c r="AE1149" s="97"/>
      <c r="AF1149" s="98"/>
      <c r="AG1149" s="98"/>
      <c r="AH1149" s="98"/>
      <c r="AI1149" s="99"/>
      <c r="AJ1149" s="95">
        <f t="shared" si="2051"/>
        <v>0</v>
      </c>
      <c r="AK1149" s="96">
        <f t="shared" si="2052"/>
        <v>0</v>
      </c>
    </row>
    <row r="1150" spans="1:38" ht="15.6" hidden="1" thickBot="1">
      <c r="A1150" s="91"/>
      <c r="B1150" s="100"/>
      <c r="C1150" s="92"/>
      <c r="D1150" s="101">
        <v>2020</v>
      </c>
      <c r="E1150" s="102"/>
      <c r="F1150" s="124"/>
      <c r="G1150" s="124"/>
      <c r="H1150" s="124"/>
      <c r="I1150" s="124"/>
      <c r="J1150" s="124"/>
      <c r="K1150" s="124"/>
      <c r="L1150" s="124"/>
      <c r="M1150" s="125"/>
      <c r="N1150" s="125"/>
      <c r="O1150" s="125"/>
      <c r="P1150" s="126"/>
      <c r="Q1150" s="103">
        <f t="shared" si="2048"/>
        <v>0</v>
      </c>
      <c r="R1150" s="104">
        <f t="shared" si="1986"/>
        <v>0</v>
      </c>
      <c r="S1150" s="105"/>
      <c r="T1150" s="91"/>
      <c r="U1150" s="100"/>
      <c r="V1150" s="92"/>
      <c r="W1150" s="101">
        <v>2020</v>
      </c>
      <c r="X1150" s="102"/>
      <c r="Y1150" s="124"/>
      <c r="Z1150" s="124"/>
      <c r="AA1150" s="124"/>
      <c r="AB1150" s="124"/>
      <c r="AC1150" s="124"/>
      <c r="AD1150" s="124"/>
      <c r="AE1150" s="124"/>
      <c r="AF1150" s="125"/>
      <c r="AG1150" s="125"/>
      <c r="AH1150" s="125"/>
      <c r="AI1150" s="126"/>
      <c r="AJ1150" s="103">
        <f t="shared" si="2051"/>
        <v>0</v>
      </c>
      <c r="AK1150" s="104">
        <f t="shared" si="2052"/>
        <v>0</v>
      </c>
      <c r="AL1150" s="105"/>
    </row>
    <row r="1151" spans="1:38" ht="15.6" hidden="1" thickBot="1">
      <c r="A1151" s="91"/>
      <c r="B1151" s="100"/>
      <c r="C1151" s="92"/>
      <c r="D1151" s="101" t="s">
        <v>102</v>
      </c>
      <c r="E1151" s="106" t="e">
        <f t="shared" ref="E1151:R1151" si="2053">E1150/E1149</f>
        <v>#DIV/0!</v>
      </c>
      <c r="F1151" s="106" t="e">
        <f t="shared" si="2053"/>
        <v>#DIV/0!</v>
      </c>
      <c r="G1151" s="106" t="e">
        <f t="shared" si="2053"/>
        <v>#DIV/0!</v>
      </c>
      <c r="H1151" s="106" t="e">
        <f t="shared" si="2053"/>
        <v>#DIV/0!</v>
      </c>
      <c r="I1151" s="106" t="e">
        <f t="shared" si="2053"/>
        <v>#DIV/0!</v>
      </c>
      <c r="J1151" s="106" t="e">
        <f t="shared" si="2053"/>
        <v>#DIV/0!</v>
      </c>
      <c r="K1151" s="106" t="e">
        <f t="shared" si="2053"/>
        <v>#DIV/0!</v>
      </c>
      <c r="L1151" s="106" t="e">
        <f t="shared" si="2053"/>
        <v>#DIV/0!</v>
      </c>
      <c r="M1151" s="107" t="e">
        <f t="shared" si="2053"/>
        <v>#DIV/0!</v>
      </c>
      <c r="N1151" s="107" t="e">
        <f t="shared" si="2053"/>
        <v>#DIV/0!</v>
      </c>
      <c r="O1151" s="107" t="e">
        <f t="shared" si="2053"/>
        <v>#DIV/0!</v>
      </c>
      <c r="P1151" s="108" t="e">
        <f t="shared" si="2053"/>
        <v>#DIV/0!</v>
      </c>
      <c r="Q1151" s="109" t="e">
        <f t="shared" si="2053"/>
        <v>#DIV/0!</v>
      </c>
      <c r="R1151" s="110" t="e">
        <f t="shared" si="2053"/>
        <v>#DIV/0!</v>
      </c>
      <c r="S1151" s="105"/>
      <c r="T1151" s="91"/>
      <c r="U1151" s="100"/>
      <c r="V1151" s="92"/>
      <c r="W1151" s="101" t="s">
        <v>102</v>
      </c>
      <c r="X1151" s="106" t="e">
        <f t="shared" ref="X1151:AK1151" si="2054">X1150/X1149</f>
        <v>#DIV/0!</v>
      </c>
      <c r="Y1151" s="106" t="e">
        <f t="shared" si="2054"/>
        <v>#DIV/0!</v>
      </c>
      <c r="Z1151" s="106" t="e">
        <f t="shared" si="2054"/>
        <v>#DIV/0!</v>
      </c>
      <c r="AA1151" s="106" t="e">
        <f t="shared" si="2054"/>
        <v>#DIV/0!</v>
      </c>
      <c r="AB1151" s="106" t="e">
        <f t="shared" si="2054"/>
        <v>#DIV/0!</v>
      </c>
      <c r="AC1151" s="106" t="e">
        <f t="shared" si="2054"/>
        <v>#DIV/0!</v>
      </c>
      <c r="AD1151" s="106" t="e">
        <f t="shared" si="2054"/>
        <v>#DIV/0!</v>
      </c>
      <c r="AE1151" s="106" t="e">
        <f t="shared" si="2054"/>
        <v>#DIV/0!</v>
      </c>
      <c r="AF1151" s="107" t="e">
        <f t="shared" si="2054"/>
        <v>#DIV/0!</v>
      </c>
      <c r="AG1151" s="107" t="e">
        <f t="shared" si="2054"/>
        <v>#DIV/0!</v>
      </c>
      <c r="AH1151" s="107" t="e">
        <f t="shared" si="2054"/>
        <v>#DIV/0!</v>
      </c>
      <c r="AI1151" s="108" t="e">
        <f t="shared" si="2054"/>
        <v>#DIV/0!</v>
      </c>
      <c r="AJ1151" s="109" t="e">
        <f t="shared" si="2054"/>
        <v>#DIV/0!</v>
      </c>
      <c r="AK1151" s="110" t="e">
        <f t="shared" si="2054"/>
        <v>#DIV/0!</v>
      </c>
      <c r="AL1151" s="105"/>
    </row>
    <row r="1152" spans="1:38" ht="15.6" hidden="1" thickBot="1">
      <c r="A1152" s="91"/>
      <c r="B1152" s="100"/>
      <c r="C1152" s="111"/>
      <c r="D1152" s="112" t="s">
        <v>103</v>
      </c>
      <c r="E1152" s="113" t="e">
        <f t="shared" ref="E1152:R1152" si="2055">E1150/E1148</f>
        <v>#DIV/0!</v>
      </c>
      <c r="F1152" s="113" t="e">
        <f t="shared" si="2055"/>
        <v>#DIV/0!</v>
      </c>
      <c r="G1152" s="113" t="e">
        <f t="shared" si="2055"/>
        <v>#DIV/0!</v>
      </c>
      <c r="H1152" s="113" t="e">
        <f t="shared" si="2055"/>
        <v>#DIV/0!</v>
      </c>
      <c r="I1152" s="113" t="e">
        <f t="shared" si="2055"/>
        <v>#DIV/0!</v>
      </c>
      <c r="J1152" s="113" t="e">
        <f t="shared" si="2055"/>
        <v>#DIV/0!</v>
      </c>
      <c r="K1152" s="113" t="e">
        <f t="shared" si="2055"/>
        <v>#DIV/0!</v>
      </c>
      <c r="L1152" s="113" t="e">
        <f t="shared" si="2055"/>
        <v>#DIV/0!</v>
      </c>
      <c r="M1152" s="113" t="e">
        <f t="shared" si="2055"/>
        <v>#DIV/0!</v>
      </c>
      <c r="N1152" s="113" t="e">
        <f t="shared" si="2055"/>
        <v>#DIV/0!</v>
      </c>
      <c r="O1152" s="113" t="e">
        <f t="shared" si="2055"/>
        <v>#DIV/0!</v>
      </c>
      <c r="P1152" s="114" t="e">
        <f t="shared" si="2055"/>
        <v>#DIV/0!</v>
      </c>
      <c r="Q1152" s="115" t="e">
        <f t="shared" si="2055"/>
        <v>#DIV/0!</v>
      </c>
      <c r="R1152" s="116" t="e">
        <f t="shared" si="2055"/>
        <v>#DIV/0!</v>
      </c>
      <c r="T1152" s="91"/>
      <c r="U1152" s="100"/>
      <c r="V1152" s="111"/>
      <c r="W1152" s="112" t="s">
        <v>103</v>
      </c>
      <c r="X1152" s="113" t="e">
        <f t="shared" ref="X1152:AK1152" si="2056">X1150/X1148</f>
        <v>#DIV/0!</v>
      </c>
      <c r="Y1152" s="113" t="e">
        <f t="shared" si="2056"/>
        <v>#DIV/0!</v>
      </c>
      <c r="Z1152" s="113" t="e">
        <f t="shared" si="2056"/>
        <v>#DIV/0!</v>
      </c>
      <c r="AA1152" s="113" t="e">
        <f t="shared" si="2056"/>
        <v>#DIV/0!</v>
      </c>
      <c r="AB1152" s="113" t="e">
        <f t="shared" si="2056"/>
        <v>#DIV/0!</v>
      </c>
      <c r="AC1152" s="113" t="e">
        <f t="shared" si="2056"/>
        <v>#DIV/0!</v>
      </c>
      <c r="AD1152" s="113" t="e">
        <f t="shared" si="2056"/>
        <v>#DIV/0!</v>
      </c>
      <c r="AE1152" s="113" t="e">
        <f t="shared" si="2056"/>
        <v>#DIV/0!</v>
      </c>
      <c r="AF1152" s="113" t="e">
        <f t="shared" si="2056"/>
        <v>#DIV/0!</v>
      </c>
      <c r="AG1152" s="113" t="e">
        <f t="shared" si="2056"/>
        <v>#DIV/0!</v>
      </c>
      <c r="AH1152" s="113" t="e">
        <f t="shared" si="2056"/>
        <v>#DIV/0!</v>
      </c>
      <c r="AI1152" s="114" t="e">
        <f t="shared" si="2056"/>
        <v>#DIV/0!</v>
      </c>
      <c r="AJ1152" s="115" t="e">
        <f t="shared" si="2056"/>
        <v>#DIV/0!</v>
      </c>
      <c r="AK1152" s="116" t="e">
        <f t="shared" si="2056"/>
        <v>#DIV/0!</v>
      </c>
    </row>
    <row r="1153" spans="1:38" ht="15.6" hidden="1" thickBot="1">
      <c r="A1153" s="91"/>
      <c r="B1153" s="100"/>
      <c r="C1153" s="86"/>
      <c r="D1153" s="87">
        <v>2019</v>
      </c>
      <c r="E1153" s="88"/>
      <c r="F1153" s="121"/>
      <c r="G1153" s="121"/>
      <c r="H1153" s="121"/>
      <c r="I1153" s="121"/>
      <c r="J1153" s="121"/>
      <c r="K1153" s="121"/>
      <c r="L1153" s="121"/>
      <c r="M1153" s="122"/>
      <c r="N1153" s="122"/>
      <c r="O1153" s="122"/>
      <c r="P1153" s="123"/>
      <c r="Q1153" s="89">
        <f t="shared" ref="Q1153:Q1155" si="2057">SUM(E1153:P1153)</f>
        <v>0</v>
      </c>
      <c r="R1153" s="90">
        <f t="shared" ref="R1153" si="2058">SUM(E1153:M1153)</f>
        <v>0</v>
      </c>
      <c r="T1153" s="91"/>
      <c r="U1153" s="100"/>
      <c r="V1153" s="86">
        <f t="shared" ref="V1153:V1154" si="2059">C1153</f>
        <v>0</v>
      </c>
      <c r="W1153" s="87">
        <v>2019</v>
      </c>
      <c r="X1153" s="88"/>
      <c r="Y1153" s="121"/>
      <c r="Z1153" s="121"/>
      <c r="AA1153" s="121"/>
      <c r="AB1153" s="121"/>
      <c r="AC1153" s="121"/>
      <c r="AD1153" s="121"/>
      <c r="AE1153" s="121"/>
      <c r="AF1153" s="122"/>
      <c r="AG1153" s="122"/>
      <c r="AH1153" s="122"/>
      <c r="AI1153" s="123"/>
      <c r="AJ1153" s="89">
        <f t="shared" ref="AJ1153:AJ1155" si="2060">SUM(X1153:AI1153)</f>
        <v>0</v>
      </c>
      <c r="AK1153" s="90">
        <f t="shared" ref="AK1153:AK1155" si="2061">SUM(X1153:AF1153)</f>
        <v>0</v>
      </c>
    </row>
    <row r="1154" spans="1:38" ht="15.6" hidden="1" thickBot="1">
      <c r="A1154" s="91"/>
      <c r="B1154" s="100"/>
      <c r="C1154" s="92"/>
      <c r="D1154" s="93" t="s">
        <v>92</v>
      </c>
      <c r="E1154" s="94"/>
      <c r="F1154" s="97"/>
      <c r="G1154" s="97"/>
      <c r="H1154" s="97"/>
      <c r="I1154" s="97"/>
      <c r="J1154" s="97"/>
      <c r="K1154" s="97"/>
      <c r="L1154" s="97"/>
      <c r="M1154" s="98"/>
      <c r="N1154" s="98"/>
      <c r="O1154" s="98"/>
      <c r="P1154" s="99"/>
      <c r="Q1154" s="95">
        <f t="shared" si="2057"/>
        <v>0</v>
      </c>
      <c r="R1154" s="96">
        <f t="shared" si="1986"/>
        <v>0</v>
      </c>
      <c r="T1154" s="91"/>
      <c r="U1154" s="100"/>
      <c r="V1154" s="92">
        <f t="shared" si="2059"/>
        <v>0</v>
      </c>
      <c r="W1154" s="93" t="s">
        <v>92</v>
      </c>
      <c r="X1154" s="94"/>
      <c r="Y1154" s="97"/>
      <c r="Z1154" s="97"/>
      <c r="AA1154" s="97"/>
      <c r="AB1154" s="97"/>
      <c r="AC1154" s="97"/>
      <c r="AD1154" s="97"/>
      <c r="AE1154" s="97"/>
      <c r="AF1154" s="98"/>
      <c r="AG1154" s="98"/>
      <c r="AH1154" s="98"/>
      <c r="AI1154" s="99"/>
      <c r="AJ1154" s="95">
        <f t="shared" si="2060"/>
        <v>0</v>
      </c>
      <c r="AK1154" s="96">
        <f t="shared" si="2061"/>
        <v>0</v>
      </c>
    </row>
    <row r="1155" spans="1:38" ht="15.6" hidden="1" thickBot="1">
      <c r="A1155" s="91"/>
      <c r="B1155" s="100"/>
      <c r="C1155" s="92"/>
      <c r="D1155" s="101">
        <v>2020</v>
      </c>
      <c r="E1155" s="102"/>
      <c r="F1155" s="124"/>
      <c r="G1155" s="124"/>
      <c r="H1155" s="124"/>
      <c r="I1155" s="124"/>
      <c r="J1155" s="124"/>
      <c r="K1155" s="124"/>
      <c r="L1155" s="124"/>
      <c r="M1155" s="125"/>
      <c r="N1155" s="125"/>
      <c r="O1155" s="125"/>
      <c r="P1155" s="126"/>
      <c r="Q1155" s="103">
        <f t="shared" si="2057"/>
        <v>0</v>
      </c>
      <c r="R1155" s="104">
        <f t="shared" si="1986"/>
        <v>0</v>
      </c>
      <c r="S1155" s="105"/>
      <c r="T1155" s="91"/>
      <c r="U1155" s="100"/>
      <c r="V1155" s="92"/>
      <c r="W1155" s="101">
        <v>2020</v>
      </c>
      <c r="X1155" s="102"/>
      <c r="Y1155" s="124"/>
      <c r="Z1155" s="124"/>
      <c r="AA1155" s="124"/>
      <c r="AB1155" s="124"/>
      <c r="AC1155" s="124"/>
      <c r="AD1155" s="124"/>
      <c r="AE1155" s="124"/>
      <c r="AF1155" s="125"/>
      <c r="AG1155" s="125"/>
      <c r="AH1155" s="125"/>
      <c r="AI1155" s="126"/>
      <c r="AJ1155" s="103">
        <f t="shared" si="2060"/>
        <v>0</v>
      </c>
      <c r="AK1155" s="104">
        <f t="shared" si="2061"/>
        <v>0</v>
      </c>
      <c r="AL1155" s="105"/>
    </row>
    <row r="1156" spans="1:38" ht="15.6" hidden="1" thickBot="1">
      <c r="A1156" s="91"/>
      <c r="B1156" s="100"/>
      <c r="C1156" s="92"/>
      <c r="D1156" s="101" t="s">
        <v>102</v>
      </c>
      <c r="E1156" s="106" t="e">
        <f t="shared" ref="E1156:R1156" si="2062">E1155/E1154</f>
        <v>#DIV/0!</v>
      </c>
      <c r="F1156" s="106" t="e">
        <f t="shared" si="2062"/>
        <v>#DIV/0!</v>
      </c>
      <c r="G1156" s="106" t="e">
        <f t="shared" si="2062"/>
        <v>#DIV/0!</v>
      </c>
      <c r="H1156" s="106" t="e">
        <f t="shared" si="2062"/>
        <v>#DIV/0!</v>
      </c>
      <c r="I1156" s="106" t="e">
        <f t="shared" si="2062"/>
        <v>#DIV/0!</v>
      </c>
      <c r="J1156" s="106" t="e">
        <f t="shared" si="2062"/>
        <v>#DIV/0!</v>
      </c>
      <c r="K1156" s="106" t="e">
        <f t="shared" si="2062"/>
        <v>#DIV/0!</v>
      </c>
      <c r="L1156" s="106" t="e">
        <f t="shared" si="2062"/>
        <v>#DIV/0!</v>
      </c>
      <c r="M1156" s="107" t="e">
        <f t="shared" si="2062"/>
        <v>#DIV/0!</v>
      </c>
      <c r="N1156" s="107" t="e">
        <f t="shared" si="2062"/>
        <v>#DIV/0!</v>
      </c>
      <c r="O1156" s="107" t="e">
        <f t="shared" si="2062"/>
        <v>#DIV/0!</v>
      </c>
      <c r="P1156" s="108" t="e">
        <f t="shared" si="2062"/>
        <v>#DIV/0!</v>
      </c>
      <c r="Q1156" s="109" t="e">
        <f t="shared" si="2062"/>
        <v>#DIV/0!</v>
      </c>
      <c r="R1156" s="110" t="e">
        <f t="shared" si="2062"/>
        <v>#DIV/0!</v>
      </c>
      <c r="S1156" s="105"/>
      <c r="T1156" s="91"/>
      <c r="U1156" s="100"/>
      <c r="V1156" s="92"/>
      <c r="W1156" s="101" t="s">
        <v>102</v>
      </c>
      <c r="X1156" s="106" t="e">
        <f t="shared" ref="X1156:AK1156" si="2063">X1155/X1154</f>
        <v>#DIV/0!</v>
      </c>
      <c r="Y1156" s="106" t="e">
        <f t="shared" si="2063"/>
        <v>#DIV/0!</v>
      </c>
      <c r="Z1156" s="106" t="e">
        <f t="shared" si="2063"/>
        <v>#DIV/0!</v>
      </c>
      <c r="AA1156" s="106" t="e">
        <f t="shared" si="2063"/>
        <v>#DIV/0!</v>
      </c>
      <c r="AB1156" s="106" t="e">
        <f t="shared" si="2063"/>
        <v>#DIV/0!</v>
      </c>
      <c r="AC1156" s="106" t="e">
        <f t="shared" si="2063"/>
        <v>#DIV/0!</v>
      </c>
      <c r="AD1156" s="106" t="e">
        <f t="shared" si="2063"/>
        <v>#DIV/0!</v>
      </c>
      <c r="AE1156" s="106" t="e">
        <f t="shared" si="2063"/>
        <v>#DIV/0!</v>
      </c>
      <c r="AF1156" s="107" t="e">
        <f t="shared" si="2063"/>
        <v>#DIV/0!</v>
      </c>
      <c r="AG1156" s="107" t="e">
        <f t="shared" si="2063"/>
        <v>#DIV/0!</v>
      </c>
      <c r="AH1156" s="107" t="e">
        <f t="shared" si="2063"/>
        <v>#DIV/0!</v>
      </c>
      <c r="AI1156" s="108" t="e">
        <f t="shared" si="2063"/>
        <v>#DIV/0!</v>
      </c>
      <c r="AJ1156" s="109" t="e">
        <f t="shared" si="2063"/>
        <v>#DIV/0!</v>
      </c>
      <c r="AK1156" s="110" t="e">
        <f t="shared" si="2063"/>
        <v>#DIV/0!</v>
      </c>
      <c r="AL1156" s="105"/>
    </row>
    <row r="1157" spans="1:38" ht="15.6" hidden="1" thickBot="1">
      <c r="A1157" s="91"/>
      <c r="B1157" s="100"/>
      <c r="C1157" s="111"/>
      <c r="D1157" s="112" t="s">
        <v>103</v>
      </c>
      <c r="E1157" s="113" t="e">
        <f t="shared" ref="E1157:R1157" si="2064">E1155/E1153</f>
        <v>#DIV/0!</v>
      </c>
      <c r="F1157" s="113" t="e">
        <f t="shared" si="2064"/>
        <v>#DIV/0!</v>
      </c>
      <c r="G1157" s="113" t="e">
        <f t="shared" si="2064"/>
        <v>#DIV/0!</v>
      </c>
      <c r="H1157" s="113" t="e">
        <f t="shared" si="2064"/>
        <v>#DIV/0!</v>
      </c>
      <c r="I1157" s="113" t="e">
        <f t="shared" si="2064"/>
        <v>#DIV/0!</v>
      </c>
      <c r="J1157" s="113" t="e">
        <f t="shared" si="2064"/>
        <v>#DIV/0!</v>
      </c>
      <c r="K1157" s="113" t="e">
        <f t="shared" si="2064"/>
        <v>#DIV/0!</v>
      </c>
      <c r="L1157" s="113" t="e">
        <f t="shared" si="2064"/>
        <v>#DIV/0!</v>
      </c>
      <c r="M1157" s="113" t="e">
        <f t="shared" si="2064"/>
        <v>#DIV/0!</v>
      </c>
      <c r="N1157" s="113" t="e">
        <f t="shared" si="2064"/>
        <v>#DIV/0!</v>
      </c>
      <c r="O1157" s="113" t="e">
        <f t="shared" si="2064"/>
        <v>#DIV/0!</v>
      </c>
      <c r="P1157" s="114" t="e">
        <f t="shared" si="2064"/>
        <v>#DIV/0!</v>
      </c>
      <c r="Q1157" s="115" t="e">
        <f t="shared" si="2064"/>
        <v>#DIV/0!</v>
      </c>
      <c r="R1157" s="116" t="e">
        <f t="shared" si="2064"/>
        <v>#DIV/0!</v>
      </c>
      <c r="T1157" s="91"/>
      <c r="U1157" s="100"/>
      <c r="V1157" s="111"/>
      <c r="W1157" s="112" t="s">
        <v>103</v>
      </c>
      <c r="X1157" s="113" t="e">
        <f t="shared" ref="X1157:AK1157" si="2065">X1155/X1153</f>
        <v>#DIV/0!</v>
      </c>
      <c r="Y1157" s="113" t="e">
        <f t="shared" si="2065"/>
        <v>#DIV/0!</v>
      </c>
      <c r="Z1157" s="113" t="e">
        <f t="shared" si="2065"/>
        <v>#DIV/0!</v>
      </c>
      <c r="AA1157" s="113" t="e">
        <f t="shared" si="2065"/>
        <v>#DIV/0!</v>
      </c>
      <c r="AB1157" s="113" t="e">
        <f t="shared" si="2065"/>
        <v>#DIV/0!</v>
      </c>
      <c r="AC1157" s="113" t="e">
        <f t="shared" si="2065"/>
        <v>#DIV/0!</v>
      </c>
      <c r="AD1157" s="113" t="e">
        <f t="shared" si="2065"/>
        <v>#DIV/0!</v>
      </c>
      <c r="AE1157" s="113" t="e">
        <f t="shared" si="2065"/>
        <v>#DIV/0!</v>
      </c>
      <c r="AF1157" s="113" t="e">
        <f t="shared" si="2065"/>
        <v>#DIV/0!</v>
      </c>
      <c r="AG1157" s="113" t="e">
        <f t="shared" si="2065"/>
        <v>#DIV/0!</v>
      </c>
      <c r="AH1157" s="113" t="e">
        <f t="shared" si="2065"/>
        <v>#DIV/0!</v>
      </c>
      <c r="AI1157" s="114" t="e">
        <f t="shared" si="2065"/>
        <v>#DIV/0!</v>
      </c>
      <c r="AJ1157" s="115" t="e">
        <f t="shared" si="2065"/>
        <v>#DIV/0!</v>
      </c>
      <c r="AK1157" s="116" t="e">
        <f t="shared" si="2065"/>
        <v>#DIV/0!</v>
      </c>
    </row>
    <row r="1158" spans="1:38" ht="15.6" hidden="1" thickBot="1">
      <c r="A1158" s="91"/>
      <c r="B1158" s="100"/>
      <c r="C1158" s="86"/>
      <c r="D1158" s="87">
        <v>2019</v>
      </c>
      <c r="E1158" s="88"/>
      <c r="F1158" s="121"/>
      <c r="G1158" s="121"/>
      <c r="H1158" s="121"/>
      <c r="I1158" s="121"/>
      <c r="J1158" s="121"/>
      <c r="K1158" s="121"/>
      <c r="L1158" s="121"/>
      <c r="M1158" s="122"/>
      <c r="N1158" s="122"/>
      <c r="O1158" s="122"/>
      <c r="P1158" s="123"/>
      <c r="Q1158" s="89">
        <f t="shared" ref="Q1158:Q1160" si="2066">SUM(E1158:P1158)</f>
        <v>0</v>
      </c>
      <c r="R1158" s="90">
        <f t="shared" ref="R1158" si="2067">SUM(E1158:M1158)</f>
        <v>0</v>
      </c>
      <c r="T1158" s="91"/>
      <c r="U1158" s="100"/>
      <c r="V1158" s="86">
        <f t="shared" ref="V1158:V1159" si="2068">C1158</f>
        <v>0</v>
      </c>
      <c r="W1158" s="87">
        <v>2019</v>
      </c>
      <c r="X1158" s="88"/>
      <c r="Y1158" s="121"/>
      <c r="Z1158" s="121"/>
      <c r="AA1158" s="121"/>
      <c r="AB1158" s="121"/>
      <c r="AC1158" s="121"/>
      <c r="AD1158" s="121"/>
      <c r="AE1158" s="121"/>
      <c r="AF1158" s="122"/>
      <c r="AG1158" s="122"/>
      <c r="AH1158" s="122"/>
      <c r="AI1158" s="123"/>
      <c r="AJ1158" s="89">
        <f t="shared" ref="AJ1158:AJ1160" si="2069">SUM(X1158:AI1158)</f>
        <v>0</v>
      </c>
      <c r="AK1158" s="90">
        <f t="shared" ref="AK1158:AK1160" si="2070">SUM(X1158:AF1158)</f>
        <v>0</v>
      </c>
    </row>
    <row r="1159" spans="1:38" ht="15.6" hidden="1" thickBot="1">
      <c r="A1159" s="91"/>
      <c r="B1159" s="100"/>
      <c r="C1159" s="92"/>
      <c r="D1159" s="93" t="s">
        <v>92</v>
      </c>
      <c r="E1159" s="94"/>
      <c r="F1159" s="97"/>
      <c r="G1159" s="97"/>
      <c r="H1159" s="97"/>
      <c r="I1159" s="97"/>
      <c r="J1159" s="97"/>
      <c r="K1159" s="97"/>
      <c r="L1159" s="97"/>
      <c r="M1159" s="98"/>
      <c r="N1159" s="98"/>
      <c r="O1159" s="98"/>
      <c r="P1159" s="99"/>
      <c r="Q1159" s="95">
        <f t="shared" si="2066"/>
        <v>0</v>
      </c>
      <c r="R1159" s="96">
        <f t="shared" si="1986"/>
        <v>0</v>
      </c>
      <c r="T1159" s="91"/>
      <c r="U1159" s="100"/>
      <c r="V1159" s="92">
        <f t="shared" si="2068"/>
        <v>0</v>
      </c>
      <c r="W1159" s="93" t="s">
        <v>92</v>
      </c>
      <c r="X1159" s="94"/>
      <c r="Y1159" s="97"/>
      <c r="Z1159" s="97"/>
      <c r="AA1159" s="97"/>
      <c r="AB1159" s="97"/>
      <c r="AC1159" s="97"/>
      <c r="AD1159" s="97"/>
      <c r="AE1159" s="97"/>
      <c r="AF1159" s="98"/>
      <c r="AG1159" s="98"/>
      <c r="AH1159" s="98"/>
      <c r="AI1159" s="99"/>
      <c r="AJ1159" s="95">
        <f t="shared" si="2069"/>
        <v>0</v>
      </c>
      <c r="AK1159" s="96">
        <f t="shared" si="2070"/>
        <v>0</v>
      </c>
    </row>
    <row r="1160" spans="1:38" ht="15.6" hidden="1" thickBot="1">
      <c r="A1160" s="91"/>
      <c r="B1160" s="100"/>
      <c r="C1160" s="92"/>
      <c r="D1160" s="101">
        <v>2020</v>
      </c>
      <c r="E1160" s="102"/>
      <c r="F1160" s="124"/>
      <c r="G1160" s="124"/>
      <c r="H1160" s="124"/>
      <c r="I1160" s="124"/>
      <c r="J1160" s="124"/>
      <c r="K1160" s="124"/>
      <c r="L1160" s="124"/>
      <c r="M1160" s="125"/>
      <c r="N1160" s="125"/>
      <c r="O1160" s="125"/>
      <c r="P1160" s="126"/>
      <c r="Q1160" s="103">
        <f t="shared" si="2066"/>
        <v>0</v>
      </c>
      <c r="R1160" s="104">
        <f t="shared" si="1986"/>
        <v>0</v>
      </c>
      <c r="S1160" s="105"/>
      <c r="T1160" s="91"/>
      <c r="U1160" s="100"/>
      <c r="V1160" s="92"/>
      <c r="W1160" s="101">
        <v>2020</v>
      </c>
      <c r="X1160" s="102"/>
      <c r="Y1160" s="124"/>
      <c r="Z1160" s="124"/>
      <c r="AA1160" s="124"/>
      <c r="AB1160" s="124"/>
      <c r="AC1160" s="124"/>
      <c r="AD1160" s="124"/>
      <c r="AE1160" s="124"/>
      <c r="AF1160" s="125"/>
      <c r="AG1160" s="125"/>
      <c r="AH1160" s="125"/>
      <c r="AI1160" s="126"/>
      <c r="AJ1160" s="103">
        <f t="shared" si="2069"/>
        <v>0</v>
      </c>
      <c r="AK1160" s="104">
        <f t="shared" si="2070"/>
        <v>0</v>
      </c>
      <c r="AL1160" s="105"/>
    </row>
    <row r="1161" spans="1:38" ht="15.6" hidden="1" thickBot="1">
      <c r="A1161" s="91"/>
      <c r="B1161" s="100"/>
      <c r="C1161" s="92"/>
      <c r="D1161" s="101" t="s">
        <v>102</v>
      </c>
      <c r="E1161" s="106" t="e">
        <f t="shared" ref="E1161:R1161" si="2071">E1160/E1159</f>
        <v>#DIV/0!</v>
      </c>
      <c r="F1161" s="106" t="e">
        <f t="shared" si="2071"/>
        <v>#DIV/0!</v>
      </c>
      <c r="G1161" s="106" t="e">
        <f t="shared" si="2071"/>
        <v>#DIV/0!</v>
      </c>
      <c r="H1161" s="106" t="e">
        <f t="shared" si="2071"/>
        <v>#DIV/0!</v>
      </c>
      <c r="I1161" s="106" t="e">
        <f t="shared" si="2071"/>
        <v>#DIV/0!</v>
      </c>
      <c r="J1161" s="106" t="e">
        <f t="shared" si="2071"/>
        <v>#DIV/0!</v>
      </c>
      <c r="K1161" s="106" t="e">
        <f t="shared" si="2071"/>
        <v>#DIV/0!</v>
      </c>
      <c r="L1161" s="106" t="e">
        <f t="shared" si="2071"/>
        <v>#DIV/0!</v>
      </c>
      <c r="M1161" s="107" t="e">
        <f t="shared" si="2071"/>
        <v>#DIV/0!</v>
      </c>
      <c r="N1161" s="107" t="e">
        <f t="shared" si="2071"/>
        <v>#DIV/0!</v>
      </c>
      <c r="O1161" s="107" t="e">
        <f t="shared" si="2071"/>
        <v>#DIV/0!</v>
      </c>
      <c r="P1161" s="108" t="e">
        <f t="shared" si="2071"/>
        <v>#DIV/0!</v>
      </c>
      <c r="Q1161" s="109" t="e">
        <f t="shared" si="2071"/>
        <v>#DIV/0!</v>
      </c>
      <c r="R1161" s="110" t="e">
        <f t="shared" si="2071"/>
        <v>#DIV/0!</v>
      </c>
      <c r="S1161" s="105"/>
      <c r="T1161" s="91"/>
      <c r="U1161" s="100"/>
      <c r="V1161" s="92"/>
      <c r="W1161" s="101" t="s">
        <v>102</v>
      </c>
      <c r="X1161" s="106" t="e">
        <f t="shared" ref="X1161:AK1161" si="2072">X1160/X1159</f>
        <v>#DIV/0!</v>
      </c>
      <c r="Y1161" s="106" t="e">
        <f t="shared" si="2072"/>
        <v>#DIV/0!</v>
      </c>
      <c r="Z1161" s="106" t="e">
        <f t="shared" si="2072"/>
        <v>#DIV/0!</v>
      </c>
      <c r="AA1161" s="106" t="e">
        <f t="shared" si="2072"/>
        <v>#DIV/0!</v>
      </c>
      <c r="AB1161" s="106" t="e">
        <f t="shared" si="2072"/>
        <v>#DIV/0!</v>
      </c>
      <c r="AC1161" s="106" t="e">
        <f t="shared" si="2072"/>
        <v>#DIV/0!</v>
      </c>
      <c r="AD1161" s="106" t="e">
        <f t="shared" si="2072"/>
        <v>#DIV/0!</v>
      </c>
      <c r="AE1161" s="106" t="e">
        <f t="shared" si="2072"/>
        <v>#DIV/0!</v>
      </c>
      <c r="AF1161" s="107" t="e">
        <f t="shared" si="2072"/>
        <v>#DIV/0!</v>
      </c>
      <c r="AG1161" s="107" t="e">
        <f t="shared" si="2072"/>
        <v>#DIV/0!</v>
      </c>
      <c r="AH1161" s="107" t="e">
        <f t="shared" si="2072"/>
        <v>#DIV/0!</v>
      </c>
      <c r="AI1161" s="108" t="e">
        <f t="shared" si="2072"/>
        <v>#DIV/0!</v>
      </c>
      <c r="AJ1161" s="109" t="e">
        <f t="shared" si="2072"/>
        <v>#DIV/0!</v>
      </c>
      <c r="AK1161" s="110" t="e">
        <f t="shared" si="2072"/>
        <v>#DIV/0!</v>
      </c>
      <c r="AL1161" s="105"/>
    </row>
    <row r="1162" spans="1:38" ht="15.6" hidden="1" thickBot="1">
      <c r="A1162" s="91"/>
      <c r="B1162" s="100"/>
      <c r="C1162" s="111"/>
      <c r="D1162" s="112" t="s">
        <v>103</v>
      </c>
      <c r="E1162" s="113" t="e">
        <f t="shared" ref="E1162:R1162" si="2073">E1160/E1158</f>
        <v>#DIV/0!</v>
      </c>
      <c r="F1162" s="113" t="e">
        <f t="shared" si="2073"/>
        <v>#DIV/0!</v>
      </c>
      <c r="G1162" s="113" t="e">
        <f t="shared" si="2073"/>
        <v>#DIV/0!</v>
      </c>
      <c r="H1162" s="113" t="e">
        <f t="shared" si="2073"/>
        <v>#DIV/0!</v>
      </c>
      <c r="I1162" s="113" t="e">
        <f t="shared" si="2073"/>
        <v>#DIV/0!</v>
      </c>
      <c r="J1162" s="113" t="e">
        <f t="shared" si="2073"/>
        <v>#DIV/0!</v>
      </c>
      <c r="K1162" s="113" t="e">
        <f t="shared" si="2073"/>
        <v>#DIV/0!</v>
      </c>
      <c r="L1162" s="113" t="e">
        <f t="shared" si="2073"/>
        <v>#DIV/0!</v>
      </c>
      <c r="M1162" s="113" t="e">
        <f t="shared" si="2073"/>
        <v>#DIV/0!</v>
      </c>
      <c r="N1162" s="113" t="e">
        <f t="shared" si="2073"/>
        <v>#DIV/0!</v>
      </c>
      <c r="O1162" s="113" t="e">
        <f t="shared" si="2073"/>
        <v>#DIV/0!</v>
      </c>
      <c r="P1162" s="114" t="e">
        <f t="shared" si="2073"/>
        <v>#DIV/0!</v>
      </c>
      <c r="Q1162" s="115" t="e">
        <f t="shared" si="2073"/>
        <v>#DIV/0!</v>
      </c>
      <c r="R1162" s="116" t="e">
        <f t="shared" si="2073"/>
        <v>#DIV/0!</v>
      </c>
      <c r="T1162" s="91"/>
      <c r="U1162" s="100"/>
      <c r="V1162" s="111"/>
      <c r="W1162" s="112" t="s">
        <v>103</v>
      </c>
      <c r="X1162" s="113" t="e">
        <f t="shared" ref="X1162:AK1162" si="2074">X1160/X1158</f>
        <v>#DIV/0!</v>
      </c>
      <c r="Y1162" s="113" t="e">
        <f t="shared" si="2074"/>
        <v>#DIV/0!</v>
      </c>
      <c r="Z1162" s="113" t="e">
        <f t="shared" si="2074"/>
        <v>#DIV/0!</v>
      </c>
      <c r="AA1162" s="113" t="e">
        <f t="shared" si="2074"/>
        <v>#DIV/0!</v>
      </c>
      <c r="AB1162" s="113" t="e">
        <f t="shared" si="2074"/>
        <v>#DIV/0!</v>
      </c>
      <c r="AC1162" s="113" t="e">
        <f t="shared" si="2074"/>
        <v>#DIV/0!</v>
      </c>
      <c r="AD1162" s="113" t="e">
        <f t="shared" si="2074"/>
        <v>#DIV/0!</v>
      </c>
      <c r="AE1162" s="113" t="e">
        <f t="shared" si="2074"/>
        <v>#DIV/0!</v>
      </c>
      <c r="AF1162" s="113" t="e">
        <f t="shared" si="2074"/>
        <v>#DIV/0!</v>
      </c>
      <c r="AG1162" s="113" t="e">
        <f t="shared" si="2074"/>
        <v>#DIV/0!</v>
      </c>
      <c r="AH1162" s="113" t="e">
        <f t="shared" si="2074"/>
        <v>#DIV/0!</v>
      </c>
      <c r="AI1162" s="114" t="e">
        <f t="shared" si="2074"/>
        <v>#DIV/0!</v>
      </c>
      <c r="AJ1162" s="115" t="e">
        <f t="shared" si="2074"/>
        <v>#DIV/0!</v>
      </c>
      <c r="AK1162" s="116" t="e">
        <f t="shared" si="2074"/>
        <v>#DIV/0!</v>
      </c>
    </row>
    <row r="1163" spans="1:38" ht="15.6" hidden="1" thickBot="1">
      <c r="A1163" s="91"/>
      <c r="B1163" s="100"/>
      <c r="C1163" s="86"/>
      <c r="D1163" s="87">
        <v>2019</v>
      </c>
      <c r="E1163" s="88"/>
      <c r="F1163" s="121"/>
      <c r="G1163" s="121"/>
      <c r="H1163" s="121"/>
      <c r="I1163" s="121"/>
      <c r="J1163" s="121"/>
      <c r="K1163" s="121"/>
      <c r="L1163" s="121"/>
      <c r="M1163" s="122"/>
      <c r="N1163" s="122"/>
      <c r="O1163" s="122"/>
      <c r="P1163" s="123"/>
      <c r="Q1163" s="89">
        <f t="shared" ref="Q1163:Q1165" si="2075">SUM(E1163:P1163)</f>
        <v>0</v>
      </c>
      <c r="R1163" s="90">
        <f t="shared" ref="R1163" si="2076">SUM(E1163:M1163)</f>
        <v>0</v>
      </c>
      <c r="T1163" s="91"/>
      <c r="U1163" s="100"/>
      <c r="V1163" s="86">
        <f t="shared" ref="V1163:V1164" si="2077">C1163</f>
        <v>0</v>
      </c>
      <c r="W1163" s="87">
        <v>2019</v>
      </c>
      <c r="X1163" s="88"/>
      <c r="Y1163" s="121"/>
      <c r="Z1163" s="121"/>
      <c r="AA1163" s="121"/>
      <c r="AB1163" s="121"/>
      <c r="AC1163" s="121"/>
      <c r="AD1163" s="121"/>
      <c r="AE1163" s="121"/>
      <c r="AF1163" s="122"/>
      <c r="AG1163" s="122"/>
      <c r="AH1163" s="122"/>
      <c r="AI1163" s="123"/>
      <c r="AJ1163" s="89">
        <f t="shared" ref="AJ1163:AJ1165" si="2078">SUM(X1163:AI1163)</f>
        <v>0</v>
      </c>
      <c r="AK1163" s="90">
        <f t="shared" ref="AK1163:AK1165" si="2079">SUM(X1163:AF1163)</f>
        <v>0</v>
      </c>
    </row>
    <row r="1164" spans="1:38" ht="15.6" hidden="1" thickBot="1">
      <c r="A1164" s="91"/>
      <c r="B1164" s="100"/>
      <c r="C1164" s="92"/>
      <c r="D1164" s="93" t="s">
        <v>92</v>
      </c>
      <c r="E1164" s="94"/>
      <c r="F1164" s="97"/>
      <c r="G1164" s="97"/>
      <c r="H1164" s="97"/>
      <c r="I1164" s="97"/>
      <c r="J1164" s="97"/>
      <c r="K1164" s="97"/>
      <c r="L1164" s="97"/>
      <c r="M1164" s="98"/>
      <c r="N1164" s="98"/>
      <c r="O1164" s="98"/>
      <c r="P1164" s="99"/>
      <c r="Q1164" s="95">
        <f t="shared" si="2075"/>
        <v>0</v>
      </c>
      <c r="R1164" s="96">
        <f t="shared" si="1986"/>
        <v>0</v>
      </c>
      <c r="T1164" s="91"/>
      <c r="U1164" s="100"/>
      <c r="V1164" s="92">
        <f t="shared" si="2077"/>
        <v>0</v>
      </c>
      <c r="W1164" s="93" t="s">
        <v>92</v>
      </c>
      <c r="X1164" s="94"/>
      <c r="Y1164" s="97"/>
      <c r="Z1164" s="97"/>
      <c r="AA1164" s="97"/>
      <c r="AB1164" s="97"/>
      <c r="AC1164" s="97"/>
      <c r="AD1164" s="97"/>
      <c r="AE1164" s="97"/>
      <c r="AF1164" s="98"/>
      <c r="AG1164" s="98"/>
      <c r="AH1164" s="98"/>
      <c r="AI1164" s="99"/>
      <c r="AJ1164" s="95">
        <f t="shared" si="2078"/>
        <v>0</v>
      </c>
      <c r="AK1164" s="96">
        <f t="shared" si="2079"/>
        <v>0</v>
      </c>
    </row>
    <row r="1165" spans="1:38" ht="15.6" hidden="1" thickBot="1">
      <c r="A1165" s="91"/>
      <c r="B1165" s="100"/>
      <c r="C1165" s="92"/>
      <c r="D1165" s="101">
        <v>2020</v>
      </c>
      <c r="E1165" s="102"/>
      <c r="F1165" s="124"/>
      <c r="G1165" s="124"/>
      <c r="H1165" s="124"/>
      <c r="I1165" s="124"/>
      <c r="J1165" s="124"/>
      <c r="K1165" s="124"/>
      <c r="L1165" s="124"/>
      <c r="M1165" s="125"/>
      <c r="N1165" s="125"/>
      <c r="O1165" s="125"/>
      <c r="P1165" s="126"/>
      <c r="Q1165" s="103">
        <f t="shared" si="2075"/>
        <v>0</v>
      </c>
      <c r="R1165" s="104">
        <f t="shared" si="1986"/>
        <v>0</v>
      </c>
      <c r="S1165" s="105"/>
      <c r="T1165" s="91"/>
      <c r="U1165" s="100"/>
      <c r="V1165" s="92"/>
      <c r="W1165" s="101">
        <v>2020</v>
      </c>
      <c r="X1165" s="102"/>
      <c r="Y1165" s="124"/>
      <c r="Z1165" s="124"/>
      <c r="AA1165" s="124"/>
      <c r="AB1165" s="124"/>
      <c r="AC1165" s="124"/>
      <c r="AD1165" s="124"/>
      <c r="AE1165" s="124"/>
      <c r="AF1165" s="125"/>
      <c r="AG1165" s="125"/>
      <c r="AH1165" s="125"/>
      <c r="AI1165" s="126"/>
      <c r="AJ1165" s="103">
        <f t="shared" si="2078"/>
        <v>0</v>
      </c>
      <c r="AK1165" s="104">
        <f t="shared" si="2079"/>
        <v>0</v>
      </c>
      <c r="AL1165" s="105"/>
    </row>
    <row r="1166" spans="1:38" ht="15.6" hidden="1" thickBot="1">
      <c r="A1166" s="91"/>
      <c r="B1166" s="100"/>
      <c r="C1166" s="92"/>
      <c r="D1166" s="101" t="s">
        <v>102</v>
      </c>
      <c r="E1166" s="106" t="e">
        <f t="shared" ref="E1166:R1166" si="2080">E1165/E1164</f>
        <v>#DIV/0!</v>
      </c>
      <c r="F1166" s="106" t="e">
        <f t="shared" si="2080"/>
        <v>#DIV/0!</v>
      </c>
      <c r="G1166" s="106" t="e">
        <f t="shared" si="2080"/>
        <v>#DIV/0!</v>
      </c>
      <c r="H1166" s="106" t="e">
        <f t="shared" si="2080"/>
        <v>#DIV/0!</v>
      </c>
      <c r="I1166" s="106" t="e">
        <f t="shared" si="2080"/>
        <v>#DIV/0!</v>
      </c>
      <c r="J1166" s="106" t="e">
        <f t="shared" si="2080"/>
        <v>#DIV/0!</v>
      </c>
      <c r="K1166" s="106" t="e">
        <f t="shared" si="2080"/>
        <v>#DIV/0!</v>
      </c>
      <c r="L1166" s="106" t="e">
        <f t="shared" si="2080"/>
        <v>#DIV/0!</v>
      </c>
      <c r="M1166" s="107" t="e">
        <f t="shared" si="2080"/>
        <v>#DIV/0!</v>
      </c>
      <c r="N1166" s="107" t="e">
        <f t="shared" si="2080"/>
        <v>#DIV/0!</v>
      </c>
      <c r="O1166" s="107" t="e">
        <f t="shared" si="2080"/>
        <v>#DIV/0!</v>
      </c>
      <c r="P1166" s="108" t="e">
        <f t="shared" si="2080"/>
        <v>#DIV/0!</v>
      </c>
      <c r="Q1166" s="109" t="e">
        <f t="shared" si="2080"/>
        <v>#DIV/0!</v>
      </c>
      <c r="R1166" s="110" t="e">
        <f t="shared" si="2080"/>
        <v>#DIV/0!</v>
      </c>
      <c r="S1166" s="105"/>
      <c r="T1166" s="91"/>
      <c r="U1166" s="100"/>
      <c r="V1166" s="92"/>
      <c r="W1166" s="101" t="s">
        <v>102</v>
      </c>
      <c r="X1166" s="106" t="e">
        <f t="shared" ref="X1166:AK1166" si="2081">X1165/X1164</f>
        <v>#DIV/0!</v>
      </c>
      <c r="Y1166" s="106" t="e">
        <f t="shared" si="2081"/>
        <v>#DIV/0!</v>
      </c>
      <c r="Z1166" s="106" t="e">
        <f t="shared" si="2081"/>
        <v>#DIV/0!</v>
      </c>
      <c r="AA1166" s="106" t="e">
        <f t="shared" si="2081"/>
        <v>#DIV/0!</v>
      </c>
      <c r="AB1166" s="106" t="e">
        <f t="shared" si="2081"/>
        <v>#DIV/0!</v>
      </c>
      <c r="AC1166" s="106" t="e">
        <f t="shared" si="2081"/>
        <v>#DIV/0!</v>
      </c>
      <c r="AD1166" s="106" t="e">
        <f t="shared" si="2081"/>
        <v>#DIV/0!</v>
      </c>
      <c r="AE1166" s="106" t="e">
        <f t="shared" si="2081"/>
        <v>#DIV/0!</v>
      </c>
      <c r="AF1166" s="107" t="e">
        <f t="shared" si="2081"/>
        <v>#DIV/0!</v>
      </c>
      <c r="AG1166" s="107" t="e">
        <f t="shared" si="2081"/>
        <v>#DIV/0!</v>
      </c>
      <c r="AH1166" s="107" t="e">
        <f t="shared" si="2081"/>
        <v>#DIV/0!</v>
      </c>
      <c r="AI1166" s="108" t="e">
        <f t="shared" si="2081"/>
        <v>#DIV/0!</v>
      </c>
      <c r="AJ1166" s="109" t="e">
        <f t="shared" si="2081"/>
        <v>#DIV/0!</v>
      </c>
      <c r="AK1166" s="110" t="e">
        <f t="shared" si="2081"/>
        <v>#DIV/0!</v>
      </c>
      <c r="AL1166" s="105"/>
    </row>
    <row r="1167" spans="1:38" ht="15.6" hidden="1" thickBot="1">
      <c r="A1167" s="91"/>
      <c r="B1167" s="100"/>
      <c r="C1167" s="111"/>
      <c r="D1167" s="112" t="s">
        <v>103</v>
      </c>
      <c r="E1167" s="113" t="e">
        <f t="shared" ref="E1167:R1167" si="2082">E1165/E1163</f>
        <v>#DIV/0!</v>
      </c>
      <c r="F1167" s="113" t="e">
        <f t="shared" si="2082"/>
        <v>#DIV/0!</v>
      </c>
      <c r="G1167" s="113" t="e">
        <f t="shared" si="2082"/>
        <v>#DIV/0!</v>
      </c>
      <c r="H1167" s="113" t="e">
        <f t="shared" si="2082"/>
        <v>#DIV/0!</v>
      </c>
      <c r="I1167" s="113" t="e">
        <f t="shared" si="2082"/>
        <v>#DIV/0!</v>
      </c>
      <c r="J1167" s="113" t="e">
        <f t="shared" si="2082"/>
        <v>#DIV/0!</v>
      </c>
      <c r="K1167" s="113" t="e">
        <f t="shared" si="2082"/>
        <v>#DIV/0!</v>
      </c>
      <c r="L1167" s="113" t="e">
        <f t="shared" si="2082"/>
        <v>#DIV/0!</v>
      </c>
      <c r="M1167" s="113" t="e">
        <f t="shared" si="2082"/>
        <v>#DIV/0!</v>
      </c>
      <c r="N1167" s="113" t="e">
        <f t="shared" si="2082"/>
        <v>#DIV/0!</v>
      </c>
      <c r="O1167" s="113" t="e">
        <f t="shared" si="2082"/>
        <v>#DIV/0!</v>
      </c>
      <c r="P1167" s="114" t="e">
        <f t="shared" si="2082"/>
        <v>#DIV/0!</v>
      </c>
      <c r="Q1167" s="115" t="e">
        <f t="shared" si="2082"/>
        <v>#DIV/0!</v>
      </c>
      <c r="R1167" s="116" t="e">
        <f t="shared" si="2082"/>
        <v>#DIV/0!</v>
      </c>
      <c r="T1167" s="91"/>
      <c r="U1167" s="100"/>
      <c r="V1167" s="111"/>
      <c r="W1167" s="112" t="s">
        <v>103</v>
      </c>
      <c r="X1167" s="113" t="e">
        <f t="shared" ref="X1167:AK1167" si="2083">X1165/X1163</f>
        <v>#DIV/0!</v>
      </c>
      <c r="Y1167" s="113" t="e">
        <f t="shared" si="2083"/>
        <v>#DIV/0!</v>
      </c>
      <c r="Z1167" s="113" t="e">
        <f t="shared" si="2083"/>
        <v>#DIV/0!</v>
      </c>
      <c r="AA1167" s="113" t="e">
        <f t="shared" si="2083"/>
        <v>#DIV/0!</v>
      </c>
      <c r="AB1167" s="113" t="e">
        <f t="shared" si="2083"/>
        <v>#DIV/0!</v>
      </c>
      <c r="AC1167" s="113" t="e">
        <f t="shared" si="2083"/>
        <v>#DIV/0!</v>
      </c>
      <c r="AD1167" s="113" t="e">
        <f t="shared" si="2083"/>
        <v>#DIV/0!</v>
      </c>
      <c r="AE1167" s="113" t="e">
        <f t="shared" si="2083"/>
        <v>#DIV/0!</v>
      </c>
      <c r="AF1167" s="113" t="e">
        <f t="shared" si="2083"/>
        <v>#DIV/0!</v>
      </c>
      <c r="AG1167" s="113" t="e">
        <f t="shared" si="2083"/>
        <v>#DIV/0!</v>
      </c>
      <c r="AH1167" s="113" t="e">
        <f t="shared" si="2083"/>
        <v>#DIV/0!</v>
      </c>
      <c r="AI1167" s="114" t="e">
        <f t="shared" si="2083"/>
        <v>#DIV/0!</v>
      </c>
      <c r="AJ1167" s="115" t="e">
        <f t="shared" si="2083"/>
        <v>#DIV/0!</v>
      </c>
      <c r="AK1167" s="116" t="e">
        <f t="shared" si="2083"/>
        <v>#DIV/0!</v>
      </c>
    </row>
    <row r="1168" spans="1:38" ht="15.6" hidden="1" thickBot="1">
      <c r="A1168" s="91"/>
      <c r="B1168" s="100"/>
      <c r="C1168" s="86"/>
      <c r="D1168" s="87">
        <v>2019</v>
      </c>
      <c r="E1168" s="88"/>
      <c r="F1168" s="121"/>
      <c r="G1168" s="121"/>
      <c r="H1168" s="121"/>
      <c r="I1168" s="121"/>
      <c r="J1168" s="121"/>
      <c r="K1168" s="121"/>
      <c r="L1168" s="121"/>
      <c r="M1168" s="122"/>
      <c r="N1168" s="122"/>
      <c r="O1168" s="122"/>
      <c r="P1168" s="123"/>
      <c r="Q1168" s="89">
        <f t="shared" ref="Q1168:Q1170" si="2084">SUM(E1168:P1168)</f>
        <v>0</v>
      </c>
      <c r="R1168" s="90">
        <f t="shared" ref="R1168" si="2085">SUM(E1168:M1168)</f>
        <v>0</v>
      </c>
      <c r="T1168" s="91"/>
      <c r="U1168" s="100"/>
      <c r="V1168" s="86">
        <f t="shared" ref="V1168:V1169" si="2086">C1168</f>
        <v>0</v>
      </c>
      <c r="W1168" s="87">
        <v>2019</v>
      </c>
      <c r="X1168" s="88"/>
      <c r="Y1168" s="121"/>
      <c r="Z1168" s="121"/>
      <c r="AA1168" s="121"/>
      <c r="AB1168" s="121"/>
      <c r="AC1168" s="121"/>
      <c r="AD1168" s="121"/>
      <c r="AE1168" s="121"/>
      <c r="AF1168" s="122"/>
      <c r="AG1168" s="122"/>
      <c r="AH1168" s="122"/>
      <c r="AI1168" s="123"/>
      <c r="AJ1168" s="89">
        <f t="shared" ref="AJ1168:AJ1170" si="2087">SUM(X1168:AI1168)</f>
        <v>0</v>
      </c>
      <c r="AK1168" s="90">
        <f t="shared" ref="AK1168:AK1170" si="2088">SUM(X1168:AF1168)</f>
        <v>0</v>
      </c>
    </row>
    <row r="1169" spans="1:38" ht="15.6" hidden="1" thickBot="1">
      <c r="A1169" s="91"/>
      <c r="B1169" s="100"/>
      <c r="C1169" s="92"/>
      <c r="D1169" s="93" t="s">
        <v>92</v>
      </c>
      <c r="E1169" s="94"/>
      <c r="F1169" s="97"/>
      <c r="G1169" s="97"/>
      <c r="H1169" s="97"/>
      <c r="I1169" s="97"/>
      <c r="J1169" s="97"/>
      <c r="K1169" s="97"/>
      <c r="L1169" s="97"/>
      <c r="M1169" s="98"/>
      <c r="N1169" s="98"/>
      <c r="O1169" s="98"/>
      <c r="P1169" s="99"/>
      <c r="Q1169" s="95">
        <f t="shared" si="2084"/>
        <v>0</v>
      </c>
      <c r="R1169" s="96">
        <f t="shared" si="1986"/>
        <v>0</v>
      </c>
      <c r="T1169" s="91"/>
      <c r="U1169" s="100"/>
      <c r="V1169" s="92">
        <f t="shared" si="2086"/>
        <v>0</v>
      </c>
      <c r="W1169" s="93" t="s">
        <v>92</v>
      </c>
      <c r="X1169" s="94"/>
      <c r="Y1169" s="97"/>
      <c r="Z1169" s="97"/>
      <c r="AA1169" s="97"/>
      <c r="AB1169" s="97"/>
      <c r="AC1169" s="97"/>
      <c r="AD1169" s="97"/>
      <c r="AE1169" s="97"/>
      <c r="AF1169" s="98"/>
      <c r="AG1169" s="98"/>
      <c r="AH1169" s="98"/>
      <c r="AI1169" s="99"/>
      <c r="AJ1169" s="95">
        <f t="shared" si="2087"/>
        <v>0</v>
      </c>
      <c r="AK1169" s="96">
        <f t="shared" si="2088"/>
        <v>0</v>
      </c>
    </row>
    <row r="1170" spans="1:38" ht="15.6" hidden="1" thickBot="1">
      <c r="A1170" s="91"/>
      <c r="B1170" s="100"/>
      <c r="C1170" s="92"/>
      <c r="D1170" s="101">
        <v>2020</v>
      </c>
      <c r="E1170" s="102"/>
      <c r="F1170" s="124"/>
      <c r="G1170" s="124"/>
      <c r="H1170" s="124"/>
      <c r="I1170" s="124"/>
      <c r="J1170" s="124"/>
      <c r="K1170" s="124"/>
      <c r="L1170" s="124"/>
      <c r="M1170" s="125"/>
      <c r="N1170" s="125"/>
      <c r="O1170" s="125"/>
      <c r="P1170" s="126"/>
      <c r="Q1170" s="103">
        <f t="shared" si="2084"/>
        <v>0</v>
      </c>
      <c r="R1170" s="104">
        <f t="shared" si="1986"/>
        <v>0</v>
      </c>
      <c r="S1170" s="105"/>
      <c r="T1170" s="91"/>
      <c r="U1170" s="100"/>
      <c r="V1170" s="92"/>
      <c r="W1170" s="101">
        <v>2020</v>
      </c>
      <c r="X1170" s="102"/>
      <c r="Y1170" s="124"/>
      <c r="Z1170" s="124"/>
      <c r="AA1170" s="124"/>
      <c r="AB1170" s="124"/>
      <c r="AC1170" s="124"/>
      <c r="AD1170" s="124"/>
      <c r="AE1170" s="124"/>
      <c r="AF1170" s="125"/>
      <c r="AG1170" s="125"/>
      <c r="AH1170" s="125"/>
      <c r="AI1170" s="126"/>
      <c r="AJ1170" s="103">
        <f t="shared" si="2087"/>
        <v>0</v>
      </c>
      <c r="AK1170" s="104">
        <f t="shared" si="2088"/>
        <v>0</v>
      </c>
      <c r="AL1170" s="105"/>
    </row>
    <row r="1171" spans="1:38" ht="15.6" hidden="1" thickBot="1">
      <c r="A1171" s="91"/>
      <c r="B1171" s="100"/>
      <c r="C1171" s="92"/>
      <c r="D1171" s="101" t="s">
        <v>102</v>
      </c>
      <c r="E1171" s="106" t="e">
        <f t="shared" ref="E1171:R1171" si="2089">E1170/E1169</f>
        <v>#DIV/0!</v>
      </c>
      <c r="F1171" s="106" t="e">
        <f t="shared" si="2089"/>
        <v>#DIV/0!</v>
      </c>
      <c r="G1171" s="106" t="e">
        <f t="shared" si="2089"/>
        <v>#DIV/0!</v>
      </c>
      <c r="H1171" s="106" t="e">
        <f t="shared" si="2089"/>
        <v>#DIV/0!</v>
      </c>
      <c r="I1171" s="106" t="e">
        <f t="shared" si="2089"/>
        <v>#DIV/0!</v>
      </c>
      <c r="J1171" s="106" t="e">
        <f t="shared" si="2089"/>
        <v>#DIV/0!</v>
      </c>
      <c r="K1171" s="106" t="e">
        <f t="shared" si="2089"/>
        <v>#DIV/0!</v>
      </c>
      <c r="L1171" s="106" t="e">
        <f t="shared" si="2089"/>
        <v>#DIV/0!</v>
      </c>
      <c r="M1171" s="107" t="e">
        <f t="shared" si="2089"/>
        <v>#DIV/0!</v>
      </c>
      <c r="N1171" s="107" t="e">
        <f t="shared" si="2089"/>
        <v>#DIV/0!</v>
      </c>
      <c r="O1171" s="107" t="e">
        <f t="shared" si="2089"/>
        <v>#DIV/0!</v>
      </c>
      <c r="P1171" s="108" t="e">
        <f t="shared" si="2089"/>
        <v>#DIV/0!</v>
      </c>
      <c r="Q1171" s="109" t="e">
        <f t="shared" si="2089"/>
        <v>#DIV/0!</v>
      </c>
      <c r="R1171" s="110" t="e">
        <f t="shared" si="2089"/>
        <v>#DIV/0!</v>
      </c>
      <c r="S1171" s="105"/>
      <c r="T1171" s="91"/>
      <c r="U1171" s="100"/>
      <c r="V1171" s="92"/>
      <c r="W1171" s="101" t="s">
        <v>102</v>
      </c>
      <c r="X1171" s="106" t="e">
        <f t="shared" ref="X1171:AK1171" si="2090">X1170/X1169</f>
        <v>#DIV/0!</v>
      </c>
      <c r="Y1171" s="106" t="e">
        <f t="shared" si="2090"/>
        <v>#DIV/0!</v>
      </c>
      <c r="Z1171" s="106" t="e">
        <f t="shared" si="2090"/>
        <v>#DIV/0!</v>
      </c>
      <c r="AA1171" s="106" t="e">
        <f t="shared" si="2090"/>
        <v>#DIV/0!</v>
      </c>
      <c r="AB1171" s="106" t="e">
        <f t="shared" si="2090"/>
        <v>#DIV/0!</v>
      </c>
      <c r="AC1171" s="106" t="e">
        <f t="shared" si="2090"/>
        <v>#DIV/0!</v>
      </c>
      <c r="AD1171" s="106" t="e">
        <f t="shared" si="2090"/>
        <v>#DIV/0!</v>
      </c>
      <c r="AE1171" s="106" t="e">
        <f t="shared" si="2090"/>
        <v>#DIV/0!</v>
      </c>
      <c r="AF1171" s="107" t="e">
        <f t="shared" si="2090"/>
        <v>#DIV/0!</v>
      </c>
      <c r="AG1171" s="107" t="e">
        <f t="shared" si="2090"/>
        <v>#DIV/0!</v>
      </c>
      <c r="AH1171" s="107" t="e">
        <f t="shared" si="2090"/>
        <v>#DIV/0!</v>
      </c>
      <c r="AI1171" s="108" t="e">
        <f t="shared" si="2090"/>
        <v>#DIV/0!</v>
      </c>
      <c r="AJ1171" s="109" t="e">
        <f t="shared" si="2090"/>
        <v>#DIV/0!</v>
      </c>
      <c r="AK1171" s="110" t="e">
        <f t="shared" si="2090"/>
        <v>#DIV/0!</v>
      </c>
      <c r="AL1171" s="105"/>
    </row>
    <row r="1172" spans="1:38" ht="15.6" hidden="1" thickBot="1">
      <c r="A1172" s="91"/>
      <c r="B1172" s="100"/>
      <c r="C1172" s="111"/>
      <c r="D1172" s="112" t="s">
        <v>103</v>
      </c>
      <c r="E1172" s="113" t="e">
        <f t="shared" ref="E1172:R1172" si="2091">E1170/E1168</f>
        <v>#DIV/0!</v>
      </c>
      <c r="F1172" s="113" t="e">
        <f t="shared" si="2091"/>
        <v>#DIV/0!</v>
      </c>
      <c r="G1172" s="113" t="e">
        <f t="shared" si="2091"/>
        <v>#DIV/0!</v>
      </c>
      <c r="H1172" s="113" t="e">
        <f t="shared" si="2091"/>
        <v>#DIV/0!</v>
      </c>
      <c r="I1172" s="113" t="e">
        <f t="shared" si="2091"/>
        <v>#DIV/0!</v>
      </c>
      <c r="J1172" s="113" t="e">
        <f t="shared" si="2091"/>
        <v>#DIV/0!</v>
      </c>
      <c r="K1172" s="113" t="e">
        <f t="shared" si="2091"/>
        <v>#DIV/0!</v>
      </c>
      <c r="L1172" s="113" t="e">
        <f t="shared" si="2091"/>
        <v>#DIV/0!</v>
      </c>
      <c r="M1172" s="113" t="e">
        <f t="shared" si="2091"/>
        <v>#DIV/0!</v>
      </c>
      <c r="N1172" s="113" t="e">
        <f t="shared" si="2091"/>
        <v>#DIV/0!</v>
      </c>
      <c r="O1172" s="113" t="e">
        <f t="shared" si="2091"/>
        <v>#DIV/0!</v>
      </c>
      <c r="P1172" s="114" t="e">
        <f t="shared" si="2091"/>
        <v>#DIV/0!</v>
      </c>
      <c r="Q1172" s="115" t="e">
        <f t="shared" si="2091"/>
        <v>#DIV/0!</v>
      </c>
      <c r="R1172" s="116" t="e">
        <f t="shared" si="2091"/>
        <v>#DIV/0!</v>
      </c>
      <c r="T1172" s="91"/>
      <c r="U1172" s="100"/>
      <c r="V1172" s="111"/>
      <c r="W1172" s="112" t="s">
        <v>103</v>
      </c>
      <c r="X1172" s="113" t="e">
        <f t="shared" ref="X1172:AK1172" si="2092">X1170/X1168</f>
        <v>#DIV/0!</v>
      </c>
      <c r="Y1172" s="113" t="e">
        <f t="shared" si="2092"/>
        <v>#DIV/0!</v>
      </c>
      <c r="Z1172" s="113" t="e">
        <f t="shared" si="2092"/>
        <v>#DIV/0!</v>
      </c>
      <c r="AA1172" s="113" t="e">
        <f t="shared" si="2092"/>
        <v>#DIV/0!</v>
      </c>
      <c r="AB1172" s="113" t="e">
        <f t="shared" si="2092"/>
        <v>#DIV/0!</v>
      </c>
      <c r="AC1172" s="113" t="e">
        <f t="shared" si="2092"/>
        <v>#DIV/0!</v>
      </c>
      <c r="AD1172" s="113" t="e">
        <f t="shared" si="2092"/>
        <v>#DIV/0!</v>
      </c>
      <c r="AE1172" s="113" t="e">
        <f t="shared" si="2092"/>
        <v>#DIV/0!</v>
      </c>
      <c r="AF1172" s="113" t="e">
        <f t="shared" si="2092"/>
        <v>#DIV/0!</v>
      </c>
      <c r="AG1172" s="113" t="e">
        <f t="shared" si="2092"/>
        <v>#DIV/0!</v>
      </c>
      <c r="AH1172" s="113" t="e">
        <f t="shared" si="2092"/>
        <v>#DIV/0!</v>
      </c>
      <c r="AI1172" s="114" t="e">
        <f t="shared" si="2092"/>
        <v>#DIV/0!</v>
      </c>
      <c r="AJ1172" s="115" t="e">
        <f t="shared" si="2092"/>
        <v>#DIV/0!</v>
      </c>
      <c r="AK1172" s="116" t="e">
        <f t="shared" si="2092"/>
        <v>#DIV/0!</v>
      </c>
    </row>
    <row r="1173" spans="1:38" ht="15.6" hidden="1" thickBot="1">
      <c r="A1173" s="91"/>
      <c r="B1173" s="100"/>
      <c r="C1173" s="86"/>
      <c r="D1173" s="87">
        <v>2019</v>
      </c>
      <c r="E1173" s="88"/>
      <c r="F1173" s="121"/>
      <c r="G1173" s="121"/>
      <c r="H1173" s="121"/>
      <c r="I1173" s="121"/>
      <c r="J1173" s="121"/>
      <c r="K1173" s="121"/>
      <c r="L1173" s="121"/>
      <c r="M1173" s="122"/>
      <c r="N1173" s="122"/>
      <c r="O1173" s="122"/>
      <c r="P1173" s="123"/>
      <c r="Q1173" s="89">
        <f t="shared" ref="Q1173:Q1175" si="2093">SUM(E1173:P1173)</f>
        <v>0</v>
      </c>
      <c r="R1173" s="90">
        <f t="shared" ref="R1173" si="2094">SUM(E1173:M1173)</f>
        <v>0</v>
      </c>
      <c r="T1173" s="91"/>
      <c r="U1173" s="100"/>
      <c r="V1173" s="86">
        <f t="shared" ref="V1173:V1174" si="2095">C1173</f>
        <v>0</v>
      </c>
      <c r="W1173" s="87">
        <v>2019</v>
      </c>
      <c r="X1173" s="88"/>
      <c r="Y1173" s="121"/>
      <c r="Z1173" s="121"/>
      <c r="AA1173" s="121"/>
      <c r="AB1173" s="121"/>
      <c r="AC1173" s="121"/>
      <c r="AD1173" s="121"/>
      <c r="AE1173" s="121"/>
      <c r="AF1173" s="122"/>
      <c r="AG1173" s="122"/>
      <c r="AH1173" s="122"/>
      <c r="AI1173" s="123"/>
      <c r="AJ1173" s="89">
        <f t="shared" ref="AJ1173:AJ1175" si="2096">SUM(X1173:AI1173)</f>
        <v>0</v>
      </c>
      <c r="AK1173" s="90">
        <f t="shared" ref="AK1173:AK1175" si="2097">SUM(X1173:AF1173)</f>
        <v>0</v>
      </c>
    </row>
    <row r="1174" spans="1:38" ht="15.6" hidden="1" thickBot="1">
      <c r="A1174" s="91"/>
      <c r="B1174" s="100"/>
      <c r="C1174" s="92"/>
      <c r="D1174" s="93" t="s">
        <v>92</v>
      </c>
      <c r="E1174" s="94"/>
      <c r="F1174" s="97"/>
      <c r="G1174" s="97"/>
      <c r="H1174" s="97"/>
      <c r="I1174" s="97"/>
      <c r="J1174" s="97"/>
      <c r="K1174" s="97"/>
      <c r="L1174" s="97"/>
      <c r="M1174" s="98"/>
      <c r="N1174" s="98"/>
      <c r="O1174" s="98"/>
      <c r="P1174" s="99"/>
      <c r="Q1174" s="95">
        <f t="shared" si="2093"/>
        <v>0</v>
      </c>
      <c r="R1174" s="96">
        <f t="shared" si="1986"/>
        <v>0</v>
      </c>
      <c r="T1174" s="91"/>
      <c r="U1174" s="100"/>
      <c r="V1174" s="92">
        <f t="shared" si="2095"/>
        <v>0</v>
      </c>
      <c r="W1174" s="93" t="s">
        <v>92</v>
      </c>
      <c r="X1174" s="94"/>
      <c r="Y1174" s="97"/>
      <c r="Z1174" s="97"/>
      <c r="AA1174" s="97"/>
      <c r="AB1174" s="97"/>
      <c r="AC1174" s="97"/>
      <c r="AD1174" s="97"/>
      <c r="AE1174" s="97"/>
      <c r="AF1174" s="98"/>
      <c r="AG1174" s="98"/>
      <c r="AH1174" s="98"/>
      <c r="AI1174" s="99"/>
      <c r="AJ1174" s="95">
        <f t="shared" si="2096"/>
        <v>0</v>
      </c>
      <c r="AK1174" s="96">
        <f t="shared" si="2097"/>
        <v>0</v>
      </c>
    </row>
    <row r="1175" spans="1:38" ht="15.6" hidden="1" thickBot="1">
      <c r="A1175" s="91"/>
      <c r="B1175" s="100"/>
      <c r="C1175" s="92"/>
      <c r="D1175" s="101">
        <v>2020</v>
      </c>
      <c r="E1175" s="102"/>
      <c r="F1175" s="124"/>
      <c r="G1175" s="124"/>
      <c r="H1175" s="124"/>
      <c r="I1175" s="124"/>
      <c r="J1175" s="124"/>
      <c r="K1175" s="124"/>
      <c r="L1175" s="124"/>
      <c r="M1175" s="125"/>
      <c r="N1175" s="125"/>
      <c r="O1175" s="125"/>
      <c r="P1175" s="126"/>
      <c r="Q1175" s="103">
        <f t="shared" si="2093"/>
        <v>0</v>
      </c>
      <c r="R1175" s="104">
        <f t="shared" si="1986"/>
        <v>0</v>
      </c>
      <c r="S1175" s="105"/>
      <c r="T1175" s="91"/>
      <c r="U1175" s="100"/>
      <c r="V1175" s="92"/>
      <c r="W1175" s="101">
        <v>2020</v>
      </c>
      <c r="X1175" s="102"/>
      <c r="Y1175" s="124"/>
      <c r="Z1175" s="124"/>
      <c r="AA1175" s="124"/>
      <c r="AB1175" s="124"/>
      <c r="AC1175" s="124"/>
      <c r="AD1175" s="124"/>
      <c r="AE1175" s="124"/>
      <c r="AF1175" s="125"/>
      <c r="AG1175" s="125"/>
      <c r="AH1175" s="125"/>
      <c r="AI1175" s="126"/>
      <c r="AJ1175" s="103">
        <f t="shared" si="2096"/>
        <v>0</v>
      </c>
      <c r="AK1175" s="104">
        <f t="shared" si="2097"/>
        <v>0</v>
      </c>
      <c r="AL1175" s="105"/>
    </row>
    <row r="1176" spans="1:38" ht="15.6" hidden="1" thickBot="1">
      <c r="A1176" s="91"/>
      <c r="B1176" s="100"/>
      <c r="C1176" s="92"/>
      <c r="D1176" s="101" t="s">
        <v>102</v>
      </c>
      <c r="E1176" s="106" t="e">
        <f t="shared" ref="E1176:R1176" si="2098">E1175/E1174</f>
        <v>#DIV/0!</v>
      </c>
      <c r="F1176" s="106" t="e">
        <f t="shared" si="2098"/>
        <v>#DIV/0!</v>
      </c>
      <c r="G1176" s="106" t="e">
        <f t="shared" si="2098"/>
        <v>#DIV/0!</v>
      </c>
      <c r="H1176" s="106" t="e">
        <f t="shared" si="2098"/>
        <v>#DIV/0!</v>
      </c>
      <c r="I1176" s="106" t="e">
        <f t="shared" si="2098"/>
        <v>#DIV/0!</v>
      </c>
      <c r="J1176" s="106" t="e">
        <f t="shared" si="2098"/>
        <v>#DIV/0!</v>
      </c>
      <c r="K1176" s="106" t="e">
        <f t="shared" si="2098"/>
        <v>#DIV/0!</v>
      </c>
      <c r="L1176" s="106" t="e">
        <f t="shared" si="2098"/>
        <v>#DIV/0!</v>
      </c>
      <c r="M1176" s="107" t="e">
        <f t="shared" si="2098"/>
        <v>#DIV/0!</v>
      </c>
      <c r="N1176" s="107" t="e">
        <f t="shared" si="2098"/>
        <v>#DIV/0!</v>
      </c>
      <c r="O1176" s="107" t="e">
        <f t="shared" si="2098"/>
        <v>#DIV/0!</v>
      </c>
      <c r="P1176" s="108" t="e">
        <f t="shared" si="2098"/>
        <v>#DIV/0!</v>
      </c>
      <c r="Q1176" s="109" t="e">
        <f t="shared" si="2098"/>
        <v>#DIV/0!</v>
      </c>
      <c r="R1176" s="110" t="e">
        <f t="shared" si="2098"/>
        <v>#DIV/0!</v>
      </c>
      <c r="S1176" s="105"/>
      <c r="T1176" s="91"/>
      <c r="U1176" s="100"/>
      <c r="V1176" s="92"/>
      <c r="W1176" s="101" t="s">
        <v>102</v>
      </c>
      <c r="X1176" s="106" t="e">
        <f t="shared" ref="X1176:AK1176" si="2099">X1175/X1174</f>
        <v>#DIV/0!</v>
      </c>
      <c r="Y1176" s="106" t="e">
        <f t="shared" si="2099"/>
        <v>#DIV/0!</v>
      </c>
      <c r="Z1176" s="106" t="e">
        <f t="shared" si="2099"/>
        <v>#DIV/0!</v>
      </c>
      <c r="AA1176" s="106" t="e">
        <f t="shared" si="2099"/>
        <v>#DIV/0!</v>
      </c>
      <c r="AB1176" s="106" t="e">
        <f t="shared" si="2099"/>
        <v>#DIV/0!</v>
      </c>
      <c r="AC1176" s="106" t="e">
        <f t="shared" si="2099"/>
        <v>#DIV/0!</v>
      </c>
      <c r="AD1176" s="106" t="e">
        <f t="shared" si="2099"/>
        <v>#DIV/0!</v>
      </c>
      <c r="AE1176" s="106" t="e">
        <f t="shared" si="2099"/>
        <v>#DIV/0!</v>
      </c>
      <c r="AF1176" s="107" t="e">
        <f t="shared" si="2099"/>
        <v>#DIV/0!</v>
      </c>
      <c r="AG1176" s="107" t="e">
        <f t="shared" si="2099"/>
        <v>#DIV/0!</v>
      </c>
      <c r="AH1176" s="107" t="e">
        <f t="shared" si="2099"/>
        <v>#DIV/0!</v>
      </c>
      <c r="AI1176" s="108" t="e">
        <f t="shared" si="2099"/>
        <v>#DIV/0!</v>
      </c>
      <c r="AJ1176" s="109" t="e">
        <f t="shared" si="2099"/>
        <v>#DIV/0!</v>
      </c>
      <c r="AK1176" s="110" t="e">
        <f t="shared" si="2099"/>
        <v>#DIV/0!</v>
      </c>
      <c r="AL1176" s="105"/>
    </row>
    <row r="1177" spans="1:38" ht="15.6" hidden="1" thickBot="1">
      <c r="A1177" s="91"/>
      <c r="B1177" s="100"/>
      <c r="C1177" s="111"/>
      <c r="D1177" s="112" t="s">
        <v>103</v>
      </c>
      <c r="E1177" s="113" t="e">
        <f t="shared" ref="E1177:R1177" si="2100">E1175/E1173</f>
        <v>#DIV/0!</v>
      </c>
      <c r="F1177" s="113" t="e">
        <f t="shared" si="2100"/>
        <v>#DIV/0!</v>
      </c>
      <c r="G1177" s="113" t="e">
        <f t="shared" si="2100"/>
        <v>#DIV/0!</v>
      </c>
      <c r="H1177" s="113" t="e">
        <f t="shared" si="2100"/>
        <v>#DIV/0!</v>
      </c>
      <c r="I1177" s="113" t="e">
        <f t="shared" si="2100"/>
        <v>#DIV/0!</v>
      </c>
      <c r="J1177" s="113" t="e">
        <f t="shared" si="2100"/>
        <v>#DIV/0!</v>
      </c>
      <c r="K1177" s="113" t="e">
        <f t="shared" si="2100"/>
        <v>#DIV/0!</v>
      </c>
      <c r="L1177" s="113" t="e">
        <f t="shared" si="2100"/>
        <v>#DIV/0!</v>
      </c>
      <c r="M1177" s="113" t="e">
        <f t="shared" si="2100"/>
        <v>#DIV/0!</v>
      </c>
      <c r="N1177" s="113" t="e">
        <f t="shared" si="2100"/>
        <v>#DIV/0!</v>
      </c>
      <c r="O1177" s="113" t="e">
        <f t="shared" si="2100"/>
        <v>#DIV/0!</v>
      </c>
      <c r="P1177" s="114" t="e">
        <f t="shared" si="2100"/>
        <v>#DIV/0!</v>
      </c>
      <c r="Q1177" s="115" t="e">
        <f t="shared" si="2100"/>
        <v>#DIV/0!</v>
      </c>
      <c r="R1177" s="116" t="e">
        <f t="shared" si="2100"/>
        <v>#DIV/0!</v>
      </c>
      <c r="T1177" s="91"/>
      <c r="U1177" s="100"/>
      <c r="V1177" s="111"/>
      <c r="W1177" s="112" t="s">
        <v>103</v>
      </c>
      <c r="X1177" s="113" t="e">
        <f t="shared" ref="X1177:AK1177" si="2101">X1175/X1173</f>
        <v>#DIV/0!</v>
      </c>
      <c r="Y1177" s="113" t="e">
        <f t="shared" si="2101"/>
        <v>#DIV/0!</v>
      </c>
      <c r="Z1177" s="113" t="e">
        <f t="shared" si="2101"/>
        <v>#DIV/0!</v>
      </c>
      <c r="AA1177" s="113" t="e">
        <f t="shared" si="2101"/>
        <v>#DIV/0!</v>
      </c>
      <c r="AB1177" s="113" t="e">
        <f t="shared" si="2101"/>
        <v>#DIV/0!</v>
      </c>
      <c r="AC1177" s="113" t="e">
        <f t="shared" si="2101"/>
        <v>#DIV/0!</v>
      </c>
      <c r="AD1177" s="113" t="e">
        <f t="shared" si="2101"/>
        <v>#DIV/0!</v>
      </c>
      <c r="AE1177" s="113" t="e">
        <f t="shared" si="2101"/>
        <v>#DIV/0!</v>
      </c>
      <c r="AF1177" s="113" t="e">
        <f t="shared" si="2101"/>
        <v>#DIV/0!</v>
      </c>
      <c r="AG1177" s="113" t="e">
        <f t="shared" si="2101"/>
        <v>#DIV/0!</v>
      </c>
      <c r="AH1177" s="113" t="e">
        <f t="shared" si="2101"/>
        <v>#DIV/0!</v>
      </c>
      <c r="AI1177" s="114" t="e">
        <f t="shared" si="2101"/>
        <v>#DIV/0!</v>
      </c>
      <c r="AJ1177" s="115" t="e">
        <f t="shared" si="2101"/>
        <v>#DIV/0!</v>
      </c>
      <c r="AK1177" s="116" t="e">
        <f t="shared" si="2101"/>
        <v>#DIV/0!</v>
      </c>
    </row>
    <row r="1178" spans="1:38" ht="15.6" hidden="1" thickBot="1">
      <c r="A1178" s="91"/>
      <c r="B1178" s="100"/>
      <c r="C1178" s="86"/>
      <c r="D1178" s="87">
        <v>2019</v>
      </c>
      <c r="E1178" s="88"/>
      <c r="F1178" s="121"/>
      <c r="G1178" s="121"/>
      <c r="H1178" s="121"/>
      <c r="I1178" s="121"/>
      <c r="J1178" s="121"/>
      <c r="K1178" s="121"/>
      <c r="L1178" s="121"/>
      <c r="M1178" s="122"/>
      <c r="N1178" s="122"/>
      <c r="O1178" s="122"/>
      <c r="P1178" s="123"/>
      <c r="Q1178" s="89">
        <f t="shared" ref="Q1178:Q1180" si="2102">SUM(E1178:P1178)</f>
        <v>0</v>
      </c>
      <c r="R1178" s="90">
        <f t="shared" ref="R1178:R1240" si="2103">SUM(E1178:M1178)</f>
        <v>0</v>
      </c>
      <c r="T1178" s="91"/>
      <c r="U1178" s="100"/>
      <c r="V1178" s="86">
        <f t="shared" ref="V1178:V1179" si="2104">C1178</f>
        <v>0</v>
      </c>
      <c r="W1178" s="87">
        <v>2019</v>
      </c>
      <c r="X1178" s="88"/>
      <c r="Y1178" s="121"/>
      <c r="Z1178" s="121"/>
      <c r="AA1178" s="121"/>
      <c r="AB1178" s="121"/>
      <c r="AC1178" s="121"/>
      <c r="AD1178" s="121"/>
      <c r="AE1178" s="121"/>
      <c r="AF1178" s="122"/>
      <c r="AG1178" s="122"/>
      <c r="AH1178" s="122"/>
      <c r="AI1178" s="123"/>
      <c r="AJ1178" s="89">
        <f t="shared" ref="AJ1178:AJ1180" si="2105">SUM(X1178:AI1178)</f>
        <v>0</v>
      </c>
      <c r="AK1178" s="90">
        <f t="shared" ref="AK1178:AK1180" si="2106">SUM(X1178:AF1178)</f>
        <v>0</v>
      </c>
    </row>
    <row r="1179" spans="1:38" ht="15.6" hidden="1" thickBot="1">
      <c r="A1179" s="91"/>
      <c r="B1179" s="100"/>
      <c r="C1179" s="92"/>
      <c r="D1179" s="93" t="s">
        <v>92</v>
      </c>
      <c r="E1179" s="94"/>
      <c r="F1179" s="97"/>
      <c r="G1179" s="97"/>
      <c r="H1179" s="97"/>
      <c r="I1179" s="97"/>
      <c r="J1179" s="97"/>
      <c r="K1179" s="97"/>
      <c r="L1179" s="97"/>
      <c r="M1179" s="98"/>
      <c r="N1179" s="98"/>
      <c r="O1179" s="98"/>
      <c r="P1179" s="99"/>
      <c r="Q1179" s="95">
        <f t="shared" si="2102"/>
        <v>0</v>
      </c>
      <c r="R1179" s="96">
        <f t="shared" si="2103"/>
        <v>0</v>
      </c>
      <c r="T1179" s="91"/>
      <c r="U1179" s="100"/>
      <c r="V1179" s="92">
        <f t="shared" si="2104"/>
        <v>0</v>
      </c>
      <c r="W1179" s="93" t="s">
        <v>92</v>
      </c>
      <c r="X1179" s="94"/>
      <c r="Y1179" s="97"/>
      <c r="Z1179" s="97"/>
      <c r="AA1179" s="97"/>
      <c r="AB1179" s="97"/>
      <c r="AC1179" s="97"/>
      <c r="AD1179" s="97"/>
      <c r="AE1179" s="97"/>
      <c r="AF1179" s="98"/>
      <c r="AG1179" s="98"/>
      <c r="AH1179" s="98"/>
      <c r="AI1179" s="99"/>
      <c r="AJ1179" s="95">
        <f t="shared" si="2105"/>
        <v>0</v>
      </c>
      <c r="AK1179" s="96">
        <f t="shared" si="2106"/>
        <v>0</v>
      </c>
    </row>
    <row r="1180" spans="1:38" ht="15.6" hidden="1" thickBot="1">
      <c r="A1180" s="91"/>
      <c r="B1180" s="100"/>
      <c r="C1180" s="92"/>
      <c r="D1180" s="101">
        <v>2020</v>
      </c>
      <c r="E1180" s="102"/>
      <c r="F1180" s="124"/>
      <c r="G1180" s="124"/>
      <c r="H1180" s="124"/>
      <c r="I1180" s="124"/>
      <c r="J1180" s="124"/>
      <c r="K1180" s="124"/>
      <c r="L1180" s="124"/>
      <c r="M1180" s="125"/>
      <c r="N1180" s="125"/>
      <c r="O1180" s="125"/>
      <c r="P1180" s="126"/>
      <c r="Q1180" s="103">
        <f t="shared" si="2102"/>
        <v>0</v>
      </c>
      <c r="R1180" s="104">
        <f t="shared" si="2103"/>
        <v>0</v>
      </c>
      <c r="S1180" s="105"/>
      <c r="T1180" s="91"/>
      <c r="U1180" s="100"/>
      <c r="V1180" s="92"/>
      <c r="W1180" s="101">
        <v>2020</v>
      </c>
      <c r="X1180" s="102"/>
      <c r="Y1180" s="124"/>
      <c r="Z1180" s="124"/>
      <c r="AA1180" s="124"/>
      <c r="AB1180" s="124"/>
      <c r="AC1180" s="124"/>
      <c r="AD1180" s="124"/>
      <c r="AE1180" s="124"/>
      <c r="AF1180" s="125"/>
      <c r="AG1180" s="125"/>
      <c r="AH1180" s="125"/>
      <c r="AI1180" s="126"/>
      <c r="AJ1180" s="103">
        <f t="shared" si="2105"/>
        <v>0</v>
      </c>
      <c r="AK1180" s="104">
        <f t="shared" si="2106"/>
        <v>0</v>
      </c>
      <c r="AL1180" s="105"/>
    </row>
    <row r="1181" spans="1:38" ht="15.6" hidden="1" thickBot="1">
      <c r="A1181" s="91"/>
      <c r="B1181" s="100"/>
      <c r="C1181" s="92"/>
      <c r="D1181" s="101" t="s">
        <v>102</v>
      </c>
      <c r="E1181" s="106" t="e">
        <f t="shared" ref="E1181:R1181" si="2107">E1180/E1179</f>
        <v>#DIV/0!</v>
      </c>
      <c r="F1181" s="106" t="e">
        <f t="shared" si="2107"/>
        <v>#DIV/0!</v>
      </c>
      <c r="G1181" s="106" t="e">
        <f t="shared" si="2107"/>
        <v>#DIV/0!</v>
      </c>
      <c r="H1181" s="106" t="e">
        <f t="shared" si="2107"/>
        <v>#DIV/0!</v>
      </c>
      <c r="I1181" s="106" t="e">
        <f t="shared" si="2107"/>
        <v>#DIV/0!</v>
      </c>
      <c r="J1181" s="106" t="e">
        <f t="shared" si="2107"/>
        <v>#DIV/0!</v>
      </c>
      <c r="K1181" s="106" t="e">
        <f t="shared" si="2107"/>
        <v>#DIV/0!</v>
      </c>
      <c r="L1181" s="106" t="e">
        <f t="shared" si="2107"/>
        <v>#DIV/0!</v>
      </c>
      <c r="M1181" s="107" t="e">
        <f t="shared" si="2107"/>
        <v>#DIV/0!</v>
      </c>
      <c r="N1181" s="107" t="e">
        <f t="shared" si="2107"/>
        <v>#DIV/0!</v>
      </c>
      <c r="O1181" s="107" t="e">
        <f t="shared" si="2107"/>
        <v>#DIV/0!</v>
      </c>
      <c r="P1181" s="108" t="e">
        <f t="shared" si="2107"/>
        <v>#DIV/0!</v>
      </c>
      <c r="Q1181" s="109" t="e">
        <f t="shared" si="2107"/>
        <v>#DIV/0!</v>
      </c>
      <c r="R1181" s="110" t="e">
        <f t="shared" si="2107"/>
        <v>#DIV/0!</v>
      </c>
      <c r="S1181" s="105"/>
      <c r="T1181" s="91"/>
      <c r="U1181" s="100"/>
      <c r="V1181" s="92"/>
      <c r="W1181" s="101" t="s">
        <v>102</v>
      </c>
      <c r="X1181" s="106" t="e">
        <f t="shared" ref="X1181:AK1181" si="2108">X1180/X1179</f>
        <v>#DIV/0!</v>
      </c>
      <c r="Y1181" s="106" t="e">
        <f t="shared" si="2108"/>
        <v>#DIV/0!</v>
      </c>
      <c r="Z1181" s="106" t="e">
        <f t="shared" si="2108"/>
        <v>#DIV/0!</v>
      </c>
      <c r="AA1181" s="106" t="e">
        <f t="shared" si="2108"/>
        <v>#DIV/0!</v>
      </c>
      <c r="AB1181" s="106" t="e">
        <f t="shared" si="2108"/>
        <v>#DIV/0!</v>
      </c>
      <c r="AC1181" s="106" t="e">
        <f t="shared" si="2108"/>
        <v>#DIV/0!</v>
      </c>
      <c r="AD1181" s="106" t="e">
        <f t="shared" si="2108"/>
        <v>#DIV/0!</v>
      </c>
      <c r="AE1181" s="106" t="e">
        <f t="shared" si="2108"/>
        <v>#DIV/0!</v>
      </c>
      <c r="AF1181" s="107" t="e">
        <f t="shared" si="2108"/>
        <v>#DIV/0!</v>
      </c>
      <c r="AG1181" s="107" t="e">
        <f t="shared" si="2108"/>
        <v>#DIV/0!</v>
      </c>
      <c r="AH1181" s="107" t="e">
        <f t="shared" si="2108"/>
        <v>#DIV/0!</v>
      </c>
      <c r="AI1181" s="108" t="e">
        <f t="shared" si="2108"/>
        <v>#DIV/0!</v>
      </c>
      <c r="AJ1181" s="109" t="e">
        <f t="shared" si="2108"/>
        <v>#DIV/0!</v>
      </c>
      <c r="AK1181" s="110" t="e">
        <f t="shared" si="2108"/>
        <v>#DIV/0!</v>
      </c>
      <c r="AL1181" s="105"/>
    </row>
    <row r="1182" spans="1:38" ht="15.6" hidden="1" thickBot="1">
      <c r="A1182" s="91"/>
      <c r="B1182" s="100"/>
      <c r="C1182" s="111"/>
      <c r="D1182" s="112" t="s">
        <v>103</v>
      </c>
      <c r="E1182" s="113" t="e">
        <f t="shared" ref="E1182:R1182" si="2109">E1180/E1178</f>
        <v>#DIV/0!</v>
      </c>
      <c r="F1182" s="113" t="e">
        <f t="shared" si="2109"/>
        <v>#DIV/0!</v>
      </c>
      <c r="G1182" s="113" t="e">
        <f t="shared" si="2109"/>
        <v>#DIV/0!</v>
      </c>
      <c r="H1182" s="113" t="e">
        <f t="shared" si="2109"/>
        <v>#DIV/0!</v>
      </c>
      <c r="I1182" s="113" t="e">
        <f t="shared" si="2109"/>
        <v>#DIV/0!</v>
      </c>
      <c r="J1182" s="113" t="e">
        <f t="shared" si="2109"/>
        <v>#DIV/0!</v>
      </c>
      <c r="K1182" s="113" t="e">
        <f t="shared" si="2109"/>
        <v>#DIV/0!</v>
      </c>
      <c r="L1182" s="113" t="e">
        <f t="shared" si="2109"/>
        <v>#DIV/0!</v>
      </c>
      <c r="M1182" s="113" t="e">
        <f t="shared" si="2109"/>
        <v>#DIV/0!</v>
      </c>
      <c r="N1182" s="113" t="e">
        <f t="shared" si="2109"/>
        <v>#DIV/0!</v>
      </c>
      <c r="O1182" s="113" t="e">
        <f t="shared" si="2109"/>
        <v>#DIV/0!</v>
      </c>
      <c r="P1182" s="114" t="e">
        <f t="shared" si="2109"/>
        <v>#DIV/0!</v>
      </c>
      <c r="Q1182" s="115" t="e">
        <f t="shared" si="2109"/>
        <v>#DIV/0!</v>
      </c>
      <c r="R1182" s="116" t="e">
        <f t="shared" si="2109"/>
        <v>#DIV/0!</v>
      </c>
      <c r="T1182" s="91"/>
      <c r="U1182" s="100"/>
      <c r="V1182" s="111"/>
      <c r="W1182" s="112" t="s">
        <v>103</v>
      </c>
      <c r="X1182" s="113" t="e">
        <f t="shared" ref="X1182:AK1182" si="2110">X1180/X1178</f>
        <v>#DIV/0!</v>
      </c>
      <c r="Y1182" s="113" t="e">
        <f t="shared" si="2110"/>
        <v>#DIV/0!</v>
      </c>
      <c r="Z1182" s="113" t="e">
        <f t="shared" si="2110"/>
        <v>#DIV/0!</v>
      </c>
      <c r="AA1182" s="113" t="e">
        <f t="shared" si="2110"/>
        <v>#DIV/0!</v>
      </c>
      <c r="AB1182" s="113" t="e">
        <f t="shared" si="2110"/>
        <v>#DIV/0!</v>
      </c>
      <c r="AC1182" s="113" t="e">
        <f t="shared" si="2110"/>
        <v>#DIV/0!</v>
      </c>
      <c r="AD1182" s="113" t="e">
        <f t="shared" si="2110"/>
        <v>#DIV/0!</v>
      </c>
      <c r="AE1182" s="113" t="e">
        <f t="shared" si="2110"/>
        <v>#DIV/0!</v>
      </c>
      <c r="AF1182" s="113" t="e">
        <f t="shared" si="2110"/>
        <v>#DIV/0!</v>
      </c>
      <c r="AG1182" s="113" t="e">
        <f t="shared" si="2110"/>
        <v>#DIV/0!</v>
      </c>
      <c r="AH1182" s="113" t="e">
        <f t="shared" si="2110"/>
        <v>#DIV/0!</v>
      </c>
      <c r="AI1182" s="114" t="e">
        <f t="shared" si="2110"/>
        <v>#DIV/0!</v>
      </c>
      <c r="AJ1182" s="115" t="e">
        <f t="shared" si="2110"/>
        <v>#DIV/0!</v>
      </c>
      <c r="AK1182" s="116" t="e">
        <f t="shared" si="2110"/>
        <v>#DIV/0!</v>
      </c>
    </row>
    <row r="1183" spans="1:38" ht="15.6" hidden="1" thickBot="1">
      <c r="A1183" s="91"/>
      <c r="B1183" s="100"/>
      <c r="C1183" s="86"/>
      <c r="D1183" s="87">
        <v>2019</v>
      </c>
      <c r="E1183" s="88"/>
      <c r="F1183" s="121"/>
      <c r="G1183" s="121"/>
      <c r="H1183" s="121"/>
      <c r="I1183" s="121"/>
      <c r="J1183" s="121"/>
      <c r="K1183" s="121"/>
      <c r="L1183" s="121"/>
      <c r="M1183" s="122"/>
      <c r="N1183" s="122"/>
      <c r="O1183" s="122"/>
      <c r="P1183" s="123"/>
      <c r="Q1183" s="89">
        <f t="shared" ref="Q1183:Q1185" si="2111">SUM(E1183:P1183)</f>
        <v>0</v>
      </c>
      <c r="R1183" s="90">
        <f t="shared" ref="R1183" si="2112">SUM(E1183:M1183)</f>
        <v>0</v>
      </c>
      <c r="T1183" s="91"/>
      <c r="U1183" s="100"/>
      <c r="V1183" s="86">
        <f t="shared" ref="V1183:V1184" si="2113">C1183</f>
        <v>0</v>
      </c>
      <c r="W1183" s="87">
        <v>2019</v>
      </c>
      <c r="X1183" s="88"/>
      <c r="Y1183" s="121"/>
      <c r="Z1183" s="121"/>
      <c r="AA1183" s="121"/>
      <c r="AB1183" s="121"/>
      <c r="AC1183" s="121"/>
      <c r="AD1183" s="121"/>
      <c r="AE1183" s="121"/>
      <c r="AF1183" s="122"/>
      <c r="AG1183" s="122"/>
      <c r="AH1183" s="122"/>
      <c r="AI1183" s="123"/>
      <c r="AJ1183" s="89">
        <f t="shared" ref="AJ1183:AJ1185" si="2114">SUM(X1183:AI1183)</f>
        <v>0</v>
      </c>
      <c r="AK1183" s="90">
        <f t="shared" ref="AK1183:AK1185" si="2115">SUM(X1183:AF1183)</f>
        <v>0</v>
      </c>
    </row>
    <row r="1184" spans="1:38" ht="15.6" hidden="1" thickBot="1">
      <c r="A1184" s="91"/>
      <c r="B1184" s="100"/>
      <c r="C1184" s="92"/>
      <c r="D1184" s="93" t="s">
        <v>92</v>
      </c>
      <c r="E1184" s="94"/>
      <c r="F1184" s="97"/>
      <c r="G1184" s="97"/>
      <c r="H1184" s="97"/>
      <c r="I1184" s="97"/>
      <c r="J1184" s="97"/>
      <c r="K1184" s="97"/>
      <c r="L1184" s="97"/>
      <c r="M1184" s="98"/>
      <c r="N1184" s="98"/>
      <c r="O1184" s="98"/>
      <c r="P1184" s="99"/>
      <c r="Q1184" s="95">
        <f t="shared" si="2111"/>
        <v>0</v>
      </c>
      <c r="R1184" s="96">
        <f t="shared" si="2103"/>
        <v>0</v>
      </c>
      <c r="T1184" s="91"/>
      <c r="U1184" s="100"/>
      <c r="V1184" s="92">
        <f t="shared" si="2113"/>
        <v>0</v>
      </c>
      <c r="W1184" s="93" t="s">
        <v>92</v>
      </c>
      <c r="X1184" s="94"/>
      <c r="Y1184" s="97"/>
      <c r="Z1184" s="97"/>
      <c r="AA1184" s="97"/>
      <c r="AB1184" s="97"/>
      <c r="AC1184" s="97"/>
      <c r="AD1184" s="97"/>
      <c r="AE1184" s="97"/>
      <c r="AF1184" s="98"/>
      <c r="AG1184" s="98"/>
      <c r="AH1184" s="98"/>
      <c r="AI1184" s="99"/>
      <c r="AJ1184" s="95">
        <f t="shared" si="2114"/>
        <v>0</v>
      </c>
      <c r="AK1184" s="96">
        <f t="shared" si="2115"/>
        <v>0</v>
      </c>
    </row>
    <row r="1185" spans="1:38" ht="15.6" hidden="1" thickBot="1">
      <c r="A1185" s="91"/>
      <c r="B1185" s="100"/>
      <c r="C1185" s="92"/>
      <c r="D1185" s="101">
        <v>2020</v>
      </c>
      <c r="E1185" s="102"/>
      <c r="F1185" s="124"/>
      <c r="G1185" s="124"/>
      <c r="H1185" s="124"/>
      <c r="I1185" s="124"/>
      <c r="J1185" s="124"/>
      <c r="K1185" s="124"/>
      <c r="L1185" s="124"/>
      <c r="M1185" s="125"/>
      <c r="N1185" s="125"/>
      <c r="O1185" s="125"/>
      <c r="P1185" s="126"/>
      <c r="Q1185" s="103">
        <f t="shared" si="2111"/>
        <v>0</v>
      </c>
      <c r="R1185" s="104">
        <f t="shared" si="2103"/>
        <v>0</v>
      </c>
      <c r="S1185" s="105"/>
      <c r="T1185" s="91"/>
      <c r="U1185" s="100"/>
      <c r="V1185" s="92"/>
      <c r="W1185" s="101">
        <v>2020</v>
      </c>
      <c r="X1185" s="102"/>
      <c r="Y1185" s="124"/>
      <c r="Z1185" s="124"/>
      <c r="AA1185" s="124"/>
      <c r="AB1185" s="124"/>
      <c r="AC1185" s="124"/>
      <c r="AD1185" s="124"/>
      <c r="AE1185" s="124"/>
      <c r="AF1185" s="125"/>
      <c r="AG1185" s="125"/>
      <c r="AH1185" s="125"/>
      <c r="AI1185" s="126"/>
      <c r="AJ1185" s="103">
        <f t="shared" si="2114"/>
        <v>0</v>
      </c>
      <c r="AK1185" s="104">
        <f t="shared" si="2115"/>
        <v>0</v>
      </c>
      <c r="AL1185" s="105"/>
    </row>
    <row r="1186" spans="1:38" ht="15.6" hidden="1" thickBot="1">
      <c r="A1186" s="91"/>
      <c r="B1186" s="100"/>
      <c r="C1186" s="92"/>
      <c r="D1186" s="101" t="s">
        <v>102</v>
      </c>
      <c r="E1186" s="106" t="e">
        <f t="shared" ref="E1186:R1186" si="2116">E1185/E1184</f>
        <v>#DIV/0!</v>
      </c>
      <c r="F1186" s="106" t="e">
        <f t="shared" si="2116"/>
        <v>#DIV/0!</v>
      </c>
      <c r="G1186" s="106" t="e">
        <f t="shared" si="2116"/>
        <v>#DIV/0!</v>
      </c>
      <c r="H1186" s="106" t="e">
        <f t="shared" si="2116"/>
        <v>#DIV/0!</v>
      </c>
      <c r="I1186" s="106" t="e">
        <f t="shared" si="2116"/>
        <v>#DIV/0!</v>
      </c>
      <c r="J1186" s="106" t="e">
        <f t="shared" si="2116"/>
        <v>#DIV/0!</v>
      </c>
      <c r="K1186" s="106" t="e">
        <f t="shared" si="2116"/>
        <v>#DIV/0!</v>
      </c>
      <c r="L1186" s="106" t="e">
        <f t="shared" si="2116"/>
        <v>#DIV/0!</v>
      </c>
      <c r="M1186" s="107" t="e">
        <f t="shared" si="2116"/>
        <v>#DIV/0!</v>
      </c>
      <c r="N1186" s="107" t="e">
        <f t="shared" si="2116"/>
        <v>#DIV/0!</v>
      </c>
      <c r="O1186" s="107" t="e">
        <f t="shared" si="2116"/>
        <v>#DIV/0!</v>
      </c>
      <c r="P1186" s="108" t="e">
        <f t="shared" si="2116"/>
        <v>#DIV/0!</v>
      </c>
      <c r="Q1186" s="109" t="e">
        <f t="shared" si="2116"/>
        <v>#DIV/0!</v>
      </c>
      <c r="R1186" s="110" t="e">
        <f t="shared" si="2116"/>
        <v>#DIV/0!</v>
      </c>
      <c r="S1186" s="105"/>
      <c r="T1186" s="91"/>
      <c r="U1186" s="100"/>
      <c r="V1186" s="92"/>
      <c r="W1186" s="101" t="s">
        <v>102</v>
      </c>
      <c r="X1186" s="106" t="e">
        <f t="shared" ref="X1186:AK1186" si="2117">X1185/X1184</f>
        <v>#DIV/0!</v>
      </c>
      <c r="Y1186" s="106" t="e">
        <f t="shared" si="2117"/>
        <v>#DIV/0!</v>
      </c>
      <c r="Z1186" s="106" t="e">
        <f t="shared" si="2117"/>
        <v>#DIV/0!</v>
      </c>
      <c r="AA1186" s="106" t="e">
        <f t="shared" si="2117"/>
        <v>#DIV/0!</v>
      </c>
      <c r="AB1186" s="106" t="e">
        <f t="shared" si="2117"/>
        <v>#DIV/0!</v>
      </c>
      <c r="AC1186" s="106" t="e">
        <f t="shared" si="2117"/>
        <v>#DIV/0!</v>
      </c>
      <c r="AD1186" s="106" t="e">
        <f t="shared" si="2117"/>
        <v>#DIV/0!</v>
      </c>
      <c r="AE1186" s="106" t="e">
        <f t="shared" si="2117"/>
        <v>#DIV/0!</v>
      </c>
      <c r="AF1186" s="107" t="e">
        <f t="shared" si="2117"/>
        <v>#DIV/0!</v>
      </c>
      <c r="AG1186" s="107" t="e">
        <f t="shared" si="2117"/>
        <v>#DIV/0!</v>
      </c>
      <c r="AH1186" s="107" t="e">
        <f t="shared" si="2117"/>
        <v>#DIV/0!</v>
      </c>
      <c r="AI1186" s="108" t="e">
        <f t="shared" si="2117"/>
        <v>#DIV/0!</v>
      </c>
      <c r="AJ1186" s="109" t="e">
        <f t="shared" si="2117"/>
        <v>#DIV/0!</v>
      </c>
      <c r="AK1186" s="110" t="e">
        <f t="shared" si="2117"/>
        <v>#DIV/0!</v>
      </c>
      <c r="AL1186" s="105"/>
    </row>
    <row r="1187" spans="1:38" ht="15.6" hidden="1" thickBot="1">
      <c r="A1187" s="91"/>
      <c r="B1187" s="100"/>
      <c r="C1187" s="111"/>
      <c r="D1187" s="112" t="s">
        <v>103</v>
      </c>
      <c r="E1187" s="113" t="e">
        <f t="shared" ref="E1187:R1187" si="2118">E1185/E1183</f>
        <v>#DIV/0!</v>
      </c>
      <c r="F1187" s="113" t="e">
        <f t="shared" si="2118"/>
        <v>#DIV/0!</v>
      </c>
      <c r="G1187" s="113" t="e">
        <f t="shared" si="2118"/>
        <v>#DIV/0!</v>
      </c>
      <c r="H1187" s="113" t="e">
        <f t="shared" si="2118"/>
        <v>#DIV/0!</v>
      </c>
      <c r="I1187" s="113" t="e">
        <f t="shared" si="2118"/>
        <v>#DIV/0!</v>
      </c>
      <c r="J1187" s="113" t="e">
        <f t="shared" si="2118"/>
        <v>#DIV/0!</v>
      </c>
      <c r="K1187" s="113" t="e">
        <f t="shared" si="2118"/>
        <v>#DIV/0!</v>
      </c>
      <c r="L1187" s="113" t="e">
        <f t="shared" si="2118"/>
        <v>#DIV/0!</v>
      </c>
      <c r="M1187" s="113" t="e">
        <f t="shared" si="2118"/>
        <v>#DIV/0!</v>
      </c>
      <c r="N1187" s="113" t="e">
        <f t="shared" si="2118"/>
        <v>#DIV/0!</v>
      </c>
      <c r="O1187" s="113" t="e">
        <f t="shared" si="2118"/>
        <v>#DIV/0!</v>
      </c>
      <c r="P1187" s="114" t="e">
        <f t="shared" si="2118"/>
        <v>#DIV/0!</v>
      </c>
      <c r="Q1187" s="115" t="e">
        <f t="shared" si="2118"/>
        <v>#DIV/0!</v>
      </c>
      <c r="R1187" s="116" t="e">
        <f t="shared" si="2118"/>
        <v>#DIV/0!</v>
      </c>
      <c r="T1187" s="91"/>
      <c r="U1187" s="100"/>
      <c r="V1187" s="111"/>
      <c r="W1187" s="112" t="s">
        <v>103</v>
      </c>
      <c r="X1187" s="113" t="e">
        <f t="shared" ref="X1187:AK1187" si="2119">X1185/X1183</f>
        <v>#DIV/0!</v>
      </c>
      <c r="Y1187" s="113" t="e">
        <f t="shared" si="2119"/>
        <v>#DIV/0!</v>
      </c>
      <c r="Z1187" s="113" t="e">
        <f t="shared" si="2119"/>
        <v>#DIV/0!</v>
      </c>
      <c r="AA1187" s="113" t="e">
        <f t="shared" si="2119"/>
        <v>#DIV/0!</v>
      </c>
      <c r="AB1187" s="113" t="e">
        <f t="shared" si="2119"/>
        <v>#DIV/0!</v>
      </c>
      <c r="AC1187" s="113" t="e">
        <f t="shared" si="2119"/>
        <v>#DIV/0!</v>
      </c>
      <c r="AD1187" s="113" t="e">
        <f t="shared" si="2119"/>
        <v>#DIV/0!</v>
      </c>
      <c r="AE1187" s="113" t="e">
        <f t="shared" si="2119"/>
        <v>#DIV/0!</v>
      </c>
      <c r="AF1187" s="113" t="e">
        <f t="shared" si="2119"/>
        <v>#DIV/0!</v>
      </c>
      <c r="AG1187" s="113" t="e">
        <f t="shared" si="2119"/>
        <v>#DIV/0!</v>
      </c>
      <c r="AH1187" s="113" t="e">
        <f t="shared" si="2119"/>
        <v>#DIV/0!</v>
      </c>
      <c r="AI1187" s="114" t="e">
        <f t="shared" si="2119"/>
        <v>#DIV/0!</v>
      </c>
      <c r="AJ1187" s="115" t="e">
        <f t="shared" si="2119"/>
        <v>#DIV/0!</v>
      </c>
      <c r="AK1187" s="116" t="e">
        <f t="shared" si="2119"/>
        <v>#DIV/0!</v>
      </c>
    </row>
    <row r="1188" spans="1:38" ht="15.6" hidden="1" thickBot="1">
      <c r="A1188" s="91"/>
      <c r="B1188" s="100"/>
      <c r="C1188" s="86"/>
      <c r="D1188" s="87">
        <v>2019</v>
      </c>
      <c r="E1188" s="88"/>
      <c r="F1188" s="121"/>
      <c r="G1188" s="121"/>
      <c r="H1188" s="121"/>
      <c r="I1188" s="121"/>
      <c r="J1188" s="121"/>
      <c r="K1188" s="121"/>
      <c r="L1188" s="121"/>
      <c r="M1188" s="122"/>
      <c r="N1188" s="122"/>
      <c r="O1188" s="122"/>
      <c r="P1188" s="123"/>
      <c r="Q1188" s="89">
        <f t="shared" ref="Q1188:Q1190" si="2120">SUM(E1188:P1188)</f>
        <v>0</v>
      </c>
      <c r="R1188" s="90">
        <f t="shared" ref="R1188" si="2121">SUM(E1188:M1188)</f>
        <v>0</v>
      </c>
      <c r="T1188" s="91"/>
      <c r="U1188" s="100"/>
      <c r="V1188" s="86">
        <f t="shared" ref="V1188:V1189" si="2122">C1188</f>
        <v>0</v>
      </c>
      <c r="W1188" s="87">
        <v>2019</v>
      </c>
      <c r="X1188" s="88"/>
      <c r="Y1188" s="121"/>
      <c r="Z1188" s="121"/>
      <c r="AA1188" s="121"/>
      <c r="AB1188" s="121"/>
      <c r="AC1188" s="121"/>
      <c r="AD1188" s="121"/>
      <c r="AE1188" s="121"/>
      <c r="AF1188" s="122"/>
      <c r="AG1188" s="122"/>
      <c r="AH1188" s="122"/>
      <c r="AI1188" s="123"/>
      <c r="AJ1188" s="89">
        <f t="shared" ref="AJ1188:AJ1190" si="2123">SUM(X1188:AI1188)</f>
        <v>0</v>
      </c>
      <c r="AK1188" s="90">
        <f t="shared" ref="AK1188:AK1190" si="2124">SUM(X1188:AF1188)</f>
        <v>0</v>
      </c>
    </row>
    <row r="1189" spans="1:38" ht="15.6" hidden="1" thickBot="1">
      <c r="A1189" s="91"/>
      <c r="B1189" s="100"/>
      <c r="C1189" s="92"/>
      <c r="D1189" s="93" t="s">
        <v>92</v>
      </c>
      <c r="E1189" s="94"/>
      <c r="F1189" s="97"/>
      <c r="G1189" s="97"/>
      <c r="H1189" s="97"/>
      <c r="I1189" s="97"/>
      <c r="J1189" s="97"/>
      <c r="K1189" s="97"/>
      <c r="L1189" s="97"/>
      <c r="M1189" s="98"/>
      <c r="N1189" s="98"/>
      <c r="O1189" s="98"/>
      <c r="P1189" s="99"/>
      <c r="Q1189" s="95">
        <f t="shared" si="2120"/>
        <v>0</v>
      </c>
      <c r="R1189" s="96">
        <f t="shared" si="2103"/>
        <v>0</v>
      </c>
      <c r="T1189" s="91"/>
      <c r="U1189" s="100"/>
      <c r="V1189" s="92">
        <f t="shared" si="2122"/>
        <v>0</v>
      </c>
      <c r="W1189" s="93" t="s">
        <v>92</v>
      </c>
      <c r="X1189" s="94"/>
      <c r="Y1189" s="97"/>
      <c r="Z1189" s="97"/>
      <c r="AA1189" s="97"/>
      <c r="AB1189" s="97"/>
      <c r="AC1189" s="97"/>
      <c r="AD1189" s="97"/>
      <c r="AE1189" s="97"/>
      <c r="AF1189" s="98"/>
      <c r="AG1189" s="98"/>
      <c r="AH1189" s="98"/>
      <c r="AI1189" s="99"/>
      <c r="AJ1189" s="95">
        <f t="shared" si="2123"/>
        <v>0</v>
      </c>
      <c r="AK1189" s="96">
        <f t="shared" si="2124"/>
        <v>0</v>
      </c>
    </row>
    <row r="1190" spans="1:38" ht="15.6" hidden="1" thickBot="1">
      <c r="A1190" s="91"/>
      <c r="B1190" s="100"/>
      <c r="C1190" s="92"/>
      <c r="D1190" s="101">
        <v>2020</v>
      </c>
      <c r="E1190" s="102"/>
      <c r="F1190" s="124"/>
      <c r="G1190" s="124"/>
      <c r="H1190" s="124"/>
      <c r="I1190" s="124"/>
      <c r="J1190" s="124"/>
      <c r="K1190" s="124"/>
      <c r="L1190" s="124"/>
      <c r="M1190" s="125"/>
      <c r="N1190" s="125"/>
      <c r="O1190" s="125"/>
      <c r="P1190" s="126"/>
      <c r="Q1190" s="103">
        <f t="shared" si="2120"/>
        <v>0</v>
      </c>
      <c r="R1190" s="104">
        <f t="shared" si="2103"/>
        <v>0</v>
      </c>
      <c r="S1190" s="105"/>
      <c r="T1190" s="91"/>
      <c r="U1190" s="100"/>
      <c r="V1190" s="92"/>
      <c r="W1190" s="101">
        <v>2020</v>
      </c>
      <c r="X1190" s="102"/>
      <c r="Y1190" s="124"/>
      <c r="Z1190" s="124"/>
      <c r="AA1190" s="124"/>
      <c r="AB1190" s="124"/>
      <c r="AC1190" s="124"/>
      <c r="AD1190" s="124"/>
      <c r="AE1190" s="124"/>
      <c r="AF1190" s="125"/>
      <c r="AG1190" s="125"/>
      <c r="AH1190" s="125"/>
      <c r="AI1190" s="126"/>
      <c r="AJ1190" s="103">
        <f t="shared" si="2123"/>
        <v>0</v>
      </c>
      <c r="AK1190" s="104">
        <f t="shared" si="2124"/>
        <v>0</v>
      </c>
      <c r="AL1190" s="105"/>
    </row>
    <row r="1191" spans="1:38" ht="15.6" hidden="1" thickBot="1">
      <c r="A1191" s="91"/>
      <c r="B1191" s="100"/>
      <c r="C1191" s="92"/>
      <c r="D1191" s="101" t="s">
        <v>102</v>
      </c>
      <c r="E1191" s="106" t="e">
        <f t="shared" ref="E1191:R1191" si="2125">E1190/E1189</f>
        <v>#DIV/0!</v>
      </c>
      <c r="F1191" s="106" t="e">
        <f t="shared" si="2125"/>
        <v>#DIV/0!</v>
      </c>
      <c r="G1191" s="106" t="e">
        <f t="shared" si="2125"/>
        <v>#DIV/0!</v>
      </c>
      <c r="H1191" s="106" t="e">
        <f t="shared" si="2125"/>
        <v>#DIV/0!</v>
      </c>
      <c r="I1191" s="106" t="e">
        <f t="shared" si="2125"/>
        <v>#DIV/0!</v>
      </c>
      <c r="J1191" s="106" t="e">
        <f t="shared" si="2125"/>
        <v>#DIV/0!</v>
      </c>
      <c r="K1191" s="106" t="e">
        <f t="shared" si="2125"/>
        <v>#DIV/0!</v>
      </c>
      <c r="L1191" s="106" t="e">
        <f t="shared" si="2125"/>
        <v>#DIV/0!</v>
      </c>
      <c r="M1191" s="107" t="e">
        <f t="shared" si="2125"/>
        <v>#DIV/0!</v>
      </c>
      <c r="N1191" s="107" t="e">
        <f t="shared" si="2125"/>
        <v>#DIV/0!</v>
      </c>
      <c r="O1191" s="107" t="e">
        <f t="shared" si="2125"/>
        <v>#DIV/0!</v>
      </c>
      <c r="P1191" s="108" t="e">
        <f t="shared" si="2125"/>
        <v>#DIV/0!</v>
      </c>
      <c r="Q1191" s="109" t="e">
        <f t="shared" si="2125"/>
        <v>#DIV/0!</v>
      </c>
      <c r="R1191" s="110" t="e">
        <f t="shared" si="2125"/>
        <v>#DIV/0!</v>
      </c>
      <c r="S1191" s="105"/>
      <c r="T1191" s="91"/>
      <c r="U1191" s="100"/>
      <c r="V1191" s="92"/>
      <c r="W1191" s="101" t="s">
        <v>102</v>
      </c>
      <c r="X1191" s="106" t="e">
        <f t="shared" ref="X1191:AK1191" si="2126">X1190/X1189</f>
        <v>#DIV/0!</v>
      </c>
      <c r="Y1191" s="106" t="e">
        <f t="shared" si="2126"/>
        <v>#DIV/0!</v>
      </c>
      <c r="Z1191" s="106" t="e">
        <f t="shared" si="2126"/>
        <v>#DIV/0!</v>
      </c>
      <c r="AA1191" s="106" t="e">
        <f t="shared" si="2126"/>
        <v>#DIV/0!</v>
      </c>
      <c r="AB1191" s="106" t="e">
        <f t="shared" si="2126"/>
        <v>#DIV/0!</v>
      </c>
      <c r="AC1191" s="106" t="e">
        <f t="shared" si="2126"/>
        <v>#DIV/0!</v>
      </c>
      <c r="AD1191" s="106" t="e">
        <f t="shared" si="2126"/>
        <v>#DIV/0!</v>
      </c>
      <c r="AE1191" s="106" t="e">
        <f t="shared" si="2126"/>
        <v>#DIV/0!</v>
      </c>
      <c r="AF1191" s="107" t="e">
        <f t="shared" si="2126"/>
        <v>#DIV/0!</v>
      </c>
      <c r="AG1191" s="107" t="e">
        <f t="shared" si="2126"/>
        <v>#DIV/0!</v>
      </c>
      <c r="AH1191" s="107" t="e">
        <f t="shared" si="2126"/>
        <v>#DIV/0!</v>
      </c>
      <c r="AI1191" s="108" t="e">
        <f t="shared" si="2126"/>
        <v>#DIV/0!</v>
      </c>
      <c r="AJ1191" s="109" t="e">
        <f t="shared" si="2126"/>
        <v>#DIV/0!</v>
      </c>
      <c r="AK1191" s="110" t="e">
        <f t="shared" si="2126"/>
        <v>#DIV/0!</v>
      </c>
      <c r="AL1191" s="105"/>
    </row>
    <row r="1192" spans="1:38" ht="15.6" hidden="1" thickBot="1">
      <c r="A1192" s="91"/>
      <c r="B1192" s="100"/>
      <c r="C1192" s="111"/>
      <c r="D1192" s="112" t="s">
        <v>103</v>
      </c>
      <c r="E1192" s="113" t="e">
        <f t="shared" ref="E1192:R1192" si="2127">E1190/E1188</f>
        <v>#DIV/0!</v>
      </c>
      <c r="F1192" s="113" t="e">
        <f t="shared" si="2127"/>
        <v>#DIV/0!</v>
      </c>
      <c r="G1192" s="113" t="e">
        <f t="shared" si="2127"/>
        <v>#DIV/0!</v>
      </c>
      <c r="H1192" s="113" t="e">
        <f t="shared" si="2127"/>
        <v>#DIV/0!</v>
      </c>
      <c r="I1192" s="113" t="e">
        <f t="shared" si="2127"/>
        <v>#DIV/0!</v>
      </c>
      <c r="J1192" s="113" t="e">
        <f t="shared" si="2127"/>
        <v>#DIV/0!</v>
      </c>
      <c r="K1192" s="113" t="e">
        <f t="shared" si="2127"/>
        <v>#DIV/0!</v>
      </c>
      <c r="L1192" s="113" t="e">
        <f t="shared" si="2127"/>
        <v>#DIV/0!</v>
      </c>
      <c r="M1192" s="113" t="e">
        <f t="shared" si="2127"/>
        <v>#DIV/0!</v>
      </c>
      <c r="N1192" s="113" t="e">
        <f t="shared" si="2127"/>
        <v>#DIV/0!</v>
      </c>
      <c r="O1192" s="113" t="e">
        <f t="shared" si="2127"/>
        <v>#DIV/0!</v>
      </c>
      <c r="P1192" s="114" t="e">
        <f t="shared" si="2127"/>
        <v>#DIV/0!</v>
      </c>
      <c r="Q1192" s="115" t="e">
        <f t="shared" si="2127"/>
        <v>#DIV/0!</v>
      </c>
      <c r="R1192" s="116" t="e">
        <f t="shared" si="2127"/>
        <v>#DIV/0!</v>
      </c>
      <c r="T1192" s="91"/>
      <c r="U1192" s="100"/>
      <c r="V1192" s="111"/>
      <c r="W1192" s="112" t="s">
        <v>103</v>
      </c>
      <c r="X1192" s="113" t="e">
        <f t="shared" ref="X1192:AK1192" si="2128">X1190/X1188</f>
        <v>#DIV/0!</v>
      </c>
      <c r="Y1192" s="113" t="e">
        <f t="shared" si="2128"/>
        <v>#DIV/0!</v>
      </c>
      <c r="Z1192" s="113" t="e">
        <f t="shared" si="2128"/>
        <v>#DIV/0!</v>
      </c>
      <c r="AA1192" s="113" t="e">
        <f t="shared" si="2128"/>
        <v>#DIV/0!</v>
      </c>
      <c r="AB1192" s="113" t="e">
        <f t="shared" si="2128"/>
        <v>#DIV/0!</v>
      </c>
      <c r="AC1192" s="113" t="e">
        <f t="shared" si="2128"/>
        <v>#DIV/0!</v>
      </c>
      <c r="AD1192" s="113" t="e">
        <f t="shared" si="2128"/>
        <v>#DIV/0!</v>
      </c>
      <c r="AE1192" s="113" t="e">
        <f t="shared" si="2128"/>
        <v>#DIV/0!</v>
      </c>
      <c r="AF1192" s="113" t="e">
        <f t="shared" si="2128"/>
        <v>#DIV/0!</v>
      </c>
      <c r="AG1192" s="113" t="e">
        <f t="shared" si="2128"/>
        <v>#DIV/0!</v>
      </c>
      <c r="AH1192" s="113" t="e">
        <f t="shared" si="2128"/>
        <v>#DIV/0!</v>
      </c>
      <c r="AI1192" s="114" t="e">
        <f t="shared" si="2128"/>
        <v>#DIV/0!</v>
      </c>
      <c r="AJ1192" s="115" t="e">
        <f t="shared" si="2128"/>
        <v>#DIV/0!</v>
      </c>
      <c r="AK1192" s="116" t="e">
        <f t="shared" si="2128"/>
        <v>#DIV/0!</v>
      </c>
    </row>
    <row r="1193" spans="1:38" ht="15.6" hidden="1" thickBot="1">
      <c r="A1193" s="91"/>
      <c r="B1193" s="100"/>
      <c r="C1193" s="86"/>
      <c r="D1193" s="87">
        <v>2019</v>
      </c>
      <c r="E1193" s="88"/>
      <c r="F1193" s="121"/>
      <c r="G1193" s="121"/>
      <c r="H1193" s="121"/>
      <c r="I1193" s="121"/>
      <c r="J1193" s="121"/>
      <c r="K1193" s="121"/>
      <c r="L1193" s="121"/>
      <c r="M1193" s="122"/>
      <c r="N1193" s="122"/>
      <c r="O1193" s="122"/>
      <c r="P1193" s="123"/>
      <c r="Q1193" s="89">
        <f t="shared" ref="Q1193:Q1195" si="2129">SUM(E1193:P1193)</f>
        <v>0</v>
      </c>
      <c r="R1193" s="90">
        <f t="shared" ref="R1193" si="2130">SUM(E1193:M1193)</f>
        <v>0</v>
      </c>
      <c r="T1193" s="91"/>
      <c r="U1193" s="100"/>
      <c r="V1193" s="86">
        <f t="shared" ref="V1193:V1194" si="2131">C1193</f>
        <v>0</v>
      </c>
      <c r="W1193" s="87">
        <v>2019</v>
      </c>
      <c r="X1193" s="88"/>
      <c r="Y1193" s="121"/>
      <c r="Z1193" s="121"/>
      <c r="AA1193" s="121"/>
      <c r="AB1193" s="121"/>
      <c r="AC1193" s="121"/>
      <c r="AD1193" s="121"/>
      <c r="AE1193" s="121"/>
      <c r="AF1193" s="122"/>
      <c r="AG1193" s="122"/>
      <c r="AH1193" s="122"/>
      <c r="AI1193" s="123"/>
      <c r="AJ1193" s="89">
        <f t="shared" ref="AJ1193:AJ1195" si="2132">SUM(X1193:AI1193)</f>
        <v>0</v>
      </c>
      <c r="AK1193" s="90">
        <f t="shared" ref="AK1193:AK1195" si="2133">SUM(X1193:AF1193)</f>
        <v>0</v>
      </c>
    </row>
    <row r="1194" spans="1:38" ht="15.6" hidden="1" thickBot="1">
      <c r="A1194" s="91"/>
      <c r="B1194" s="100"/>
      <c r="C1194" s="92"/>
      <c r="D1194" s="93" t="s">
        <v>92</v>
      </c>
      <c r="E1194" s="94"/>
      <c r="F1194" s="97"/>
      <c r="G1194" s="97"/>
      <c r="H1194" s="97"/>
      <c r="I1194" s="97"/>
      <c r="J1194" s="97"/>
      <c r="K1194" s="97"/>
      <c r="L1194" s="97"/>
      <c r="M1194" s="98"/>
      <c r="N1194" s="98"/>
      <c r="O1194" s="98"/>
      <c r="P1194" s="99"/>
      <c r="Q1194" s="95">
        <f t="shared" si="2129"/>
        <v>0</v>
      </c>
      <c r="R1194" s="96">
        <f t="shared" si="2103"/>
        <v>0</v>
      </c>
      <c r="T1194" s="91"/>
      <c r="U1194" s="100"/>
      <c r="V1194" s="92">
        <f t="shared" si="2131"/>
        <v>0</v>
      </c>
      <c r="W1194" s="93" t="s">
        <v>92</v>
      </c>
      <c r="X1194" s="94"/>
      <c r="Y1194" s="97"/>
      <c r="Z1194" s="97"/>
      <c r="AA1194" s="97"/>
      <c r="AB1194" s="97"/>
      <c r="AC1194" s="97"/>
      <c r="AD1194" s="97"/>
      <c r="AE1194" s="97"/>
      <c r="AF1194" s="98"/>
      <c r="AG1194" s="98"/>
      <c r="AH1194" s="98"/>
      <c r="AI1194" s="99"/>
      <c r="AJ1194" s="95">
        <f t="shared" si="2132"/>
        <v>0</v>
      </c>
      <c r="AK1194" s="96">
        <f t="shared" si="2133"/>
        <v>0</v>
      </c>
    </row>
    <row r="1195" spans="1:38" ht="15.6" hidden="1" thickBot="1">
      <c r="A1195" s="91"/>
      <c r="B1195" s="100"/>
      <c r="C1195" s="92"/>
      <c r="D1195" s="101">
        <v>2020</v>
      </c>
      <c r="E1195" s="102"/>
      <c r="F1195" s="124"/>
      <c r="G1195" s="124"/>
      <c r="H1195" s="124"/>
      <c r="I1195" s="124"/>
      <c r="J1195" s="124"/>
      <c r="K1195" s="124"/>
      <c r="L1195" s="124"/>
      <c r="M1195" s="125"/>
      <c r="N1195" s="125"/>
      <c r="O1195" s="125"/>
      <c r="P1195" s="126"/>
      <c r="Q1195" s="103">
        <f t="shared" si="2129"/>
        <v>0</v>
      </c>
      <c r="R1195" s="104">
        <f t="shared" si="2103"/>
        <v>0</v>
      </c>
      <c r="S1195" s="105"/>
      <c r="T1195" s="91"/>
      <c r="U1195" s="100"/>
      <c r="V1195" s="92"/>
      <c r="W1195" s="101">
        <v>2020</v>
      </c>
      <c r="X1195" s="102"/>
      <c r="Y1195" s="124"/>
      <c r="Z1195" s="124"/>
      <c r="AA1195" s="124"/>
      <c r="AB1195" s="124"/>
      <c r="AC1195" s="124"/>
      <c r="AD1195" s="124"/>
      <c r="AE1195" s="124"/>
      <c r="AF1195" s="125"/>
      <c r="AG1195" s="125"/>
      <c r="AH1195" s="125"/>
      <c r="AI1195" s="126"/>
      <c r="AJ1195" s="103">
        <f t="shared" si="2132"/>
        <v>0</v>
      </c>
      <c r="AK1195" s="104">
        <f t="shared" si="2133"/>
        <v>0</v>
      </c>
      <c r="AL1195" s="105"/>
    </row>
    <row r="1196" spans="1:38" ht="15.6" hidden="1" thickBot="1">
      <c r="A1196" s="91"/>
      <c r="B1196" s="100"/>
      <c r="C1196" s="92"/>
      <c r="D1196" s="101" t="s">
        <v>102</v>
      </c>
      <c r="E1196" s="106" t="e">
        <f t="shared" ref="E1196:R1196" si="2134">E1195/E1194</f>
        <v>#DIV/0!</v>
      </c>
      <c r="F1196" s="106" t="e">
        <f t="shared" si="2134"/>
        <v>#DIV/0!</v>
      </c>
      <c r="G1196" s="106" t="e">
        <f t="shared" si="2134"/>
        <v>#DIV/0!</v>
      </c>
      <c r="H1196" s="106" t="e">
        <f t="shared" si="2134"/>
        <v>#DIV/0!</v>
      </c>
      <c r="I1196" s="106" t="e">
        <f t="shared" si="2134"/>
        <v>#DIV/0!</v>
      </c>
      <c r="J1196" s="106" t="e">
        <f t="shared" si="2134"/>
        <v>#DIV/0!</v>
      </c>
      <c r="K1196" s="106" t="e">
        <f t="shared" si="2134"/>
        <v>#DIV/0!</v>
      </c>
      <c r="L1196" s="106" t="e">
        <f t="shared" si="2134"/>
        <v>#DIV/0!</v>
      </c>
      <c r="M1196" s="107" t="e">
        <f t="shared" si="2134"/>
        <v>#DIV/0!</v>
      </c>
      <c r="N1196" s="107" t="e">
        <f t="shared" si="2134"/>
        <v>#DIV/0!</v>
      </c>
      <c r="O1196" s="107" t="e">
        <f t="shared" si="2134"/>
        <v>#DIV/0!</v>
      </c>
      <c r="P1196" s="108" t="e">
        <f t="shared" si="2134"/>
        <v>#DIV/0!</v>
      </c>
      <c r="Q1196" s="109" t="e">
        <f t="shared" si="2134"/>
        <v>#DIV/0!</v>
      </c>
      <c r="R1196" s="110" t="e">
        <f t="shared" si="2134"/>
        <v>#DIV/0!</v>
      </c>
      <c r="S1196" s="105"/>
      <c r="T1196" s="91"/>
      <c r="U1196" s="100"/>
      <c r="V1196" s="92"/>
      <c r="W1196" s="101" t="s">
        <v>102</v>
      </c>
      <c r="X1196" s="106" t="e">
        <f t="shared" ref="X1196:AK1196" si="2135">X1195/X1194</f>
        <v>#DIV/0!</v>
      </c>
      <c r="Y1196" s="106" t="e">
        <f t="shared" si="2135"/>
        <v>#DIV/0!</v>
      </c>
      <c r="Z1196" s="106" t="e">
        <f t="shared" si="2135"/>
        <v>#DIV/0!</v>
      </c>
      <c r="AA1196" s="106" t="e">
        <f t="shared" si="2135"/>
        <v>#DIV/0!</v>
      </c>
      <c r="AB1196" s="106" t="e">
        <f t="shared" si="2135"/>
        <v>#DIV/0!</v>
      </c>
      <c r="AC1196" s="106" t="e">
        <f t="shared" si="2135"/>
        <v>#DIV/0!</v>
      </c>
      <c r="AD1196" s="106" t="e">
        <f t="shared" si="2135"/>
        <v>#DIV/0!</v>
      </c>
      <c r="AE1196" s="106" t="e">
        <f t="shared" si="2135"/>
        <v>#DIV/0!</v>
      </c>
      <c r="AF1196" s="107" t="e">
        <f t="shared" si="2135"/>
        <v>#DIV/0!</v>
      </c>
      <c r="AG1196" s="107" t="e">
        <f t="shared" si="2135"/>
        <v>#DIV/0!</v>
      </c>
      <c r="AH1196" s="107" t="e">
        <f t="shared" si="2135"/>
        <v>#DIV/0!</v>
      </c>
      <c r="AI1196" s="108" t="e">
        <f t="shared" si="2135"/>
        <v>#DIV/0!</v>
      </c>
      <c r="AJ1196" s="109" t="e">
        <f t="shared" si="2135"/>
        <v>#DIV/0!</v>
      </c>
      <c r="AK1196" s="110" t="e">
        <f t="shared" si="2135"/>
        <v>#DIV/0!</v>
      </c>
      <c r="AL1196" s="105"/>
    </row>
    <row r="1197" spans="1:38" ht="15.6" hidden="1" thickBot="1">
      <c r="A1197" s="91"/>
      <c r="B1197" s="100"/>
      <c r="C1197" s="111"/>
      <c r="D1197" s="112" t="s">
        <v>103</v>
      </c>
      <c r="E1197" s="113" t="e">
        <f t="shared" ref="E1197:R1197" si="2136">E1195/E1193</f>
        <v>#DIV/0!</v>
      </c>
      <c r="F1197" s="113" t="e">
        <f t="shared" si="2136"/>
        <v>#DIV/0!</v>
      </c>
      <c r="G1197" s="113" t="e">
        <f t="shared" si="2136"/>
        <v>#DIV/0!</v>
      </c>
      <c r="H1197" s="113" t="e">
        <f t="shared" si="2136"/>
        <v>#DIV/0!</v>
      </c>
      <c r="I1197" s="113" t="e">
        <f t="shared" si="2136"/>
        <v>#DIV/0!</v>
      </c>
      <c r="J1197" s="113" t="e">
        <f t="shared" si="2136"/>
        <v>#DIV/0!</v>
      </c>
      <c r="K1197" s="113" t="e">
        <f t="shared" si="2136"/>
        <v>#DIV/0!</v>
      </c>
      <c r="L1197" s="113" t="e">
        <f t="shared" si="2136"/>
        <v>#DIV/0!</v>
      </c>
      <c r="M1197" s="113" t="e">
        <f t="shared" si="2136"/>
        <v>#DIV/0!</v>
      </c>
      <c r="N1197" s="113" t="e">
        <f t="shared" si="2136"/>
        <v>#DIV/0!</v>
      </c>
      <c r="O1197" s="113" t="e">
        <f t="shared" si="2136"/>
        <v>#DIV/0!</v>
      </c>
      <c r="P1197" s="114" t="e">
        <f t="shared" si="2136"/>
        <v>#DIV/0!</v>
      </c>
      <c r="Q1197" s="115" t="e">
        <f t="shared" si="2136"/>
        <v>#DIV/0!</v>
      </c>
      <c r="R1197" s="116" t="e">
        <f t="shared" si="2136"/>
        <v>#DIV/0!</v>
      </c>
      <c r="T1197" s="91"/>
      <c r="U1197" s="100"/>
      <c r="V1197" s="111"/>
      <c r="W1197" s="112" t="s">
        <v>103</v>
      </c>
      <c r="X1197" s="113" t="e">
        <f t="shared" ref="X1197:AK1197" si="2137">X1195/X1193</f>
        <v>#DIV/0!</v>
      </c>
      <c r="Y1197" s="113" t="e">
        <f t="shared" si="2137"/>
        <v>#DIV/0!</v>
      </c>
      <c r="Z1197" s="113" t="e">
        <f t="shared" si="2137"/>
        <v>#DIV/0!</v>
      </c>
      <c r="AA1197" s="113" t="e">
        <f t="shared" si="2137"/>
        <v>#DIV/0!</v>
      </c>
      <c r="AB1197" s="113" t="e">
        <f t="shared" si="2137"/>
        <v>#DIV/0!</v>
      </c>
      <c r="AC1197" s="113" t="e">
        <f t="shared" si="2137"/>
        <v>#DIV/0!</v>
      </c>
      <c r="AD1197" s="113" t="e">
        <f t="shared" si="2137"/>
        <v>#DIV/0!</v>
      </c>
      <c r="AE1197" s="113" t="e">
        <f t="shared" si="2137"/>
        <v>#DIV/0!</v>
      </c>
      <c r="AF1197" s="113" t="e">
        <f t="shared" si="2137"/>
        <v>#DIV/0!</v>
      </c>
      <c r="AG1197" s="113" t="e">
        <f t="shared" si="2137"/>
        <v>#DIV/0!</v>
      </c>
      <c r="AH1197" s="113" t="e">
        <f t="shared" si="2137"/>
        <v>#DIV/0!</v>
      </c>
      <c r="AI1197" s="114" t="e">
        <f t="shared" si="2137"/>
        <v>#DIV/0!</v>
      </c>
      <c r="AJ1197" s="115" t="e">
        <f t="shared" si="2137"/>
        <v>#DIV/0!</v>
      </c>
      <c r="AK1197" s="116" t="e">
        <f t="shared" si="2137"/>
        <v>#DIV/0!</v>
      </c>
    </row>
    <row r="1198" spans="1:38" ht="15.6" hidden="1" thickBot="1">
      <c r="A1198" s="91"/>
      <c r="B1198" s="100"/>
      <c r="C1198" s="86" t="s">
        <v>116</v>
      </c>
      <c r="D1198" s="87">
        <v>2019</v>
      </c>
      <c r="E1198" s="88"/>
      <c r="F1198" s="121"/>
      <c r="G1198" s="121"/>
      <c r="H1198" s="121"/>
      <c r="I1198" s="121"/>
      <c r="J1198" s="121"/>
      <c r="K1198" s="121"/>
      <c r="L1198" s="121"/>
      <c r="M1198" s="122"/>
      <c r="N1198" s="122"/>
      <c r="O1198" s="122"/>
      <c r="P1198" s="123"/>
      <c r="Q1198" s="89">
        <f t="shared" ref="Q1198:Q1200" si="2138">SUM(E1198:P1198)</f>
        <v>0</v>
      </c>
      <c r="R1198" s="90">
        <f t="shared" ref="R1198" si="2139">SUM(E1198:M1198)</f>
        <v>0</v>
      </c>
      <c r="T1198" s="91"/>
      <c r="U1198" s="100"/>
      <c r="V1198" s="86" t="str">
        <f t="shared" ref="V1198:V1199" si="2140">C1198</f>
        <v>その他</v>
      </c>
      <c r="W1198" s="87">
        <v>2019</v>
      </c>
      <c r="X1198" s="88"/>
      <c r="Y1198" s="121"/>
      <c r="Z1198" s="121"/>
      <c r="AA1198" s="121"/>
      <c r="AB1198" s="121"/>
      <c r="AC1198" s="121"/>
      <c r="AD1198" s="121"/>
      <c r="AE1198" s="121"/>
      <c r="AF1198" s="122"/>
      <c r="AG1198" s="122"/>
      <c r="AH1198" s="122"/>
      <c r="AI1198" s="123"/>
      <c r="AJ1198" s="89">
        <f t="shared" ref="AJ1198:AJ1200" si="2141">SUM(X1198:AI1198)</f>
        <v>0</v>
      </c>
      <c r="AK1198" s="90">
        <f t="shared" ref="AK1198:AK1200" si="2142">SUM(X1198:AF1198)</f>
        <v>0</v>
      </c>
    </row>
    <row r="1199" spans="1:38" ht="15.6" hidden="1" thickBot="1">
      <c r="A1199" s="91"/>
      <c r="B1199" s="100"/>
      <c r="C1199" s="92" t="s">
        <v>129</v>
      </c>
      <c r="D1199" s="93" t="s">
        <v>92</v>
      </c>
      <c r="E1199" s="94"/>
      <c r="F1199" s="97"/>
      <c r="G1199" s="97"/>
      <c r="H1199" s="97"/>
      <c r="I1199" s="97"/>
      <c r="J1199" s="97"/>
      <c r="K1199" s="97"/>
      <c r="L1199" s="97"/>
      <c r="M1199" s="98"/>
      <c r="N1199" s="98"/>
      <c r="O1199" s="98"/>
      <c r="P1199" s="99"/>
      <c r="Q1199" s="95">
        <f t="shared" si="2138"/>
        <v>0</v>
      </c>
      <c r="R1199" s="96">
        <f t="shared" si="2103"/>
        <v>0</v>
      </c>
      <c r="T1199" s="91"/>
      <c r="U1199" s="100"/>
      <c r="V1199" s="92" t="str">
        <f t="shared" si="2140"/>
        <v>Others</v>
      </c>
      <c r="W1199" s="93" t="s">
        <v>92</v>
      </c>
      <c r="X1199" s="94"/>
      <c r="Y1199" s="97"/>
      <c r="Z1199" s="97"/>
      <c r="AA1199" s="97"/>
      <c r="AB1199" s="97"/>
      <c r="AC1199" s="97"/>
      <c r="AD1199" s="97"/>
      <c r="AE1199" s="97"/>
      <c r="AF1199" s="98"/>
      <c r="AG1199" s="98"/>
      <c r="AH1199" s="98"/>
      <c r="AI1199" s="99"/>
      <c r="AJ1199" s="95">
        <f t="shared" si="2141"/>
        <v>0</v>
      </c>
      <c r="AK1199" s="96">
        <f t="shared" si="2142"/>
        <v>0</v>
      </c>
    </row>
    <row r="1200" spans="1:38" ht="15.6" hidden="1" thickBot="1">
      <c r="A1200" s="91"/>
      <c r="B1200" s="100"/>
      <c r="C1200" s="92"/>
      <c r="D1200" s="101">
        <v>2020</v>
      </c>
      <c r="E1200" s="102"/>
      <c r="F1200" s="124"/>
      <c r="G1200" s="124"/>
      <c r="H1200" s="124"/>
      <c r="I1200" s="124"/>
      <c r="J1200" s="124"/>
      <c r="K1200" s="124"/>
      <c r="L1200" s="124"/>
      <c r="M1200" s="125"/>
      <c r="N1200" s="125"/>
      <c r="O1200" s="125"/>
      <c r="P1200" s="126"/>
      <c r="Q1200" s="103">
        <f t="shared" si="2138"/>
        <v>0</v>
      </c>
      <c r="R1200" s="104">
        <f t="shared" si="2103"/>
        <v>0</v>
      </c>
      <c r="S1200" s="105"/>
      <c r="T1200" s="91"/>
      <c r="U1200" s="100"/>
      <c r="V1200" s="92"/>
      <c r="W1200" s="101">
        <v>2020</v>
      </c>
      <c r="X1200" s="102"/>
      <c r="Y1200" s="124"/>
      <c r="Z1200" s="124"/>
      <c r="AA1200" s="124"/>
      <c r="AB1200" s="124"/>
      <c r="AC1200" s="124"/>
      <c r="AD1200" s="124"/>
      <c r="AE1200" s="124"/>
      <c r="AF1200" s="125"/>
      <c r="AG1200" s="125"/>
      <c r="AH1200" s="125"/>
      <c r="AI1200" s="126"/>
      <c r="AJ1200" s="103">
        <f t="shared" si="2141"/>
        <v>0</v>
      </c>
      <c r="AK1200" s="104">
        <f t="shared" si="2142"/>
        <v>0</v>
      </c>
      <c r="AL1200" s="105"/>
    </row>
    <row r="1201" spans="1:38" ht="15.6" hidden="1" thickBot="1">
      <c r="A1201" s="91"/>
      <c r="B1201" s="100"/>
      <c r="C1201" s="92"/>
      <c r="D1201" s="101" t="s">
        <v>102</v>
      </c>
      <c r="E1201" s="106" t="e">
        <f t="shared" ref="E1201:R1201" si="2143">E1200/E1199</f>
        <v>#DIV/0!</v>
      </c>
      <c r="F1201" s="106" t="e">
        <f t="shared" si="2143"/>
        <v>#DIV/0!</v>
      </c>
      <c r="G1201" s="106" t="e">
        <f t="shared" si="2143"/>
        <v>#DIV/0!</v>
      </c>
      <c r="H1201" s="106" t="e">
        <f t="shared" si="2143"/>
        <v>#DIV/0!</v>
      </c>
      <c r="I1201" s="106" t="e">
        <f t="shared" si="2143"/>
        <v>#DIV/0!</v>
      </c>
      <c r="J1201" s="106" t="e">
        <f t="shared" si="2143"/>
        <v>#DIV/0!</v>
      </c>
      <c r="K1201" s="106" t="e">
        <f t="shared" si="2143"/>
        <v>#DIV/0!</v>
      </c>
      <c r="L1201" s="106" t="e">
        <f t="shared" si="2143"/>
        <v>#DIV/0!</v>
      </c>
      <c r="M1201" s="107" t="e">
        <f t="shared" si="2143"/>
        <v>#DIV/0!</v>
      </c>
      <c r="N1201" s="107" t="e">
        <f t="shared" si="2143"/>
        <v>#DIV/0!</v>
      </c>
      <c r="O1201" s="107" t="e">
        <f t="shared" si="2143"/>
        <v>#DIV/0!</v>
      </c>
      <c r="P1201" s="108" t="e">
        <f t="shared" si="2143"/>
        <v>#DIV/0!</v>
      </c>
      <c r="Q1201" s="109" t="e">
        <f t="shared" si="2143"/>
        <v>#DIV/0!</v>
      </c>
      <c r="R1201" s="110" t="e">
        <f t="shared" si="2143"/>
        <v>#DIV/0!</v>
      </c>
      <c r="S1201" s="105"/>
      <c r="T1201" s="91"/>
      <c r="U1201" s="100"/>
      <c r="V1201" s="92"/>
      <c r="W1201" s="101" t="s">
        <v>102</v>
      </c>
      <c r="X1201" s="106" t="e">
        <f t="shared" ref="X1201:AK1201" si="2144">X1200/X1199</f>
        <v>#DIV/0!</v>
      </c>
      <c r="Y1201" s="106" t="e">
        <f t="shared" si="2144"/>
        <v>#DIV/0!</v>
      </c>
      <c r="Z1201" s="106" t="e">
        <f t="shared" si="2144"/>
        <v>#DIV/0!</v>
      </c>
      <c r="AA1201" s="106" t="e">
        <f t="shared" si="2144"/>
        <v>#DIV/0!</v>
      </c>
      <c r="AB1201" s="106" t="e">
        <f t="shared" si="2144"/>
        <v>#DIV/0!</v>
      </c>
      <c r="AC1201" s="106" t="e">
        <f t="shared" si="2144"/>
        <v>#DIV/0!</v>
      </c>
      <c r="AD1201" s="106" t="e">
        <f t="shared" si="2144"/>
        <v>#DIV/0!</v>
      </c>
      <c r="AE1201" s="106" t="e">
        <f t="shared" si="2144"/>
        <v>#DIV/0!</v>
      </c>
      <c r="AF1201" s="107" t="e">
        <f t="shared" si="2144"/>
        <v>#DIV/0!</v>
      </c>
      <c r="AG1201" s="107" t="e">
        <f t="shared" si="2144"/>
        <v>#DIV/0!</v>
      </c>
      <c r="AH1201" s="107" t="e">
        <f t="shared" si="2144"/>
        <v>#DIV/0!</v>
      </c>
      <c r="AI1201" s="108" t="e">
        <f t="shared" si="2144"/>
        <v>#DIV/0!</v>
      </c>
      <c r="AJ1201" s="109" t="e">
        <f t="shared" si="2144"/>
        <v>#DIV/0!</v>
      </c>
      <c r="AK1201" s="110" t="e">
        <f t="shared" si="2144"/>
        <v>#DIV/0!</v>
      </c>
      <c r="AL1201" s="105"/>
    </row>
    <row r="1202" spans="1:38" ht="15.6" hidden="1" thickBot="1">
      <c r="A1202" s="91"/>
      <c r="B1202" s="100"/>
      <c r="C1202" s="111"/>
      <c r="D1202" s="112" t="s">
        <v>103</v>
      </c>
      <c r="E1202" s="113" t="e">
        <f t="shared" ref="E1202:R1202" si="2145">E1200/E1198</f>
        <v>#DIV/0!</v>
      </c>
      <c r="F1202" s="113" t="e">
        <f t="shared" si="2145"/>
        <v>#DIV/0!</v>
      </c>
      <c r="G1202" s="113" t="e">
        <f t="shared" si="2145"/>
        <v>#DIV/0!</v>
      </c>
      <c r="H1202" s="113" t="e">
        <f t="shared" si="2145"/>
        <v>#DIV/0!</v>
      </c>
      <c r="I1202" s="113" t="e">
        <f t="shared" si="2145"/>
        <v>#DIV/0!</v>
      </c>
      <c r="J1202" s="113" t="e">
        <f t="shared" si="2145"/>
        <v>#DIV/0!</v>
      </c>
      <c r="K1202" s="113" t="e">
        <f t="shared" si="2145"/>
        <v>#DIV/0!</v>
      </c>
      <c r="L1202" s="113" t="e">
        <f t="shared" si="2145"/>
        <v>#DIV/0!</v>
      </c>
      <c r="M1202" s="113" t="e">
        <f t="shared" si="2145"/>
        <v>#DIV/0!</v>
      </c>
      <c r="N1202" s="113" t="e">
        <f t="shared" si="2145"/>
        <v>#DIV/0!</v>
      </c>
      <c r="O1202" s="113" t="e">
        <f t="shared" si="2145"/>
        <v>#DIV/0!</v>
      </c>
      <c r="P1202" s="114" t="e">
        <f t="shared" si="2145"/>
        <v>#DIV/0!</v>
      </c>
      <c r="Q1202" s="115" t="e">
        <f t="shared" si="2145"/>
        <v>#DIV/0!</v>
      </c>
      <c r="R1202" s="116" t="e">
        <f t="shared" si="2145"/>
        <v>#DIV/0!</v>
      </c>
      <c r="T1202" s="91"/>
      <c r="U1202" s="100"/>
      <c r="V1202" s="111"/>
      <c r="W1202" s="112" t="s">
        <v>103</v>
      </c>
      <c r="X1202" s="113" t="e">
        <f t="shared" ref="X1202:AK1202" si="2146">X1200/X1198</f>
        <v>#DIV/0!</v>
      </c>
      <c r="Y1202" s="113" t="e">
        <f t="shared" si="2146"/>
        <v>#DIV/0!</v>
      </c>
      <c r="Z1202" s="113" t="e">
        <f t="shared" si="2146"/>
        <v>#DIV/0!</v>
      </c>
      <c r="AA1202" s="113" t="e">
        <f t="shared" si="2146"/>
        <v>#DIV/0!</v>
      </c>
      <c r="AB1202" s="113" t="e">
        <f t="shared" si="2146"/>
        <v>#DIV/0!</v>
      </c>
      <c r="AC1202" s="113" t="e">
        <f t="shared" si="2146"/>
        <v>#DIV/0!</v>
      </c>
      <c r="AD1202" s="113" t="e">
        <f t="shared" si="2146"/>
        <v>#DIV/0!</v>
      </c>
      <c r="AE1202" s="113" t="e">
        <f t="shared" si="2146"/>
        <v>#DIV/0!</v>
      </c>
      <c r="AF1202" s="113" t="e">
        <f t="shared" si="2146"/>
        <v>#DIV/0!</v>
      </c>
      <c r="AG1202" s="113" t="e">
        <f t="shared" si="2146"/>
        <v>#DIV/0!</v>
      </c>
      <c r="AH1202" s="113" t="e">
        <f t="shared" si="2146"/>
        <v>#DIV/0!</v>
      </c>
      <c r="AI1202" s="114" t="e">
        <f t="shared" si="2146"/>
        <v>#DIV/0!</v>
      </c>
      <c r="AJ1202" s="115" t="e">
        <f t="shared" si="2146"/>
        <v>#DIV/0!</v>
      </c>
      <c r="AK1202" s="116" t="e">
        <f t="shared" si="2146"/>
        <v>#DIV/0!</v>
      </c>
    </row>
    <row r="1203" spans="1:38" ht="15.75" hidden="1" customHeight="1">
      <c r="A1203" s="91"/>
      <c r="B1203" s="303" t="s">
        <v>168</v>
      </c>
      <c r="C1203" s="304"/>
      <c r="D1203" s="127">
        <v>2019</v>
      </c>
      <c r="E1203" s="128">
        <f>SUM(E1198,E1193,E1188,E1183,E1178,E1173,E1168,E1163,E1158,E1153,E1148,E1143,E1138,E1133)</f>
        <v>0</v>
      </c>
      <c r="F1203" s="129">
        <f t="shared" ref="F1203:P1203" si="2147">SUM(F1198,F1193,F1188,F1183,F1178,F1173,F1168,F1163,F1158,F1153,F1148,F1143,F1138,F1133)</f>
        <v>0</v>
      </c>
      <c r="G1203" s="129">
        <f t="shared" si="2147"/>
        <v>0</v>
      </c>
      <c r="H1203" s="129">
        <f t="shared" si="2147"/>
        <v>0</v>
      </c>
      <c r="I1203" s="129">
        <f t="shared" si="2147"/>
        <v>0</v>
      </c>
      <c r="J1203" s="129">
        <f t="shared" si="2147"/>
        <v>0</v>
      </c>
      <c r="K1203" s="129">
        <f t="shared" si="2147"/>
        <v>0</v>
      </c>
      <c r="L1203" s="129">
        <f t="shared" si="2147"/>
        <v>0</v>
      </c>
      <c r="M1203" s="129">
        <f t="shared" si="2147"/>
        <v>0</v>
      </c>
      <c r="N1203" s="129">
        <f t="shared" si="2147"/>
        <v>0</v>
      </c>
      <c r="O1203" s="129">
        <f t="shared" si="2147"/>
        <v>0</v>
      </c>
      <c r="P1203" s="130">
        <f t="shared" si="2147"/>
        <v>0</v>
      </c>
      <c r="Q1203" s="131">
        <f>SUM(E1203:P1203)</f>
        <v>0</v>
      </c>
      <c r="R1203" s="90">
        <f t="shared" ref="R1203" si="2148">SUM(E1203:M1203)</f>
        <v>0</v>
      </c>
      <c r="T1203" s="91"/>
      <c r="U1203" s="309" t="s">
        <v>168</v>
      </c>
      <c r="V1203" s="310"/>
      <c r="W1203" s="132">
        <v>2019</v>
      </c>
      <c r="X1203" s="133">
        <f>SUM(X1198,X1193,X1188,X1183,X1178,X1173,X1168,X1163,X1158,X1153,X1148,X1143,X1138,X1133)</f>
        <v>0</v>
      </c>
      <c r="Y1203" s="134">
        <f t="shared" ref="Y1203:AI1203" si="2149">SUM(Y1198,Y1193,Y1188,Y1183,Y1178,Y1173,Y1168,Y1163,Y1158,Y1153,Y1148,Y1143,Y1138,Y1133)</f>
        <v>0</v>
      </c>
      <c r="Z1203" s="134">
        <f t="shared" si="2149"/>
        <v>0</v>
      </c>
      <c r="AA1203" s="134">
        <f t="shared" si="2149"/>
        <v>0</v>
      </c>
      <c r="AB1203" s="134">
        <f t="shared" si="2149"/>
        <v>0</v>
      </c>
      <c r="AC1203" s="134">
        <f t="shared" si="2149"/>
        <v>0</v>
      </c>
      <c r="AD1203" s="134">
        <f t="shared" si="2149"/>
        <v>0</v>
      </c>
      <c r="AE1203" s="134">
        <f t="shared" si="2149"/>
        <v>0</v>
      </c>
      <c r="AF1203" s="134">
        <f t="shared" si="2149"/>
        <v>0</v>
      </c>
      <c r="AG1203" s="134">
        <f t="shared" si="2149"/>
        <v>0</v>
      </c>
      <c r="AH1203" s="134">
        <f t="shared" si="2149"/>
        <v>0</v>
      </c>
      <c r="AI1203" s="135">
        <f t="shared" si="2149"/>
        <v>0</v>
      </c>
      <c r="AJ1203" s="136">
        <f>SUM(X1203:AI1203)</f>
        <v>0</v>
      </c>
      <c r="AK1203" s="90">
        <f t="shared" ref="AK1203:AK1205" si="2150">SUM(X1203:AF1203)</f>
        <v>0</v>
      </c>
    </row>
    <row r="1204" spans="1:38" ht="15.75" hidden="1" customHeight="1">
      <c r="A1204" s="91"/>
      <c r="B1204" s="305"/>
      <c r="C1204" s="306"/>
      <c r="D1204" s="137" t="s">
        <v>92</v>
      </c>
      <c r="E1204" s="138">
        <f t="shared" ref="E1204:P1205" si="2151">SUM(E1199,E1194,E1189,E1184,E1179,E1174,E1169,E1164,E1159,E1154,E1149,E1144,E1139,E1134)</f>
        <v>0</v>
      </c>
      <c r="F1204" s="138">
        <f t="shared" si="2151"/>
        <v>0</v>
      </c>
      <c r="G1204" s="138">
        <f t="shared" si="2151"/>
        <v>0</v>
      </c>
      <c r="H1204" s="138">
        <f t="shared" si="2151"/>
        <v>0</v>
      </c>
      <c r="I1204" s="138">
        <f t="shared" si="2151"/>
        <v>0</v>
      </c>
      <c r="J1204" s="138">
        <f t="shared" si="2151"/>
        <v>0</v>
      </c>
      <c r="K1204" s="138">
        <f t="shared" si="2151"/>
        <v>0</v>
      </c>
      <c r="L1204" s="138">
        <f t="shared" si="2151"/>
        <v>0</v>
      </c>
      <c r="M1204" s="138">
        <f t="shared" si="2151"/>
        <v>0</v>
      </c>
      <c r="N1204" s="138">
        <f t="shared" si="2151"/>
        <v>0</v>
      </c>
      <c r="O1204" s="138">
        <f t="shared" si="2151"/>
        <v>0</v>
      </c>
      <c r="P1204" s="138">
        <f t="shared" si="2151"/>
        <v>0</v>
      </c>
      <c r="Q1204" s="139">
        <f t="shared" ref="Q1204:Q1205" si="2152">SUM(E1204:P1204)</f>
        <v>0</v>
      </c>
      <c r="R1204" s="96">
        <f t="shared" si="2103"/>
        <v>0</v>
      </c>
      <c r="T1204" s="91"/>
      <c r="U1204" s="311"/>
      <c r="V1204" s="312"/>
      <c r="W1204" s="140" t="s">
        <v>92</v>
      </c>
      <c r="X1204" s="141">
        <f t="shared" ref="X1204:AI1205" si="2153">SUM(X1199,X1194,X1189,X1184,X1179,X1174,X1169,X1164,X1159,X1154,X1149,X1144,X1139,X1134)</f>
        <v>0</v>
      </c>
      <c r="Y1204" s="141">
        <f t="shared" si="2153"/>
        <v>0</v>
      </c>
      <c r="Z1204" s="141">
        <f t="shared" si="2153"/>
        <v>0</v>
      </c>
      <c r="AA1204" s="141">
        <f t="shared" si="2153"/>
        <v>0</v>
      </c>
      <c r="AB1204" s="141">
        <f t="shared" si="2153"/>
        <v>0</v>
      </c>
      <c r="AC1204" s="141">
        <f t="shared" si="2153"/>
        <v>0</v>
      </c>
      <c r="AD1204" s="141">
        <f t="shared" si="2153"/>
        <v>0</v>
      </c>
      <c r="AE1204" s="141">
        <f t="shared" si="2153"/>
        <v>0</v>
      </c>
      <c r="AF1204" s="141">
        <f t="shared" si="2153"/>
        <v>0</v>
      </c>
      <c r="AG1204" s="141">
        <f t="shared" si="2153"/>
        <v>0</v>
      </c>
      <c r="AH1204" s="141">
        <f t="shared" si="2153"/>
        <v>0</v>
      </c>
      <c r="AI1204" s="141">
        <f t="shared" si="2153"/>
        <v>0</v>
      </c>
      <c r="AJ1204" s="142">
        <f t="shared" ref="AJ1204:AJ1205" si="2154">SUM(X1204:AI1204)</f>
        <v>0</v>
      </c>
      <c r="AK1204" s="96">
        <f t="shared" si="2150"/>
        <v>0</v>
      </c>
    </row>
    <row r="1205" spans="1:38" ht="15.75" hidden="1" customHeight="1">
      <c r="A1205" s="91"/>
      <c r="B1205" s="305"/>
      <c r="C1205" s="306"/>
      <c r="D1205" s="143">
        <v>2020</v>
      </c>
      <c r="E1205" s="144">
        <f>SUM(E1200,E1195,E1190,E1185,E1180,E1175,E1170,E1165,E1160,E1155,E1150,E1145,E1140,E1135)</f>
        <v>0</v>
      </c>
      <c r="F1205" s="144">
        <f t="shared" si="2151"/>
        <v>0</v>
      </c>
      <c r="G1205" s="144">
        <f t="shared" si="2151"/>
        <v>0</v>
      </c>
      <c r="H1205" s="144">
        <f t="shared" si="2151"/>
        <v>0</v>
      </c>
      <c r="I1205" s="144">
        <f t="shared" si="2151"/>
        <v>0</v>
      </c>
      <c r="J1205" s="144">
        <f t="shared" si="2151"/>
        <v>0</v>
      </c>
      <c r="K1205" s="144">
        <f t="shared" si="2151"/>
        <v>0</v>
      </c>
      <c r="L1205" s="144">
        <f t="shared" si="2151"/>
        <v>0</v>
      </c>
      <c r="M1205" s="144">
        <f t="shared" si="2151"/>
        <v>0</v>
      </c>
      <c r="N1205" s="144">
        <f t="shared" si="2151"/>
        <v>0</v>
      </c>
      <c r="O1205" s="144">
        <f t="shared" si="2151"/>
        <v>0</v>
      </c>
      <c r="P1205" s="144">
        <f t="shared" si="2151"/>
        <v>0</v>
      </c>
      <c r="Q1205" s="145">
        <f t="shared" si="2152"/>
        <v>0</v>
      </c>
      <c r="R1205" s="104">
        <f t="shared" si="2103"/>
        <v>0</v>
      </c>
      <c r="S1205" s="105"/>
      <c r="T1205" s="91"/>
      <c r="U1205" s="311"/>
      <c r="V1205" s="312"/>
      <c r="W1205" s="146">
        <v>2020</v>
      </c>
      <c r="X1205" s="147">
        <f>SUM(X1200,X1195,X1190,X1185,X1180,X1175,X1170,X1165,X1160,X1155,X1150,X1145,X1140,X1135)</f>
        <v>0</v>
      </c>
      <c r="Y1205" s="147">
        <f t="shared" si="2153"/>
        <v>0</v>
      </c>
      <c r="Z1205" s="147">
        <f t="shared" si="2153"/>
        <v>0</v>
      </c>
      <c r="AA1205" s="147">
        <f t="shared" si="2153"/>
        <v>0</v>
      </c>
      <c r="AB1205" s="147">
        <f t="shared" si="2153"/>
        <v>0</v>
      </c>
      <c r="AC1205" s="147">
        <f t="shared" si="2153"/>
        <v>0</v>
      </c>
      <c r="AD1205" s="147">
        <f t="shared" si="2153"/>
        <v>0</v>
      </c>
      <c r="AE1205" s="147">
        <f t="shared" si="2153"/>
        <v>0</v>
      </c>
      <c r="AF1205" s="147">
        <f t="shared" si="2153"/>
        <v>0</v>
      </c>
      <c r="AG1205" s="147">
        <f t="shared" si="2153"/>
        <v>0</v>
      </c>
      <c r="AH1205" s="147">
        <f t="shared" si="2153"/>
        <v>0</v>
      </c>
      <c r="AI1205" s="147">
        <f t="shared" si="2153"/>
        <v>0</v>
      </c>
      <c r="AJ1205" s="148">
        <f t="shared" si="2154"/>
        <v>0</v>
      </c>
      <c r="AK1205" s="104">
        <f t="shared" si="2150"/>
        <v>0</v>
      </c>
      <c r="AL1205" s="105"/>
    </row>
    <row r="1206" spans="1:38" ht="15.75" hidden="1" customHeight="1">
      <c r="A1206" s="91"/>
      <c r="B1206" s="305"/>
      <c r="C1206" s="306"/>
      <c r="D1206" s="143" t="s">
        <v>102</v>
      </c>
      <c r="E1206" s="144" t="e">
        <f t="shared" ref="E1206:R1206" si="2155">E1205/E1204</f>
        <v>#DIV/0!</v>
      </c>
      <c r="F1206" s="144" t="e">
        <f t="shared" si="2155"/>
        <v>#DIV/0!</v>
      </c>
      <c r="G1206" s="144" t="e">
        <f t="shared" si="2155"/>
        <v>#DIV/0!</v>
      </c>
      <c r="H1206" s="144" t="e">
        <f t="shared" si="2155"/>
        <v>#DIV/0!</v>
      </c>
      <c r="I1206" s="144" t="e">
        <f t="shared" si="2155"/>
        <v>#DIV/0!</v>
      </c>
      <c r="J1206" s="144" t="e">
        <f t="shared" si="2155"/>
        <v>#DIV/0!</v>
      </c>
      <c r="K1206" s="144" t="e">
        <f t="shared" si="2155"/>
        <v>#DIV/0!</v>
      </c>
      <c r="L1206" s="144" t="e">
        <f t="shared" si="2155"/>
        <v>#DIV/0!</v>
      </c>
      <c r="M1206" s="144" t="e">
        <f t="shared" si="2155"/>
        <v>#DIV/0!</v>
      </c>
      <c r="N1206" s="144" t="e">
        <f t="shared" si="2155"/>
        <v>#DIV/0!</v>
      </c>
      <c r="O1206" s="144" t="e">
        <f t="shared" si="2155"/>
        <v>#DIV/0!</v>
      </c>
      <c r="P1206" s="172" t="e">
        <f t="shared" si="2155"/>
        <v>#DIV/0!</v>
      </c>
      <c r="Q1206" s="145" t="e">
        <f t="shared" si="2155"/>
        <v>#DIV/0!</v>
      </c>
      <c r="R1206" s="104" t="e">
        <f t="shared" si="2155"/>
        <v>#DIV/0!</v>
      </c>
      <c r="S1206" s="105"/>
      <c r="T1206" s="91"/>
      <c r="U1206" s="311"/>
      <c r="V1206" s="312"/>
      <c r="W1206" s="146" t="s">
        <v>102</v>
      </c>
      <c r="X1206" s="147" t="e">
        <f t="shared" ref="X1206:AK1206" si="2156">X1205/X1204</f>
        <v>#DIV/0!</v>
      </c>
      <c r="Y1206" s="147" t="e">
        <f t="shared" si="2156"/>
        <v>#DIV/0!</v>
      </c>
      <c r="Z1206" s="147" t="e">
        <f t="shared" si="2156"/>
        <v>#DIV/0!</v>
      </c>
      <c r="AA1206" s="147" t="e">
        <f t="shared" si="2156"/>
        <v>#DIV/0!</v>
      </c>
      <c r="AB1206" s="147" t="e">
        <f t="shared" si="2156"/>
        <v>#DIV/0!</v>
      </c>
      <c r="AC1206" s="147" t="e">
        <f t="shared" si="2156"/>
        <v>#DIV/0!</v>
      </c>
      <c r="AD1206" s="147" t="e">
        <f t="shared" si="2156"/>
        <v>#DIV/0!</v>
      </c>
      <c r="AE1206" s="147" t="e">
        <f t="shared" si="2156"/>
        <v>#DIV/0!</v>
      </c>
      <c r="AF1206" s="147" t="e">
        <f t="shared" si="2156"/>
        <v>#DIV/0!</v>
      </c>
      <c r="AG1206" s="147" t="e">
        <f t="shared" si="2156"/>
        <v>#DIV/0!</v>
      </c>
      <c r="AH1206" s="147" t="e">
        <f t="shared" si="2156"/>
        <v>#DIV/0!</v>
      </c>
      <c r="AI1206" s="173" t="e">
        <f t="shared" si="2156"/>
        <v>#DIV/0!</v>
      </c>
      <c r="AJ1206" s="148" t="e">
        <f t="shared" si="2156"/>
        <v>#DIV/0!</v>
      </c>
      <c r="AK1206" s="104" t="e">
        <f t="shared" si="2156"/>
        <v>#DIV/0!</v>
      </c>
      <c r="AL1206" s="105"/>
    </row>
    <row r="1207" spans="1:38" ht="15.75" hidden="1" customHeight="1">
      <c r="A1207" s="155"/>
      <c r="B1207" s="307"/>
      <c r="C1207" s="308"/>
      <c r="D1207" s="156" t="s">
        <v>103</v>
      </c>
      <c r="E1207" s="165" t="e">
        <f t="shared" ref="E1207:R1207" si="2157">E1205/E1203</f>
        <v>#DIV/0!</v>
      </c>
      <c r="F1207" s="165" t="e">
        <f t="shared" si="2157"/>
        <v>#DIV/0!</v>
      </c>
      <c r="G1207" s="165" t="e">
        <f t="shared" si="2157"/>
        <v>#DIV/0!</v>
      </c>
      <c r="H1207" s="165" t="e">
        <f t="shared" si="2157"/>
        <v>#DIV/0!</v>
      </c>
      <c r="I1207" s="165" t="e">
        <f t="shared" si="2157"/>
        <v>#DIV/0!</v>
      </c>
      <c r="J1207" s="165" t="e">
        <f t="shared" si="2157"/>
        <v>#DIV/0!</v>
      </c>
      <c r="K1207" s="165" t="e">
        <f t="shared" si="2157"/>
        <v>#DIV/0!</v>
      </c>
      <c r="L1207" s="165" t="e">
        <f t="shared" si="2157"/>
        <v>#DIV/0!</v>
      </c>
      <c r="M1207" s="165" t="e">
        <f t="shared" si="2157"/>
        <v>#DIV/0!</v>
      </c>
      <c r="N1207" s="165" t="e">
        <f t="shared" si="2157"/>
        <v>#DIV/0!</v>
      </c>
      <c r="O1207" s="165" t="e">
        <f t="shared" si="2157"/>
        <v>#DIV/0!</v>
      </c>
      <c r="P1207" s="166" t="e">
        <f t="shared" si="2157"/>
        <v>#DIV/0!</v>
      </c>
      <c r="Q1207" s="167" t="e">
        <f t="shared" si="2157"/>
        <v>#DIV/0!</v>
      </c>
      <c r="R1207" s="168" t="e">
        <f t="shared" si="2157"/>
        <v>#DIV/0!</v>
      </c>
      <c r="T1207" s="155"/>
      <c r="U1207" s="313"/>
      <c r="V1207" s="314"/>
      <c r="W1207" s="160" t="s">
        <v>103</v>
      </c>
      <c r="X1207" s="169" t="e">
        <f t="shared" ref="X1207:AK1207" si="2158">X1205/X1203</f>
        <v>#DIV/0!</v>
      </c>
      <c r="Y1207" s="169" t="e">
        <f t="shared" si="2158"/>
        <v>#DIV/0!</v>
      </c>
      <c r="Z1207" s="169" t="e">
        <f t="shared" si="2158"/>
        <v>#DIV/0!</v>
      </c>
      <c r="AA1207" s="169" t="e">
        <f t="shared" si="2158"/>
        <v>#DIV/0!</v>
      </c>
      <c r="AB1207" s="169" t="e">
        <f t="shared" si="2158"/>
        <v>#DIV/0!</v>
      </c>
      <c r="AC1207" s="169" t="e">
        <f t="shared" si="2158"/>
        <v>#DIV/0!</v>
      </c>
      <c r="AD1207" s="169" t="e">
        <f t="shared" si="2158"/>
        <v>#DIV/0!</v>
      </c>
      <c r="AE1207" s="169" t="e">
        <f t="shared" si="2158"/>
        <v>#DIV/0!</v>
      </c>
      <c r="AF1207" s="169" t="e">
        <f t="shared" si="2158"/>
        <v>#DIV/0!</v>
      </c>
      <c r="AG1207" s="169" t="e">
        <f t="shared" si="2158"/>
        <v>#DIV/0!</v>
      </c>
      <c r="AH1207" s="169" t="e">
        <f t="shared" si="2158"/>
        <v>#DIV/0!</v>
      </c>
      <c r="AI1207" s="170" t="e">
        <f t="shared" si="2158"/>
        <v>#DIV/0!</v>
      </c>
      <c r="AJ1207" s="171" t="e">
        <f t="shared" si="2158"/>
        <v>#DIV/0!</v>
      </c>
      <c r="AK1207" s="168" t="e">
        <f t="shared" si="2158"/>
        <v>#DIV/0!</v>
      </c>
    </row>
    <row r="1208" spans="1:38" ht="15.6" hidden="1" thickBot="1">
      <c r="A1208" s="84" t="s">
        <v>160</v>
      </c>
      <c r="B1208" s="85" t="s">
        <v>153</v>
      </c>
      <c r="C1208" s="86" t="s">
        <v>122</v>
      </c>
      <c r="D1208" s="87">
        <v>2019</v>
      </c>
      <c r="E1208" s="88"/>
      <c r="F1208" s="121"/>
      <c r="G1208" s="121"/>
      <c r="H1208" s="121"/>
      <c r="I1208" s="121"/>
      <c r="J1208" s="121"/>
      <c r="K1208" s="121"/>
      <c r="L1208" s="121"/>
      <c r="M1208" s="122"/>
      <c r="N1208" s="122"/>
      <c r="O1208" s="122"/>
      <c r="P1208" s="123"/>
      <c r="Q1208" s="89">
        <f>SUM(E1208:P1208)</f>
        <v>0</v>
      </c>
      <c r="R1208" s="90">
        <f t="shared" ref="R1208" si="2159">SUM(E1208:M1208)</f>
        <v>0</v>
      </c>
      <c r="T1208" s="84" t="s">
        <v>160</v>
      </c>
      <c r="U1208" s="85" t="s">
        <v>153</v>
      </c>
      <c r="V1208" s="86" t="str">
        <f>C1208</f>
        <v>得意先名</v>
      </c>
      <c r="W1208" s="87">
        <v>2019</v>
      </c>
      <c r="X1208" s="88"/>
      <c r="Y1208" s="121"/>
      <c r="Z1208" s="121"/>
      <c r="AA1208" s="121"/>
      <c r="AB1208" s="121"/>
      <c r="AC1208" s="121"/>
      <c r="AD1208" s="121"/>
      <c r="AE1208" s="121"/>
      <c r="AF1208" s="122"/>
      <c r="AG1208" s="122"/>
      <c r="AH1208" s="122"/>
      <c r="AI1208" s="123"/>
      <c r="AJ1208" s="89">
        <f>SUM(X1208:AI1208)</f>
        <v>0</v>
      </c>
      <c r="AK1208" s="90">
        <f t="shared" ref="AK1208:AK1210" si="2160">SUM(X1208:AF1208)</f>
        <v>0</v>
      </c>
    </row>
    <row r="1209" spans="1:38" ht="15.6" hidden="1" thickBot="1">
      <c r="A1209" s="91"/>
      <c r="B1209" s="175" t="s">
        <v>169</v>
      </c>
      <c r="C1209" s="92" t="s">
        <v>124</v>
      </c>
      <c r="D1209" s="93" t="s">
        <v>92</v>
      </c>
      <c r="E1209" s="94"/>
      <c r="F1209" s="97"/>
      <c r="G1209" s="97"/>
      <c r="H1209" s="97"/>
      <c r="I1209" s="97"/>
      <c r="J1209" s="97"/>
      <c r="K1209" s="97"/>
      <c r="L1209" s="97"/>
      <c r="M1209" s="98"/>
      <c r="N1209" s="98"/>
      <c r="O1209" s="98"/>
      <c r="P1209" s="99"/>
      <c r="Q1209" s="95">
        <f>SUM(E1209:P1209)</f>
        <v>0</v>
      </c>
      <c r="R1209" s="96">
        <f t="shared" si="2103"/>
        <v>0</v>
      </c>
      <c r="T1209" s="91"/>
      <c r="U1209" s="175" t="s">
        <v>169</v>
      </c>
      <c r="V1209" s="92" t="str">
        <f>C1209</f>
        <v>得意先名（英語）</v>
      </c>
      <c r="W1209" s="93" t="s">
        <v>92</v>
      </c>
      <c r="X1209" s="94"/>
      <c r="Y1209" s="97"/>
      <c r="Z1209" s="97"/>
      <c r="AA1209" s="97"/>
      <c r="AB1209" s="97"/>
      <c r="AC1209" s="97"/>
      <c r="AD1209" s="97"/>
      <c r="AE1209" s="97"/>
      <c r="AF1209" s="98"/>
      <c r="AG1209" s="98"/>
      <c r="AH1209" s="98"/>
      <c r="AI1209" s="99"/>
      <c r="AJ1209" s="95">
        <f>SUM(X1209:AI1209)</f>
        <v>0</v>
      </c>
      <c r="AK1209" s="96">
        <f t="shared" si="2160"/>
        <v>0</v>
      </c>
    </row>
    <row r="1210" spans="1:38" ht="15.6" hidden="1" thickBot="1">
      <c r="A1210" s="91"/>
      <c r="B1210" s="100"/>
      <c r="C1210" s="92"/>
      <c r="D1210" s="101">
        <v>2020</v>
      </c>
      <c r="E1210" s="102"/>
      <c r="F1210" s="124"/>
      <c r="G1210" s="124"/>
      <c r="H1210" s="124"/>
      <c r="I1210" s="124"/>
      <c r="J1210" s="124"/>
      <c r="K1210" s="124"/>
      <c r="L1210" s="124"/>
      <c r="M1210" s="125"/>
      <c r="N1210" s="125"/>
      <c r="O1210" s="125"/>
      <c r="P1210" s="126"/>
      <c r="Q1210" s="103">
        <f>SUM(E1210:P1210)</f>
        <v>0</v>
      </c>
      <c r="R1210" s="104">
        <f t="shared" si="2103"/>
        <v>0</v>
      </c>
      <c r="S1210" s="105"/>
      <c r="T1210" s="91"/>
      <c r="U1210" s="100"/>
      <c r="V1210" s="92"/>
      <c r="W1210" s="101">
        <v>2020</v>
      </c>
      <c r="X1210" s="102"/>
      <c r="Y1210" s="124"/>
      <c r="Z1210" s="124"/>
      <c r="AA1210" s="124"/>
      <c r="AB1210" s="124"/>
      <c r="AC1210" s="124"/>
      <c r="AD1210" s="124"/>
      <c r="AE1210" s="124"/>
      <c r="AF1210" s="125"/>
      <c r="AG1210" s="125"/>
      <c r="AH1210" s="125"/>
      <c r="AI1210" s="126"/>
      <c r="AJ1210" s="103">
        <f>SUM(X1210:AI1210)</f>
        <v>0</v>
      </c>
      <c r="AK1210" s="104">
        <f t="shared" si="2160"/>
        <v>0</v>
      </c>
      <c r="AL1210" s="105"/>
    </row>
    <row r="1211" spans="1:38" ht="15.6" hidden="1" thickBot="1">
      <c r="A1211" s="91"/>
      <c r="B1211" s="100"/>
      <c r="C1211" s="92"/>
      <c r="D1211" s="101" t="s">
        <v>102</v>
      </c>
      <c r="E1211" s="106" t="e">
        <f>E1210/E1209</f>
        <v>#DIV/0!</v>
      </c>
      <c r="F1211" s="106" t="e">
        <f t="shared" ref="F1211:R1211" si="2161">F1210/F1209</f>
        <v>#DIV/0!</v>
      </c>
      <c r="G1211" s="106" t="e">
        <f t="shared" si="2161"/>
        <v>#DIV/0!</v>
      </c>
      <c r="H1211" s="106" t="e">
        <f t="shared" si="2161"/>
        <v>#DIV/0!</v>
      </c>
      <c r="I1211" s="106" t="e">
        <f t="shared" si="2161"/>
        <v>#DIV/0!</v>
      </c>
      <c r="J1211" s="106" t="e">
        <f t="shared" si="2161"/>
        <v>#DIV/0!</v>
      </c>
      <c r="K1211" s="106" t="e">
        <f t="shared" si="2161"/>
        <v>#DIV/0!</v>
      </c>
      <c r="L1211" s="106" t="e">
        <f t="shared" si="2161"/>
        <v>#DIV/0!</v>
      </c>
      <c r="M1211" s="107" t="e">
        <f t="shared" si="2161"/>
        <v>#DIV/0!</v>
      </c>
      <c r="N1211" s="107" t="e">
        <f t="shared" si="2161"/>
        <v>#DIV/0!</v>
      </c>
      <c r="O1211" s="107" t="e">
        <f t="shared" si="2161"/>
        <v>#DIV/0!</v>
      </c>
      <c r="P1211" s="108" t="e">
        <f t="shared" si="2161"/>
        <v>#DIV/0!</v>
      </c>
      <c r="Q1211" s="109" t="e">
        <f t="shared" si="2161"/>
        <v>#DIV/0!</v>
      </c>
      <c r="R1211" s="110" t="e">
        <f t="shared" si="2161"/>
        <v>#DIV/0!</v>
      </c>
      <c r="S1211" s="105"/>
      <c r="T1211" s="91"/>
      <c r="U1211" s="100"/>
      <c r="V1211" s="92"/>
      <c r="W1211" s="101" t="s">
        <v>102</v>
      </c>
      <c r="X1211" s="106" t="e">
        <f>X1210/X1209</f>
        <v>#DIV/0!</v>
      </c>
      <c r="Y1211" s="106" t="e">
        <f t="shared" ref="Y1211:AK1211" si="2162">Y1210/Y1209</f>
        <v>#DIV/0!</v>
      </c>
      <c r="Z1211" s="106" t="e">
        <f t="shared" si="2162"/>
        <v>#DIV/0!</v>
      </c>
      <c r="AA1211" s="106" t="e">
        <f t="shared" si="2162"/>
        <v>#DIV/0!</v>
      </c>
      <c r="AB1211" s="106" t="e">
        <f t="shared" si="2162"/>
        <v>#DIV/0!</v>
      </c>
      <c r="AC1211" s="106" t="e">
        <f t="shared" si="2162"/>
        <v>#DIV/0!</v>
      </c>
      <c r="AD1211" s="106" t="e">
        <f t="shared" si="2162"/>
        <v>#DIV/0!</v>
      </c>
      <c r="AE1211" s="106" t="e">
        <f t="shared" si="2162"/>
        <v>#DIV/0!</v>
      </c>
      <c r="AF1211" s="107" t="e">
        <f t="shared" si="2162"/>
        <v>#DIV/0!</v>
      </c>
      <c r="AG1211" s="107" t="e">
        <f t="shared" si="2162"/>
        <v>#DIV/0!</v>
      </c>
      <c r="AH1211" s="107" t="e">
        <f t="shared" si="2162"/>
        <v>#DIV/0!</v>
      </c>
      <c r="AI1211" s="108" t="e">
        <f t="shared" si="2162"/>
        <v>#DIV/0!</v>
      </c>
      <c r="AJ1211" s="109" t="e">
        <f t="shared" si="2162"/>
        <v>#DIV/0!</v>
      </c>
      <c r="AK1211" s="110" t="e">
        <f t="shared" si="2162"/>
        <v>#DIV/0!</v>
      </c>
      <c r="AL1211" s="105"/>
    </row>
    <row r="1212" spans="1:38" ht="15.6" hidden="1" thickBot="1">
      <c r="A1212" s="91"/>
      <c r="B1212" s="100"/>
      <c r="C1212" s="111"/>
      <c r="D1212" s="112" t="s">
        <v>103</v>
      </c>
      <c r="E1212" s="113" t="e">
        <f>E1210/E1208</f>
        <v>#DIV/0!</v>
      </c>
      <c r="F1212" s="113" t="e">
        <f t="shared" ref="F1212:R1212" si="2163">F1210/F1208</f>
        <v>#DIV/0!</v>
      </c>
      <c r="G1212" s="113" t="e">
        <f t="shared" si="2163"/>
        <v>#DIV/0!</v>
      </c>
      <c r="H1212" s="113" t="e">
        <f t="shared" si="2163"/>
        <v>#DIV/0!</v>
      </c>
      <c r="I1212" s="113" t="e">
        <f t="shared" si="2163"/>
        <v>#DIV/0!</v>
      </c>
      <c r="J1212" s="113" t="e">
        <f t="shared" si="2163"/>
        <v>#DIV/0!</v>
      </c>
      <c r="K1212" s="113" t="e">
        <f t="shared" si="2163"/>
        <v>#DIV/0!</v>
      </c>
      <c r="L1212" s="113" t="e">
        <f t="shared" si="2163"/>
        <v>#DIV/0!</v>
      </c>
      <c r="M1212" s="113" t="e">
        <f t="shared" si="2163"/>
        <v>#DIV/0!</v>
      </c>
      <c r="N1212" s="113" t="e">
        <f t="shared" si="2163"/>
        <v>#DIV/0!</v>
      </c>
      <c r="O1212" s="113" t="e">
        <f t="shared" si="2163"/>
        <v>#DIV/0!</v>
      </c>
      <c r="P1212" s="114" t="e">
        <f t="shared" si="2163"/>
        <v>#DIV/0!</v>
      </c>
      <c r="Q1212" s="115" t="e">
        <f t="shared" si="2163"/>
        <v>#DIV/0!</v>
      </c>
      <c r="R1212" s="116" t="e">
        <f t="shared" si="2163"/>
        <v>#DIV/0!</v>
      </c>
      <c r="T1212" s="91"/>
      <c r="U1212" s="100"/>
      <c r="V1212" s="111"/>
      <c r="W1212" s="112" t="s">
        <v>103</v>
      </c>
      <c r="X1212" s="113" t="e">
        <f>X1210/X1208</f>
        <v>#DIV/0!</v>
      </c>
      <c r="Y1212" s="113" t="e">
        <f t="shared" ref="Y1212:AK1212" si="2164">Y1210/Y1208</f>
        <v>#DIV/0!</v>
      </c>
      <c r="Z1212" s="113" t="e">
        <f t="shared" si="2164"/>
        <v>#DIV/0!</v>
      </c>
      <c r="AA1212" s="113" t="e">
        <f t="shared" si="2164"/>
        <v>#DIV/0!</v>
      </c>
      <c r="AB1212" s="113" t="e">
        <f t="shared" si="2164"/>
        <v>#DIV/0!</v>
      </c>
      <c r="AC1212" s="113" t="e">
        <f t="shared" si="2164"/>
        <v>#DIV/0!</v>
      </c>
      <c r="AD1212" s="113" t="e">
        <f t="shared" si="2164"/>
        <v>#DIV/0!</v>
      </c>
      <c r="AE1212" s="113" t="e">
        <f t="shared" si="2164"/>
        <v>#DIV/0!</v>
      </c>
      <c r="AF1212" s="113" t="e">
        <f t="shared" si="2164"/>
        <v>#DIV/0!</v>
      </c>
      <c r="AG1212" s="113" t="e">
        <f t="shared" si="2164"/>
        <v>#DIV/0!</v>
      </c>
      <c r="AH1212" s="113" t="e">
        <f t="shared" si="2164"/>
        <v>#DIV/0!</v>
      </c>
      <c r="AI1212" s="114" t="e">
        <f t="shared" si="2164"/>
        <v>#DIV/0!</v>
      </c>
      <c r="AJ1212" s="115" t="e">
        <f t="shared" si="2164"/>
        <v>#DIV/0!</v>
      </c>
      <c r="AK1212" s="116" t="e">
        <f t="shared" si="2164"/>
        <v>#DIV/0!</v>
      </c>
    </row>
    <row r="1213" spans="1:38" ht="15.6" hidden="1" thickBot="1">
      <c r="A1213" s="91"/>
      <c r="B1213" s="100"/>
      <c r="C1213" s="86"/>
      <c r="D1213" s="87">
        <v>2019</v>
      </c>
      <c r="E1213" s="88"/>
      <c r="F1213" s="121"/>
      <c r="G1213" s="121"/>
      <c r="H1213" s="121"/>
      <c r="I1213" s="121"/>
      <c r="J1213" s="121"/>
      <c r="K1213" s="121"/>
      <c r="L1213" s="121"/>
      <c r="M1213" s="122"/>
      <c r="N1213" s="122"/>
      <c r="O1213" s="122"/>
      <c r="P1213" s="123"/>
      <c r="Q1213" s="89">
        <f t="shared" ref="Q1213:Q1215" si="2165">SUM(E1213:P1213)</f>
        <v>0</v>
      </c>
      <c r="R1213" s="90">
        <f t="shared" ref="R1213" si="2166">SUM(E1213:M1213)</f>
        <v>0</v>
      </c>
      <c r="T1213" s="91"/>
      <c r="U1213" s="100"/>
      <c r="V1213" s="86">
        <f t="shared" ref="V1213:V1214" si="2167">C1213</f>
        <v>0</v>
      </c>
      <c r="W1213" s="87">
        <v>2019</v>
      </c>
      <c r="X1213" s="88"/>
      <c r="Y1213" s="121"/>
      <c r="Z1213" s="121"/>
      <c r="AA1213" s="121"/>
      <c r="AB1213" s="121"/>
      <c r="AC1213" s="121"/>
      <c r="AD1213" s="121"/>
      <c r="AE1213" s="121"/>
      <c r="AF1213" s="122"/>
      <c r="AG1213" s="122"/>
      <c r="AH1213" s="122"/>
      <c r="AI1213" s="123"/>
      <c r="AJ1213" s="89">
        <f t="shared" ref="AJ1213:AJ1215" si="2168">SUM(X1213:AI1213)</f>
        <v>0</v>
      </c>
      <c r="AK1213" s="90">
        <f t="shared" ref="AK1213:AK1215" si="2169">SUM(X1213:AF1213)</f>
        <v>0</v>
      </c>
    </row>
    <row r="1214" spans="1:38" ht="15.6" hidden="1" thickBot="1">
      <c r="A1214" s="91"/>
      <c r="B1214" s="100"/>
      <c r="C1214" s="92"/>
      <c r="D1214" s="93" t="s">
        <v>92</v>
      </c>
      <c r="E1214" s="94"/>
      <c r="F1214" s="97"/>
      <c r="G1214" s="97"/>
      <c r="H1214" s="97"/>
      <c r="I1214" s="97"/>
      <c r="J1214" s="97"/>
      <c r="K1214" s="97"/>
      <c r="L1214" s="97"/>
      <c r="M1214" s="98"/>
      <c r="N1214" s="98"/>
      <c r="O1214" s="98"/>
      <c r="P1214" s="99"/>
      <c r="Q1214" s="95">
        <f t="shared" si="2165"/>
        <v>0</v>
      </c>
      <c r="R1214" s="96">
        <f t="shared" si="2103"/>
        <v>0</v>
      </c>
      <c r="T1214" s="91"/>
      <c r="U1214" s="100"/>
      <c r="V1214" s="92">
        <f t="shared" si="2167"/>
        <v>0</v>
      </c>
      <c r="W1214" s="93" t="s">
        <v>92</v>
      </c>
      <c r="X1214" s="94"/>
      <c r="Y1214" s="97"/>
      <c r="Z1214" s="97"/>
      <c r="AA1214" s="97"/>
      <c r="AB1214" s="97"/>
      <c r="AC1214" s="97"/>
      <c r="AD1214" s="97"/>
      <c r="AE1214" s="97"/>
      <c r="AF1214" s="98"/>
      <c r="AG1214" s="98"/>
      <c r="AH1214" s="98"/>
      <c r="AI1214" s="99"/>
      <c r="AJ1214" s="95">
        <f t="shared" si="2168"/>
        <v>0</v>
      </c>
      <c r="AK1214" s="96">
        <f t="shared" si="2169"/>
        <v>0</v>
      </c>
    </row>
    <row r="1215" spans="1:38" ht="15.6" hidden="1" thickBot="1">
      <c r="A1215" s="91"/>
      <c r="B1215" s="100"/>
      <c r="C1215" s="92"/>
      <c r="D1215" s="101">
        <v>2020</v>
      </c>
      <c r="E1215" s="102"/>
      <c r="F1215" s="124"/>
      <c r="G1215" s="124"/>
      <c r="H1215" s="124"/>
      <c r="I1215" s="124"/>
      <c r="J1215" s="124"/>
      <c r="K1215" s="124"/>
      <c r="L1215" s="124"/>
      <c r="M1215" s="125"/>
      <c r="N1215" s="125"/>
      <c r="O1215" s="125"/>
      <c r="P1215" s="126"/>
      <c r="Q1215" s="103">
        <f t="shared" si="2165"/>
        <v>0</v>
      </c>
      <c r="R1215" s="104">
        <f t="shared" si="2103"/>
        <v>0</v>
      </c>
      <c r="S1215" s="105"/>
      <c r="T1215" s="91"/>
      <c r="U1215" s="100"/>
      <c r="V1215" s="92"/>
      <c r="W1215" s="101">
        <v>2020</v>
      </c>
      <c r="X1215" s="102"/>
      <c r="Y1215" s="124"/>
      <c r="Z1215" s="124"/>
      <c r="AA1215" s="124"/>
      <c r="AB1215" s="124"/>
      <c r="AC1215" s="124"/>
      <c r="AD1215" s="124"/>
      <c r="AE1215" s="124"/>
      <c r="AF1215" s="125"/>
      <c r="AG1215" s="125"/>
      <c r="AH1215" s="125"/>
      <c r="AI1215" s="126"/>
      <c r="AJ1215" s="103">
        <f t="shared" si="2168"/>
        <v>0</v>
      </c>
      <c r="AK1215" s="104">
        <f t="shared" si="2169"/>
        <v>0</v>
      </c>
      <c r="AL1215" s="105"/>
    </row>
    <row r="1216" spans="1:38" ht="15.6" hidden="1" thickBot="1">
      <c r="A1216" s="91"/>
      <c r="B1216" s="100"/>
      <c r="C1216" s="92"/>
      <c r="D1216" s="101" t="s">
        <v>102</v>
      </c>
      <c r="E1216" s="106" t="e">
        <f t="shared" ref="E1216:R1216" si="2170">E1215/E1214</f>
        <v>#DIV/0!</v>
      </c>
      <c r="F1216" s="106" t="e">
        <f t="shared" si="2170"/>
        <v>#DIV/0!</v>
      </c>
      <c r="G1216" s="106" t="e">
        <f t="shared" si="2170"/>
        <v>#DIV/0!</v>
      </c>
      <c r="H1216" s="106" t="e">
        <f t="shared" si="2170"/>
        <v>#DIV/0!</v>
      </c>
      <c r="I1216" s="106" t="e">
        <f t="shared" si="2170"/>
        <v>#DIV/0!</v>
      </c>
      <c r="J1216" s="106" t="e">
        <f t="shared" si="2170"/>
        <v>#DIV/0!</v>
      </c>
      <c r="K1216" s="106" t="e">
        <f t="shared" si="2170"/>
        <v>#DIV/0!</v>
      </c>
      <c r="L1216" s="106" t="e">
        <f t="shared" si="2170"/>
        <v>#DIV/0!</v>
      </c>
      <c r="M1216" s="107" t="e">
        <f t="shared" si="2170"/>
        <v>#DIV/0!</v>
      </c>
      <c r="N1216" s="107" t="e">
        <f t="shared" si="2170"/>
        <v>#DIV/0!</v>
      </c>
      <c r="O1216" s="107" t="e">
        <f t="shared" si="2170"/>
        <v>#DIV/0!</v>
      </c>
      <c r="P1216" s="108" t="e">
        <f t="shared" si="2170"/>
        <v>#DIV/0!</v>
      </c>
      <c r="Q1216" s="109" t="e">
        <f t="shared" si="2170"/>
        <v>#DIV/0!</v>
      </c>
      <c r="R1216" s="110" t="e">
        <f t="shared" si="2170"/>
        <v>#DIV/0!</v>
      </c>
      <c r="S1216" s="105"/>
      <c r="T1216" s="91"/>
      <c r="U1216" s="100"/>
      <c r="V1216" s="92"/>
      <c r="W1216" s="101" t="s">
        <v>102</v>
      </c>
      <c r="X1216" s="106" t="e">
        <f t="shared" ref="X1216:AK1216" si="2171">X1215/X1214</f>
        <v>#DIV/0!</v>
      </c>
      <c r="Y1216" s="106" t="e">
        <f t="shared" si="2171"/>
        <v>#DIV/0!</v>
      </c>
      <c r="Z1216" s="106" t="e">
        <f t="shared" si="2171"/>
        <v>#DIV/0!</v>
      </c>
      <c r="AA1216" s="106" t="e">
        <f t="shared" si="2171"/>
        <v>#DIV/0!</v>
      </c>
      <c r="AB1216" s="106" t="e">
        <f t="shared" si="2171"/>
        <v>#DIV/0!</v>
      </c>
      <c r="AC1216" s="106" t="e">
        <f t="shared" si="2171"/>
        <v>#DIV/0!</v>
      </c>
      <c r="AD1216" s="106" t="e">
        <f t="shared" si="2171"/>
        <v>#DIV/0!</v>
      </c>
      <c r="AE1216" s="106" t="e">
        <f t="shared" si="2171"/>
        <v>#DIV/0!</v>
      </c>
      <c r="AF1216" s="107" t="e">
        <f t="shared" si="2171"/>
        <v>#DIV/0!</v>
      </c>
      <c r="AG1216" s="107" t="e">
        <f t="shared" si="2171"/>
        <v>#DIV/0!</v>
      </c>
      <c r="AH1216" s="107" t="e">
        <f t="shared" si="2171"/>
        <v>#DIV/0!</v>
      </c>
      <c r="AI1216" s="108" t="e">
        <f t="shared" si="2171"/>
        <v>#DIV/0!</v>
      </c>
      <c r="AJ1216" s="109" t="e">
        <f t="shared" si="2171"/>
        <v>#DIV/0!</v>
      </c>
      <c r="AK1216" s="110" t="e">
        <f t="shared" si="2171"/>
        <v>#DIV/0!</v>
      </c>
      <c r="AL1216" s="105"/>
    </row>
    <row r="1217" spans="1:38" ht="15.6" hidden="1" thickBot="1">
      <c r="A1217" s="91"/>
      <c r="B1217" s="100"/>
      <c r="C1217" s="111"/>
      <c r="D1217" s="112" t="s">
        <v>103</v>
      </c>
      <c r="E1217" s="113" t="e">
        <f t="shared" ref="E1217:R1217" si="2172">E1215/E1213</f>
        <v>#DIV/0!</v>
      </c>
      <c r="F1217" s="113" t="e">
        <f t="shared" si="2172"/>
        <v>#DIV/0!</v>
      </c>
      <c r="G1217" s="113" t="e">
        <f t="shared" si="2172"/>
        <v>#DIV/0!</v>
      </c>
      <c r="H1217" s="113" t="e">
        <f t="shared" si="2172"/>
        <v>#DIV/0!</v>
      </c>
      <c r="I1217" s="113" t="e">
        <f t="shared" si="2172"/>
        <v>#DIV/0!</v>
      </c>
      <c r="J1217" s="113" t="e">
        <f t="shared" si="2172"/>
        <v>#DIV/0!</v>
      </c>
      <c r="K1217" s="113" t="e">
        <f t="shared" si="2172"/>
        <v>#DIV/0!</v>
      </c>
      <c r="L1217" s="113" t="e">
        <f t="shared" si="2172"/>
        <v>#DIV/0!</v>
      </c>
      <c r="M1217" s="113" t="e">
        <f t="shared" si="2172"/>
        <v>#DIV/0!</v>
      </c>
      <c r="N1217" s="113" t="e">
        <f t="shared" si="2172"/>
        <v>#DIV/0!</v>
      </c>
      <c r="O1217" s="113" t="e">
        <f t="shared" si="2172"/>
        <v>#DIV/0!</v>
      </c>
      <c r="P1217" s="114" t="e">
        <f t="shared" si="2172"/>
        <v>#DIV/0!</v>
      </c>
      <c r="Q1217" s="115" t="e">
        <f t="shared" si="2172"/>
        <v>#DIV/0!</v>
      </c>
      <c r="R1217" s="116" t="e">
        <f t="shared" si="2172"/>
        <v>#DIV/0!</v>
      </c>
      <c r="T1217" s="91"/>
      <c r="U1217" s="100"/>
      <c r="V1217" s="111"/>
      <c r="W1217" s="112" t="s">
        <v>103</v>
      </c>
      <c r="X1217" s="113" t="e">
        <f t="shared" ref="X1217:AK1217" si="2173">X1215/X1213</f>
        <v>#DIV/0!</v>
      </c>
      <c r="Y1217" s="113" t="e">
        <f t="shared" si="2173"/>
        <v>#DIV/0!</v>
      </c>
      <c r="Z1217" s="113" t="e">
        <f t="shared" si="2173"/>
        <v>#DIV/0!</v>
      </c>
      <c r="AA1217" s="113" t="e">
        <f t="shared" si="2173"/>
        <v>#DIV/0!</v>
      </c>
      <c r="AB1217" s="113" t="e">
        <f t="shared" si="2173"/>
        <v>#DIV/0!</v>
      </c>
      <c r="AC1217" s="113" t="e">
        <f t="shared" si="2173"/>
        <v>#DIV/0!</v>
      </c>
      <c r="AD1217" s="113" t="e">
        <f t="shared" si="2173"/>
        <v>#DIV/0!</v>
      </c>
      <c r="AE1217" s="113" t="e">
        <f t="shared" si="2173"/>
        <v>#DIV/0!</v>
      </c>
      <c r="AF1217" s="113" t="e">
        <f t="shared" si="2173"/>
        <v>#DIV/0!</v>
      </c>
      <c r="AG1217" s="113" t="e">
        <f t="shared" si="2173"/>
        <v>#DIV/0!</v>
      </c>
      <c r="AH1217" s="113" t="e">
        <f t="shared" si="2173"/>
        <v>#DIV/0!</v>
      </c>
      <c r="AI1217" s="114" t="e">
        <f t="shared" si="2173"/>
        <v>#DIV/0!</v>
      </c>
      <c r="AJ1217" s="115" t="e">
        <f t="shared" si="2173"/>
        <v>#DIV/0!</v>
      </c>
      <c r="AK1217" s="116" t="e">
        <f t="shared" si="2173"/>
        <v>#DIV/0!</v>
      </c>
    </row>
    <row r="1218" spans="1:38" ht="15.6" hidden="1" thickBot="1">
      <c r="A1218" s="91"/>
      <c r="B1218" s="100"/>
      <c r="C1218" s="86"/>
      <c r="D1218" s="87">
        <v>2019</v>
      </c>
      <c r="E1218" s="88"/>
      <c r="F1218" s="121"/>
      <c r="G1218" s="121"/>
      <c r="H1218" s="121"/>
      <c r="I1218" s="121"/>
      <c r="J1218" s="121"/>
      <c r="K1218" s="121"/>
      <c r="L1218" s="121"/>
      <c r="M1218" s="122"/>
      <c r="N1218" s="122"/>
      <c r="O1218" s="122"/>
      <c r="P1218" s="123"/>
      <c r="Q1218" s="89">
        <f t="shared" ref="Q1218:Q1220" si="2174">SUM(E1218:P1218)</f>
        <v>0</v>
      </c>
      <c r="R1218" s="90">
        <f t="shared" ref="R1218" si="2175">SUM(E1218:M1218)</f>
        <v>0</v>
      </c>
      <c r="T1218" s="91"/>
      <c r="U1218" s="100"/>
      <c r="V1218" s="86">
        <f t="shared" ref="V1218:V1219" si="2176">C1218</f>
        <v>0</v>
      </c>
      <c r="W1218" s="87">
        <v>2019</v>
      </c>
      <c r="X1218" s="88"/>
      <c r="Y1218" s="121"/>
      <c r="Z1218" s="121"/>
      <c r="AA1218" s="121"/>
      <c r="AB1218" s="121"/>
      <c r="AC1218" s="121"/>
      <c r="AD1218" s="121"/>
      <c r="AE1218" s="121"/>
      <c r="AF1218" s="122"/>
      <c r="AG1218" s="122"/>
      <c r="AH1218" s="122"/>
      <c r="AI1218" s="123"/>
      <c r="AJ1218" s="89">
        <f t="shared" ref="AJ1218:AJ1220" si="2177">SUM(X1218:AI1218)</f>
        <v>0</v>
      </c>
      <c r="AK1218" s="90">
        <f t="shared" ref="AK1218:AK1220" si="2178">SUM(X1218:AF1218)</f>
        <v>0</v>
      </c>
    </row>
    <row r="1219" spans="1:38" ht="15.6" hidden="1" thickBot="1">
      <c r="A1219" s="91"/>
      <c r="B1219" s="100"/>
      <c r="C1219" s="92"/>
      <c r="D1219" s="93" t="s">
        <v>92</v>
      </c>
      <c r="E1219" s="94"/>
      <c r="F1219" s="97"/>
      <c r="G1219" s="97"/>
      <c r="H1219" s="97"/>
      <c r="I1219" s="97"/>
      <c r="J1219" s="97"/>
      <c r="K1219" s="97"/>
      <c r="L1219" s="97"/>
      <c r="M1219" s="98"/>
      <c r="N1219" s="98"/>
      <c r="O1219" s="98"/>
      <c r="P1219" s="99"/>
      <c r="Q1219" s="95">
        <f t="shared" si="2174"/>
        <v>0</v>
      </c>
      <c r="R1219" s="96">
        <f t="shared" si="2103"/>
        <v>0</v>
      </c>
      <c r="T1219" s="91"/>
      <c r="U1219" s="100"/>
      <c r="V1219" s="92">
        <f t="shared" si="2176"/>
        <v>0</v>
      </c>
      <c r="W1219" s="93" t="s">
        <v>92</v>
      </c>
      <c r="X1219" s="94"/>
      <c r="Y1219" s="97"/>
      <c r="Z1219" s="97"/>
      <c r="AA1219" s="97"/>
      <c r="AB1219" s="97"/>
      <c r="AC1219" s="97"/>
      <c r="AD1219" s="97"/>
      <c r="AE1219" s="97"/>
      <c r="AF1219" s="98"/>
      <c r="AG1219" s="98"/>
      <c r="AH1219" s="98"/>
      <c r="AI1219" s="99"/>
      <c r="AJ1219" s="95">
        <f t="shared" si="2177"/>
        <v>0</v>
      </c>
      <c r="AK1219" s="96">
        <f t="shared" si="2178"/>
        <v>0</v>
      </c>
    </row>
    <row r="1220" spans="1:38" ht="15.6" hidden="1" thickBot="1">
      <c r="A1220" s="91"/>
      <c r="B1220" s="100"/>
      <c r="C1220" s="92"/>
      <c r="D1220" s="101">
        <v>2020</v>
      </c>
      <c r="E1220" s="102"/>
      <c r="F1220" s="124"/>
      <c r="G1220" s="124"/>
      <c r="H1220" s="124"/>
      <c r="I1220" s="124"/>
      <c r="J1220" s="124"/>
      <c r="K1220" s="124"/>
      <c r="L1220" s="124"/>
      <c r="M1220" s="125"/>
      <c r="N1220" s="125"/>
      <c r="O1220" s="125"/>
      <c r="P1220" s="126"/>
      <c r="Q1220" s="103">
        <f t="shared" si="2174"/>
        <v>0</v>
      </c>
      <c r="R1220" s="104">
        <f t="shared" si="2103"/>
        <v>0</v>
      </c>
      <c r="S1220" s="105"/>
      <c r="T1220" s="91"/>
      <c r="U1220" s="100"/>
      <c r="V1220" s="92"/>
      <c r="W1220" s="101">
        <v>2020</v>
      </c>
      <c r="X1220" s="102"/>
      <c r="Y1220" s="124"/>
      <c r="Z1220" s="124"/>
      <c r="AA1220" s="124"/>
      <c r="AB1220" s="124"/>
      <c r="AC1220" s="124"/>
      <c r="AD1220" s="124"/>
      <c r="AE1220" s="124"/>
      <c r="AF1220" s="125"/>
      <c r="AG1220" s="125"/>
      <c r="AH1220" s="125"/>
      <c r="AI1220" s="126"/>
      <c r="AJ1220" s="103">
        <f t="shared" si="2177"/>
        <v>0</v>
      </c>
      <c r="AK1220" s="104">
        <f t="shared" si="2178"/>
        <v>0</v>
      </c>
      <c r="AL1220" s="105"/>
    </row>
    <row r="1221" spans="1:38" ht="15.6" hidden="1" thickBot="1">
      <c r="A1221" s="91"/>
      <c r="B1221" s="100"/>
      <c r="C1221" s="92"/>
      <c r="D1221" s="101" t="s">
        <v>102</v>
      </c>
      <c r="E1221" s="106" t="e">
        <f t="shared" ref="E1221:R1221" si="2179">E1220/E1219</f>
        <v>#DIV/0!</v>
      </c>
      <c r="F1221" s="106" t="e">
        <f t="shared" si="2179"/>
        <v>#DIV/0!</v>
      </c>
      <c r="G1221" s="106" t="e">
        <f t="shared" si="2179"/>
        <v>#DIV/0!</v>
      </c>
      <c r="H1221" s="106" t="e">
        <f t="shared" si="2179"/>
        <v>#DIV/0!</v>
      </c>
      <c r="I1221" s="106" t="e">
        <f t="shared" si="2179"/>
        <v>#DIV/0!</v>
      </c>
      <c r="J1221" s="106" t="e">
        <f t="shared" si="2179"/>
        <v>#DIV/0!</v>
      </c>
      <c r="K1221" s="106" t="e">
        <f t="shared" si="2179"/>
        <v>#DIV/0!</v>
      </c>
      <c r="L1221" s="106" t="e">
        <f t="shared" si="2179"/>
        <v>#DIV/0!</v>
      </c>
      <c r="M1221" s="107" t="e">
        <f t="shared" si="2179"/>
        <v>#DIV/0!</v>
      </c>
      <c r="N1221" s="107" t="e">
        <f t="shared" si="2179"/>
        <v>#DIV/0!</v>
      </c>
      <c r="O1221" s="107" t="e">
        <f t="shared" si="2179"/>
        <v>#DIV/0!</v>
      </c>
      <c r="P1221" s="108" t="e">
        <f t="shared" si="2179"/>
        <v>#DIV/0!</v>
      </c>
      <c r="Q1221" s="109" t="e">
        <f t="shared" si="2179"/>
        <v>#DIV/0!</v>
      </c>
      <c r="R1221" s="110" t="e">
        <f t="shared" si="2179"/>
        <v>#DIV/0!</v>
      </c>
      <c r="S1221" s="105"/>
      <c r="T1221" s="91"/>
      <c r="U1221" s="100"/>
      <c r="V1221" s="92"/>
      <c r="W1221" s="101" t="s">
        <v>102</v>
      </c>
      <c r="X1221" s="106" t="e">
        <f t="shared" ref="X1221:AK1221" si="2180">X1220/X1219</f>
        <v>#DIV/0!</v>
      </c>
      <c r="Y1221" s="106" t="e">
        <f t="shared" si="2180"/>
        <v>#DIV/0!</v>
      </c>
      <c r="Z1221" s="106" t="e">
        <f t="shared" si="2180"/>
        <v>#DIV/0!</v>
      </c>
      <c r="AA1221" s="106" t="e">
        <f t="shared" si="2180"/>
        <v>#DIV/0!</v>
      </c>
      <c r="AB1221" s="106" t="e">
        <f t="shared" si="2180"/>
        <v>#DIV/0!</v>
      </c>
      <c r="AC1221" s="106" t="e">
        <f t="shared" si="2180"/>
        <v>#DIV/0!</v>
      </c>
      <c r="AD1221" s="106" t="e">
        <f t="shared" si="2180"/>
        <v>#DIV/0!</v>
      </c>
      <c r="AE1221" s="106" t="e">
        <f t="shared" si="2180"/>
        <v>#DIV/0!</v>
      </c>
      <c r="AF1221" s="107" t="e">
        <f t="shared" si="2180"/>
        <v>#DIV/0!</v>
      </c>
      <c r="AG1221" s="107" t="e">
        <f t="shared" si="2180"/>
        <v>#DIV/0!</v>
      </c>
      <c r="AH1221" s="107" t="e">
        <f t="shared" si="2180"/>
        <v>#DIV/0!</v>
      </c>
      <c r="AI1221" s="108" t="e">
        <f t="shared" si="2180"/>
        <v>#DIV/0!</v>
      </c>
      <c r="AJ1221" s="109" t="e">
        <f t="shared" si="2180"/>
        <v>#DIV/0!</v>
      </c>
      <c r="AK1221" s="110" t="e">
        <f t="shared" si="2180"/>
        <v>#DIV/0!</v>
      </c>
      <c r="AL1221" s="105"/>
    </row>
    <row r="1222" spans="1:38" ht="15.6" hidden="1" thickBot="1">
      <c r="A1222" s="91"/>
      <c r="B1222" s="100"/>
      <c r="C1222" s="111"/>
      <c r="D1222" s="112" t="s">
        <v>103</v>
      </c>
      <c r="E1222" s="113" t="e">
        <f t="shared" ref="E1222:R1222" si="2181">E1220/E1218</f>
        <v>#DIV/0!</v>
      </c>
      <c r="F1222" s="113" t="e">
        <f t="shared" si="2181"/>
        <v>#DIV/0!</v>
      </c>
      <c r="G1222" s="113" t="e">
        <f t="shared" si="2181"/>
        <v>#DIV/0!</v>
      </c>
      <c r="H1222" s="113" t="e">
        <f t="shared" si="2181"/>
        <v>#DIV/0!</v>
      </c>
      <c r="I1222" s="113" t="e">
        <f t="shared" si="2181"/>
        <v>#DIV/0!</v>
      </c>
      <c r="J1222" s="113" t="e">
        <f t="shared" si="2181"/>
        <v>#DIV/0!</v>
      </c>
      <c r="K1222" s="113" t="e">
        <f t="shared" si="2181"/>
        <v>#DIV/0!</v>
      </c>
      <c r="L1222" s="113" t="e">
        <f t="shared" si="2181"/>
        <v>#DIV/0!</v>
      </c>
      <c r="M1222" s="113" t="e">
        <f t="shared" si="2181"/>
        <v>#DIV/0!</v>
      </c>
      <c r="N1222" s="113" t="e">
        <f t="shared" si="2181"/>
        <v>#DIV/0!</v>
      </c>
      <c r="O1222" s="113" t="e">
        <f t="shared" si="2181"/>
        <v>#DIV/0!</v>
      </c>
      <c r="P1222" s="114" t="e">
        <f t="shared" si="2181"/>
        <v>#DIV/0!</v>
      </c>
      <c r="Q1222" s="115" t="e">
        <f t="shared" si="2181"/>
        <v>#DIV/0!</v>
      </c>
      <c r="R1222" s="116" t="e">
        <f t="shared" si="2181"/>
        <v>#DIV/0!</v>
      </c>
      <c r="T1222" s="91"/>
      <c r="U1222" s="100"/>
      <c r="V1222" s="111"/>
      <c r="W1222" s="112" t="s">
        <v>103</v>
      </c>
      <c r="X1222" s="113" t="e">
        <f t="shared" ref="X1222:AK1222" si="2182">X1220/X1218</f>
        <v>#DIV/0!</v>
      </c>
      <c r="Y1222" s="113" t="e">
        <f t="shared" si="2182"/>
        <v>#DIV/0!</v>
      </c>
      <c r="Z1222" s="113" t="e">
        <f t="shared" si="2182"/>
        <v>#DIV/0!</v>
      </c>
      <c r="AA1222" s="113" t="e">
        <f t="shared" si="2182"/>
        <v>#DIV/0!</v>
      </c>
      <c r="AB1222" s="113" t="e">
        <f t="shared" si="2182"/>
        <v>#DIV/0!</v>
      </c>
      <c r="AC1222" s="113" t="e">
        <f t="shared" si="2182"/>
        <v>#DIV/0!</v>
      </c>
      <c r="AD1222" s="113" t="e">
        <f t="shared" si="2182"/>
        <v>#DIV/0!</v>
      </c>
      <c r="AE1222" s="113" t="e">
        <f t="shared" si="2182"/>
        <v>#DIV/0!</v>
      </c>
      <c r="AF1222" s="113" t="e">
        <f t="shared" si="2182"/>
        <v>#DIV/0!</v>
      </c>
      <c r="AG1222" s="113" t="e">
        <f t="shared" si="2182"/>
        <v>#DIV/0!</v>
      </c>
      <c r="AH1222" s="113" t="e">
        <f t="shared" si="2182"/>
        <v>#DIV/0!</v>
      </c>
      <c r="AI1222" s="114" t="e">
        <f t="shared" si="2182"/>
        <v>#DIV/0!</v>
      </c>
      <c r="AJ1222" s="115" t="e">
        <f t="shared" si="2182"/>
        <v>#DIV/0!</v>
      </c>
      <c r="AK1222" s="116" t="e">
        <f t="shared" si="2182"/>
        <v>#DIV/0!</v>
      </c>
    </row>
    <row r="1223" spans="1:38" ht="15.6" hidden="1" thickBot="1">
      <c r="A1223" s="91"/>
      <c r="B1223" s="100"/>
      <c r="C1223" s="86"/>
      <c r="D1223" s="87">
        <v>2019</v>
      </c>
      <c r="E1223" s="88"/>
      <c r="F1223" s="121"/>
      <c r="G1223" s="121"/>
      <c r="H1223" s="121"/>
      <c r="I1223" s="121"/>
      <c r="J1223" s="121"/>
      <c r="K1223" s="121"/>
      <c r="L1223" s="121"/>
      <c r="M1223" s="122"/>
      <c r="N1223" s="122"/>
      <c r="O1223" s="122"/>
      <c r="P1223" s="123"/>
      <c r="Q1223" s="89">
        <f t="shared" ref="Q1223:Q1225" si="2183">SUM(E1223:P1223)</f>
        <v>0</v>
      </c>
      <c r="R1223" s="90">
        <f t="shared" ref="R1223" si="2184">SUM(E1223:M1223)</f>
        <v>0</v>
      </c>
      <c r="T1223" s="91"/>
      <c r="U1223" s="100"/>
      <c r="V1223" s="86">
        <f t="shared" ref="V1223:V1224" si="2185">C1223</f>
        <v>0</v>
      </c>
      <c r="W1223" s="87">
        <v>2019</v>
      </c>
      <c r="X1223" s="88"/>
      <c r="Y1223" s="121"/>
      <c r="Z1223" s="121"/>
      <c r="AA1223" s="121"/>
      <c r="AB1223" s="121"/>
      <c r="AC1223" s="121"/>
      <c r="AD1223" s="121"/>
      <c r="AE1223" s="121"/>
      <c r="AF1223" s="122"/>
      <c r="AG1223" s="122"/>
      <c r="AH1223" s="122"/>
      <c r="AI1223" s="123"/>
      <c r="AJ1223" s="89">
        <f t="shared" ref="AJ1223:AJ1225" si="2186">SUM(X1223:AI1223)</f>
        <v>0</v>
      </c>
      <c r="AK1223" s="90">
        <f t="shared" ref="AK1223:AK1225" si="2187">SUM(X1223:AF1223)</f>
        <v>0</v>
      </c>
    </row>
    <row r="1224" spans="1:38" ht="15.6" hidden="1" thickBot="1">
      <c r="A1224" s="91"/>
      <c r="B1224" s="100"/>
      <c r="C1224" s="92"/>
      <c r="D1224" s="93" t="s">
        <v>92</v>
      </c>
      <c r="E1224" s="94"/>
      <c r="F1224" s="97"/>
      <c r="G1224" s="97"/>
      <c r="H1224" s="97"/>
      <c r="I1224" s="97"/>
      <c r="J1224" s="97"/>
      <c r="K1224" s="97"/>
      <c r="L1224" s="97"/>
      <c r="M1224" s="98"/>
      <c r="N1224" s="98"/>
      <c r="O1224" s="98"/>
      <c r="P1224" s="99"/>
      <c r="Q1224" s="95">
        <f t="shared" si="2183"/>
        <v>0</v>
      </c>
      <c r="R1224" s="96">
        <f t="shared" si="2103"/>
        <v>0</v>
      </c>
      <c r="T1224" s="91"/>
      <c r="U1224" s="100"/>
      <c r="V1224" s="92">
        <f t="shared" si="2185"/>
        <v>0</v>
      </c>
      <c r="W1224" s="93" t="s">
        <v>92</v>
      </c>
      <c r="X1224" s="94"/>
      <c r="Y1224" s="97"/>
      <c r="Z1224" s="97"/>
      <c r="AA1224" s="97"/>
      <c r="AB1224" s="97"/>
      <c r="AC1224" s="97"/>
      <c r="AD1224" s="97"/>
      <c r="AE1224" s="97"/>
      <c r="AF1224" s="98"/>
      <c r="AG1224" s="98"/>
      <c r="AH1224" s="98"/>
      <c r="AI1224" s="99"/>
      <c r="AJ1224" s="95">
        <f t="shared" si="2186"/>
        <v>0</v>
      </c>
      <c r="AK1224" s="96">
        <f t="shared" si="2187"/>
        <v>0</v>
      </c>
    </row>
    <row r="1225" spans="1:38" ht="15.6" hidden="1" thickBot="1">
      <c r="A1225" s="91"/>
      <c r="B1225" s="100"/>
      <c r="C1225" s="92"/>
      <c r="D1225" s="101">
        <v>2020</v>
      </c>
      <c r="E1225" s="102"/>
      <c r="F1225" s="124"/>
      <c r="G1225" s="124"/>
      <c r="H1225" s="124"/>
      <c r="I1225" s="124"/>
      <c r="J1225" s="124"/>
      <c r="K1225" s="124"/>
      <c r="L1225" s="124"/>
      <c r="M1225" s="125"/>
      <c r="N1225" s="125"/>
      <c r="O1225" s="125"/>
      <c r="P1225" s="126"/>
      <c r="Q1225" s="103">
        <f t="shared" si="2183"/>
        <v>0</v>
      </c>
      <c r="R1225" s="104">
        <f t="shared" si="2103"/>
        <v>0</v>
      </c>
      <c r="S1225" s="105"/>
      <c r="T1225" s="91"/>
      <c r="U1225" s="100"/>
      <c r="V1225" s="92"/>
      <c r="W1225" s="101">
        <v>2020</v>
      </c>
      <c r="X1225" s="102"/>
      <c r="Y1225" s="124"/>
      <c r="Z1225" s="124"/>
      <c r="AA1225" s="124"/>
      <c r="AB1225" s="124"/>
      <c r="AC1225" s="124"/>
      <c r="AD1225" s="124"/>
      <c r="AE1225" s="124"/>
      <c r="AF1225" s="125"/>
      <c r="AG1225" s="125"/>
      <c r="AH1225" s="125"/>
      <c r="AI1225" s="126"/>
      <c r="AJ1225" s="103">
        <f t="shared" si="2186"/>
        <v>0</v>
      </c>
      <c r="AK1225" s="104">
        <f t="shared" si="2187"/>
        <v>0</v>
      </c>
      <c r="AL1225" s="105"/>
    </row>
    <row r="1226" spans="1:38" ht="15.6" hidden="1" thickBot="1">
      <c r="A1226" s="91"/>
      <c r="B1226" s="100"/>
      <c r="C1226" s="92"/>
      <c r="D1226" s="101" t="s">
        <v>102</v>
      </c>
      <c r="E1226" s="106" t="e">
        <f t="shared" ref="E1226:R1226" si="2188">E1225/E1224</f>
        <v>#DIV/0!</v>
      </c>
      <c r="F1226" s="106" t="e">
        <f t="shared" si="2188"/>
        <v>#DIV/0!</v>
      </c>
      <c r="G1226" s="106" t="e">
        <f t="shared" si="2188"/>
        <v>#DIV/0!</v>
      </c>
      <c r="H1226" s="106" t="e">
        <f t="shared" si="2188"/>
        <v>#DIV/0!</v>
      </c>
      <c r="I1226" s="106" t="e">
        <f t="shared" si="2188"/>
        <v>#DIV/0!</v>
      </c>
      <c r="J1226" s="106" t="e">
        <f t="shared" si="2188"/>
        <v>#DIV/0!</v>
      </c>
      <c r="K1226" s="106" t="e">
        <f t="shared" si="2188"/>
        <v>#DIV/0!</v>
      </c>
      <c r="L1226" s="106" t="e">
        <f t="shared" si="2188"/>
        <v>#DIV/0!</v>
      </c>
      <c r="M1226" s="107" t="e">
        <f t="shared" si="2188"/>
        <v>#DIV/0!</v>
      </c>
      <c r="N1226" s="107" t="e">
        <f t="shared" si="2188"/>
        <v>#DIV/0!</v>
      </c>
      <c r="O1226" s="107" t="e">
        <f t="shared" si="2188"/>
        <v>#DIV/0!</v>
      </c>
      <c r="P1226" s="108" t="e">
        <f t="shared" si="2188"/>
        <v>#DIV/0!</v>
      </c>
      <c r="Q1226" s="109" t="e">
        <f t="shared" si="2188"/>
        <v>#DIV/0!</v>
      </c>
      <c r="R1226" s="110" t="e">
        <f t="shared" si="2188"/>
        <v>#DIV/0!</v>
      </c>
      <c r="S1226" s="105"/>
      <c r="T1226" s="91"/>
      <c r="U1226" s="100"/>
      <c r="V1226" s="92"/>
      <c r="W1226" s="101" t="s">
        <v>102</v>
      </c>
      <c r="X1226" s="106" t="e">
        <f t="shared" ref="X1226:AK1226" si="2189">X1225/X1224</f>
        <v>#DIV/0!</v>
      </c>
      <c r="Y1226" s="106" t="e">
        <f t="shared" si="2189"/>
        <v>#DIV/0!</v>
      </c>
      <c r="Z1226" s="106" t="e">
        <f t="shared" si="2189"/>
        <v>#DIV/0!</v>
      </c>
      <c r="AA1226" s="106" t="e">
        <f t="shared" si="2189"/>
        <v>#DIV/0!</v>
      </c>
      <c r="AB1226" s="106" t="e">
        <f t="shared" si="2189"/>
        <v>#DIV/0!</v>
      </c>
      <c r="AC1226" s="106" t="e">
        <f t="shared" si="2189"/>
        <v>#DIV/0!</v>
      </c>
      <c r="AD1226" s="106" t="e">
        <f t="shared" si="2189"/>
        <v>#DIV/0!</v>
      </c>
      <c r="AE1226" s="106" t="e">
        <f t="shared" si="2189"/>
        <v>#DIV/0!</v>
      </c>
      <c r="AF1226" s="107" t="e">
        <f t="shared" si="2189"/>
        <v>#DIV/0!</v>
      </c>
      <c r="AG1226" s="107" t="e">
        <f t="shared" si="2189"/>
        <v>#DIV/0!</v>
      </c>
      <c r="AH1226" s="107" t="e">
        <f t="shared" si="2189"/>
        <v>#DIV/0!</v>
      </c>
      <c r="AI1226" s="108" t="e">
        <f t="shared" si="2189"/>
        <v>#DIV/0!</v>
      </c>
      <c r="AJ1226" s="109" t="e">
        <f t="shared" si="2189"/>
        <v>#DIV/0!</v>
      </c>
      <c r="AK1226" s="110" t="e">
        <f t="shared" si="2189"/>
        <v>#DIV/0!</v>
      </c>
      <c r="AL1226" s="105"/>
    </row>
    <row r="1227" spans="1:38" ht="15.6" hidden="1" thickBot="1">
      <c r="A1227" s="91"/>
      <c r="B1227" s="100"/>
      <c r="C1227" s="111"/>
      <c r="D1227" s="112" t="s">
        <v>103</v>
      </c>
      <c r="E1227" s="113" t="e">
        <f t="shared" ref="E1227:R1227" si="2190">E1225/E1223</f>
        <v>#DIV/0!</v>
      </c>
      <c r="F1227" s="113" t="e">
        <f t="shared" si="2190"/>
        <v>#DIV/0!</v>
      </c>
      <c r="G1227" s="113" t="e">
        <f t="shared" si="2190"/>
        <v>#DIV/0!</v>
      </c>
      <c r="H1227" s="113" t="e">
        <f t="shared" si="2190"/>
        <v>#DIV/0!</v>
      </c>
      <c r="I1227" s="113" t="e">
        <f t="shared" si="2190"/>
        <v>#DIV/0!</v>
      </c>
      <c r="J1227" s="113" t="e">
        <f t="shared" si="2190"/>
        <v>#DIV/0!</v>
      </c>
      <c r="K1227" s="113" t="e">
        <f t="shared" si="2190"/>
        <v>#DIV/0!</v>
      </c>
      <c r="L1227" s="113" t="e">
        <f t="shared" si="2190"/>
        <v>#DIV/0!</v>
      </c>
      <c r="M1227" s="113" t="e">
        <f t="shared" si="2190"/>
        <v>#DIV/0!</v>
      </c>
      <c r="N1227" s="113" t="e">
        <f t="shared" si="2190"/>
        <v>#DIV/0!</v>
      </c>
      <c r="O1227" s="113" t="e">
        <f t="shared" si="2190"/>
        <v>#DIV/0!</v>
      </c>
      <c r="P1227" s="114" t="e">
        <f t="shared" si="2190"/>
        <v>#DIV/0!</v>
      </c>
      <c r="Q1227" s="115" t="e">
        <f t="shared" si="2190"/>
        <v>#DIV/0!</v>
      </c>
      <c r="R1227" s="116" t="e">
        <f t="shared" si="2190"/>
        <v>#DIV/0!</v>
      </c>
      <c r="T1227" s="91"/>
      <c r="U1227" s="100"/>
      <c r="V1227" s="111"/>
      <c r="W1227" s="112" t="s">
        <v>103</v>
      </c>
      <c r="X1227" s="113" t="e">
        <f t="shared" ref="X1227:AK1227" si="2191">X1225/X1223</f>
        <v>#DIV/0!</v>
      </c>
      <c r="Y1227" s="113" t="e">
        <f t="shared" si="2191"/>
        <v>#DIV/0!</v>
      </c>
      <c r="Z1227" s="113" t="e">
        <f t="shared" si="2191"/>
        <v>#DIV/0!</v>
      </c>
      <c r="AA1227" s="113" t="e">
        <f t="shared" si="2191"/>
        <v>#DIV/0!</v>
      </c>
      <c r="AB1227" s="113" t="e">
        <f t="shared" si="2191"/>
        <v>#DIV/0!</v>
      </c>
      <c r="AC1227" s="113" t="e">
        <f t="shared" si="2191"/>
        <v>#DIV/0!</v>
      </c>
      <c r="AD1227" s="113" t="e">
        <f t="shared" si="2191"/>
        <v>#DIV/0!</v>
      </c>
      <c r="AE1227" s="113" t="e">
        <f t="shared" si="2191"/>
        <v>#DIV/0!</v>
      </c>
      <c r="AF1227" s="113" t="e">
        <f t="shared" si="2191"/>
        <v>#DIV/0!</v>
      </c>
      <c r="AG1227" s="113" t="e">
        <f t="shared" si="2191"/>
        <v>#DIV/0!</v>
      </c>
      <c r="AH1227" s="113" t="e">
        <f t="shared" si="2191"/>
        <v>#DIV/0!</v>
      </c>
      <c r="AI1227" s="114" t="e">
        <f t="shared" si="2191"/>
        <v>#DIV/0!</v>
      </c>
      <c r="AJ1227" s="115" t="e">
        <f t="shared" si="2191"/>
        <v>#DIV/0!</v>
      </c>
      <c r="AK1227" s="116" t="e">
        <f t="shared" si="2191"/>
        <v>#DIV/0!</v>
      </c>
    </row>
    <row r="1228" spans="1:38" ht="15.6" hidden="1" thickBot="1">
      <c r="A1228" s="91"/>
      <c r="B1228" s="100"/>
      <c r="C1228" s="86"/>
      <c r="D1228" s="87">
        <v>2019</v>
      </c>
      <c r="E1228" s="88"/>
      <c r="F1228" s="121"/>
      <c r="G1228" s="121"/>
      <c r="H1228" s="121"/>
      <c r="I1228" s="121"/>
      <c r="J1228" s="121"/>
      <c r="K1228" s="121"/>
      <c r="L1228" s="121"/>
      <c r="M1228" s="122"/>
      <c r="N1228" s="122"/>
      <c r="O1228" s="122"/>
      <c r="P1228" s="123"/>
      <c r="Q1228" s="89">
        <f t="shared" ref="Q1228:Q1230" si="2192">SUM(E1228:P1228)</f>
        <v>0</v>
      </c>
      <c r="R1228" s="90">
        <f t="shared" ref="R1228" si="2193">SUM(E1228:M1228)</f>
        <v>0</v>
      </c>
      <c r="T1228" s="91"/>
      <c r="U1228" s="100"/>
      <c r="V1228" s="86">
        <f t="shared" ref="V1228:V1229" si="2194">C1228</f>
        <v>0</v>
      </c>
      <c r="W1228" s="87">
        <v>2019</v>
      </c>
      <c r="X1228" s="88"/>
      <c r="Y1228" s="121"/>
      <c r="Z1228" s="121"/>
      <c r="AA1228" s="121"/>
      <c r="AB1228" s="121"/>
      <c r="AC1228" s="121"/>
      <c r="AD1228" s="121"/>
      <c r="AE1228" s="121"/>
      <c r="AF1228" s="122"/>
      <c r="AG1228" s="122"/>
      <c r="AH1228" s="122"/>
      <c r="AI1228" s="123"/>
      <c r="AJ1228" s="89">
        <f t="shared" ref="AJ1228:AJ1230" si="2195">SUM(X1228:AI1228)</f>
        <v>0</v>
      </c>
      <c r="AK1228" s="90">
        <f t="shared" ref="AK1228:AK1230" si="2196">SUM(X1228:AF1228)</f>
        <v>0</v>
      </c>
    </row>
    <row r="1229" spans="1:38" ht="15.6" hidden="1" thickBot="1">
      <c r="A1229" s="91"/>
      <c r="B1229" s="100"/>
      <c r="C1229" s="92"/>
      <c r="D1229" s="93" t="s">
        <v>92</v>
      </c>
      <c r="E1229" s="94"/>
      <c r="F1229" s="97"/>
      <c r="G1229" s="97"/>
      <c r="H1229" s="97"/>
      <c r="I1229" s="97"/>
      <c r="J1229" s="97"/>
      <c r="K1229" s="97"/>
      <c r="L1229" s="97"/>
      <c r="M1229" s="98"/>
      <c r="N1229" s="98"/>
      <c r="O1229" s="98"/>
      <c r="P1229" s="99"/>
      <c r="Q1229" s="95">
        <f t="shared" si="2192"/>
        <v>0</v>
      </c>
      <c r="R1229" s="96">
        <f t="shared" si="2103"/>
        <v>0</v>
      </c>
      <c r="T1229" s="91"/>
      <c r="U1229" s="100"/>
      <c r="V1229" s="92">
        <f t="shared" si="2194"/>
        <v>0</v>
      </c>
      <c r="W1229" s="93" t="s">
        <v>92</v>
      </c>
      <c r="X1229" s="94"/>
      <c r="Y1229" s="97"/>
      <c r="Z1229" s="97"/>
      <c r="AA1229" s="97"/>
      <c r="AB1229" s="97"/>
      <c r="AC1229" s="97"/>
      <c r="AD1229" s="97"/>
      <c r="AE1229" s="97"/>
      <c r="AF1229" s="98"/>
      <c r="AG1229" s="98"/>
      <c r="AH1229" s="98"/>
      <c r="AI1229" s="99"/>
      <c r="AJ1229" s="95">
        <f t="shared" si="2195"/>
        <v>0</v>
      </c>
      <c r="AK1229" s="96">
        <f t="shared" si="2196"/>
        <v>0</v>
      </c>
    </row>
    <row r="1230" spans="1:38" ht="15.6" hidden="1" thickBot="1">
      <c r="A1230" s="91"/>
      <c r="B1230" s="100"/>
      <c r="C1230" s="92"/>
      <c r="D1230" s="101">
        <v>2020</v>
      </c>
      <c r="E1230" s="102"/>
      <c r="F1230" s="124"/>
      <c r="G1230" s="124"/>
      <c r="H1230" s="124"/>
      <c r="I1230" s="124"/>
      <c r="J1230" s="124"/>
      <c r="K1230" s="124"/>
      <c r="L1230" s="124"/>
      <c r="M1230" s="125"/>
      <c r="N1230" s="125"/>
      <c r="O1230" s="125"/>
      <c r="P1230" s="126"/>
      <c r="Q1230" s="103">
        <f t="shared" si="2192"/>
        <v>0</v>
      </c>
      <c r="R1230" s="104">
        <f t="shared" si="2103"/>
        <v>0</v>
      </c>
      <c r="S1230" s="105"/>
      <c r="T1230" s="91"/>
      <c r="U1230" s="100"/>
      <c r="V1230" s="92"/>
      <c r="W1230" s="101">
        <v>2020</v>
      </c>
      <c r="X1230" s="102"/>
      <c r="Y1230" s="124"/>
      <c r="Z1230" s="124"/>
      <c r="AA1230" s="124"/>
      <c r="AB1230" s="124"/>
      <c r="AC1230" s="124"/>
      <c r="AD1230" s="124"/>
      <c r="AE1230" s="124"/>
      <c r="AF1230" s="125"/>
      <c r="AG1230" s="125"/>
      <c r="AH1230" s="125"/>
      <c r="AI1230" s="126"/>
      <c r="AJ1230" s="103">
        <f t="shared" si="2195"/>
        <v>0</v>
      </c>
      <c r="AK1230" s="104">
        <f t="shared" si="2196"/>
        <v>0</v>
      </c>
      <c r="AL1230" s="105"/>
    </row>
    <row r="1231" spans="1:38" ht="15.6" hidden="1" thickBot="1">
      <c r="A1231" s="91"/>
      <c r="B1231" s="100"/>
      <c r="C1231" s="92"/>
      <c r="D1231" s="101" t="s">
        <v>102</v>
      </c>
      <c r="E1231" s="106" t="e">
        <f t="shared" ref="E1231:R1231" si="2197">E1230/E1229</f>
        <v>#DIV/0!</v>
      </c>
      <c r="F1231" s="106" t="e">
        <f t="shared" si="2197"/>
        <v>#DIV/0!</v>
      </c>
      <c r="G1231" s="106" t="e">
        <f t="shared" si="2197"/>
        <v>#DIV/0!</v>
      </c>
      <c r="H1231" s="106" t="e">
        <f t="shared" si="2197"/>
        <v>#DIV/0!</v>
      </c>
      <c r="I1231" s="106" t="e">
        <f t="shared" si="2197"/>
        <v>#DIV/0!</v>
      </c>
      <c r="J1231" s="106" t="e">
        <f t="shared" si="2197"/>
        <v>#DIV/0!</v>
      </c>
      <c r="K1231" s="106" t="e">
        <f t="shared" si="2197"/>
        <v>#DIV/0!</v>
      </c>
      <c r="L1231" s="106" t="e">
        <f t="shared" si="2197"/>
        <v>#DIV/0!</v>
      </c>
      <c r="M1231" s="107" t="e">
        <f t="shared" si="2197"/>
        <v>#DIV/0!</v>
      </c>
      <c r="N1231" s="107" t="e">
        <f t="shared" si="2197"/>
        <v>#DIV/0!</v>
      </c>
      <c r="O1231" s="107" t="e">
        <f t="shared" si="2197"/>
        <v>#DIV/0!</v>
      </c>
      <c r="P1231" s="108" t="e">
        <f t="shared" si="2197"/>
        <v>#DIV/0!</v>
      </c>
      <c r="Q1231" s="109" t="e">
        <f t="shared" si="2197"/>
        <v>#DIV/0!</v>
      </c>
      <c r="R1231" s="110" t="e">
        <f t="shared" si="2197"/>
        <v>#DIV/0!</v>
      </c>
      <c r="S1231" s="105"/>
      <c r="T1231" s="91"/>
      <c r="U1231" s="100"/>
      <c r="V1231" s="92"/>
      <c r="W1231" s="101" t="s">
        <v>102</v>
      </c>
      <c r="X1231" s="106" t="e">
        <f t="shared" ref="X1231:AK1231" si="2198">X1230/X1229</f>
        <v>#DIV/0!</v>
      </c>
      <c r="Y1231" s="106" t="e">
        <f t="shared" si="2198"/>
        <v>#DIV/0!</v>
      </c>
      <c r="Z1231" s="106" t="e">
        <f t="shared" si="2198"/>
        <v>#DIV/0!</v>
      </c>
      <c r="AA1231" s="106" t="e">
        <f t="shared" si="2198"/>
        <v>#DIV/0!</v>
      </c>
      <c r="AB1231" s="106" t="e">
        <f t="shared" si="2198"/>
        <v>#DIV/0!</v>
      </c>
      <c r="AC1231" s="106" t="e">
        <f t="shared" si="2198"/>
        <v>#DIV/0!</v>
      </c>
      <c r="AD1231" s="106" t="e">
        <f t="shared" si="2198"/>
        <v>#DIV/0!</v>
      </c>
      <c r="AE1231" s="106" t="e">
        <f t="shared" si="2198"/>
        <v>#DIV/0!</v>
      </c>
      <c r="AF1231" s="107" t="e">
        <f t="shared" si="2198"/>
        <v>#DIV/0!</v>
      </c>
      <c r="AG1231" s="107" t="e">
        <f t="shared" si="2198"/>
        <v>#DIV/0!</v>
      </c>
      <c r="AH1231" s="107" t="e">
        <f t="shared" si="2198"/>
        <v>#DIV/0!</v>
      </c>
      <c r="AI1231" s="108" t="e">
        <f t="shared" si="2198"/>
        <v>#DIV/0!</v>
      </c>
      <c r="AJ1231" s="109" t="e">
        <f t="shared" si="2198"/>
        <v>#DIV/0!</v>
      </c>
      <c r="AK1231" s="110" t="e">
        <f t="shared" si="2198"/>
        <v>#DIV/0!</v>
      </c>
      <c r="AL1231" s="105"/>
    </row>
    <row r="1232" spans="1:38" ht="15.6" hidden="1" thickBot="1">
      <c r="A1232" s="91"/>
      <c r="B1232" s="100"/>
      <c r="C1232" s="111"/>
      <c r="D1232" s="112" t="s">
        <v>103</v>
      </c>
      <c r="E1232" s="113" t="e">
        <f t="shared" ref="E1232:R1232" si="2199">E1230/E1228</f>
        <v>#DIV/0!</v>
      </c>
      <c r="F1232" s="113" t="e">
        <f t="shared" si="2199"/>
        <v>#DIV/0!</v>
      </c>
      <c r="G1232" s="113" t="e">
        <f t="shared" si="2199"/>
        <v>#DIV/0!</v>
      </c>
      <c r="H1232" s="113" t="e">
        <f t="shared" si="2199"/>
        <v>#DIV/0!</v>
      </c>
      <c r="I1232" s="113" t="e">
        <f t="shared" si="2199"/>
        <v>#DIV/0!</v>
      </c>
      <c r="J1232" s="113" t="e">
        <f t="shared" si="2199"/>
        <v>#DIV/0!</v>
      </c>
      <c r="K1232" s="113" t="e">
        <f t="shared" si="2199"/>
        <v>#DIV/0!</v>
      </c>
      <c r="L1232" s="113" t="e">
        <f t="shared" si="2199"/>
        <v>#DIV/0!</v>
      </c>
      <c r="M1232" s="113" t="e">
        <f t="shared" si="2199"/>
        <v>#DIV/0!</v>
      </c>
      <c r="N1232" s="113" t="e">
        <f t="shared" si="2199"/>
        <v>#DIV/0!</v>
      </c>
      <c r="O1232" s="113" t="e">
        <f t="shared" si="2199"/>
        <v>#DIV/0!</v>
      </c>
      <c r="P1232" s="114" t="e">
        <f t="shared" si="2199"/>
        <v>#DIV/0!</v>
      </c>
      <c r="Q1232" s="115" t="e">
        <f t="shared" si="2199"/>
        <v>#DIV/0!</v>
      </c>
      <c r="R1232" s="116" t="e">
        <f t="shared" si="2199"/>
        <v>#DIV/0!</v>
      </c>
      <c r="T1232" s="91"/>
      <c r="U1232" s="100"/>
      <c r="V1232" s="111"/>
      <c r="W1232" s="112" t="s">
        <v>103</v>
      </c>
      <c r="X1232" s="113" t="e">
        <f t="shared" ref="X1232:AK1232" si="2200">X1230/X1228</f>
        <v>#DIV/0!</v>
      </c>
      <c r="Y1232" s="113" t="e">
        <f t="shared" si="2200"/>
        <v>#DIV/0!</v>
      </c>
      <c r="Z1232" s="113" t="e">
        <f t="shared" si="2200"/>
        <v>#DIV/0!</v>
      </c>
      <c r="AA1232" s="113" t="e">
        <f t="shared" si="2200"/>
        <v>#DIV/0!</v>
      </c>
      <c r="AB1232" s="113" t="e">
        <f t="shared" si="2200"/>
        <v>#DIV/0!</v>
      </c>
      <c r="AC1232" s="113" t="e">
        <f t="shared" si="2200"/>
        <v>#DIV/0!</v>
      </c>
      <c r="AD1232" s="113" t="e">
        <f t="shared" si="2200"/>
        <v>#DIV/0!</v>
      </c>
      <c r="AE1232" s="113" t="e">
        <f t="shared" si="2200"/>
        <v>#DIV/0!</v>
      </c>
      <c r="AF1232" s="113" t="e">
        <f t="shared" si="2200"/>
        <v>#DIV/0!</v>
      </c>
      <c r="AG1232" s="113" t="e">
        <f t="shared" si="2200"/>
        <v>#DIV/0!</v>
      </c>
      <c r="AH1232" s="113" t="e">
        <f t="shared" si="2200"/>
        <v>#DIV/0!</v>
      </c>
      <c r="AI1232" s="114" t="e">
        <f t="shared" si="2200"/>
        <v>#DIV/0!</v>
      </c>
      <c r="AJ1232" s="115" t="e">
        <f t="shared" si="2200"/>
        <v>#DIV/0!</v>
      </c>
      <c r="AK1232" s="116" t="e">
        <f t="shared" si="2200"/>
        <v>#DIV/0!</v>
      </c>
    </row>
    <row r="1233" spans="1:38" ht="15.6" hidden="1" thickBot="1">
      <c r="A1233" s="91"/>
      <c r="B1233" s="100"/>
      <c r="C1233" s="86"/>
      <c r="D1233" s="87">
        <v>2019</v>
      </c>
      <c r="E1233" s="88"/>
      <c r="F1233" s="121"/>
      <c r="G1233" s="121"/>
      <c r="H1233" s="121"/>
      <c r="I1233" s="121"/>
      <c r="J1233" s="121"/>
      <c r="K1233" s="121"/>
      <c r="L1233" s="121"/>
      <c r="M1233" s="122"/>
      <c r="N1233" s="122"/>
      <c r="O1233" s="122"/>
      <c r="P1233" s="123"/>
      <c r="Q1233" s="89">
        <f t="shared" ref="Q1233:Q1235" si="2201">SUM(E1233:P1233)</f>
        <v>0</v>
      </c>
      <c r="R1233" s="90">
        <f t="shared" ref="R1233" si="2202">SUM(E1233:M1233)</f>
        <v>0</v>
      </c>
      <c r="T1233" s="91"/>
      <c r="U1233" s="100"/>
      <c r="V1233" s="86">
        <f t="shared" ref="V1233:V1234" si="2203">C1233</f>
        <v>0</v>
      </c>
      <c r="W1233" s="87">
        <v>2019</v>
      </c>
      <c r="X1233" s="88"/>
      <c r="Y1233" s="121"/>
      <c r="Z1233" s="121"/>
      <c r="AA1233" s="121"/>
      <c r="AB1233" s="121"/>
      <c r="AC1233" s="121"/>
      <c r="AD1233" s="121"/>
      <c r="AE1233" s="121"/>
      <c r="AF1233" s="122"/>
      <c r="AG1233" s="122"/>
      <c r="AH1233" s="122"/>
      <c r="AI1233" s="123"/>
      <c r="AJ1233" s="89">
        <f t="shared" ref="AJ1233:AJ1235" si="2204">SUM(X1233:AI1233)</f>
        <v>0</v>
      </c>
      <c r="AK1233" s="90">
        <f t="shared" ref="AK1233:AK1235" si="2205">SUM(X1233:AF1233)</f>
        <v>0</v>
      </c>
    </row>
    <row r="1234" spans="1:38" ht="15.6" hidden="1" thickBot="1">
      <c r="A1234" s="91"/>
      <c r="B1234" s="100"/>
      <c r="C1234" s="92"/>
      <c r="D1234" s="93" t="s">
        <v>92</v>
      </c>
      <c r="E1234" s="94"/>
      <c r="F1234" s="97"/>
      <c r="G1234" s="97"/>
      <c r="H1234" s="97"/>
      <c r="I1234" s="97"/>
      <c r="J1234" s="97"/>
      <c r="K1234" s="97"/>
      <c r="L1234" s="97"/>
      <c r="M1234" s="98"/>
      <c r="N1234" s="98"/>
      <c r="O1234" s="98"/>
      <c r="P1234" s="99"/>
      <c r="Q1234" s="95">
        <f t="shared" si="2201"/>
        <v>0</v>
      </c>
      <c r="R1234" s="96">
        <f t="shared" si="2103"/>
        <v>0</v>
      </c>
      <c r="T1234" s="91"/>
      <c r="U1234" s="100"/>
      <c r="V1234" s="92">
        <f t="shared" si="2203"/>
        <v>0</v>
      </c>
      <c r="W1234" s="93" t="s">
        <v>92</v>
      </c>
      <c r="X1234" s="94"/>
      <c r="Y1234" s="97"/>
      <c r="Z1234" s="97"/>
      <c r="AA1234" s="97"/>
      <c r="AB1234" s="97"/>
      <c r="AC1234" s="97"/>
      <c r="AD1234" s="97"/>
      <c r="AE1234" s="97"/>
      <c r="AF1234" s="98"/>
      <c r="AG1234" s="98"/>
      <c r="AH1234" s="98"/>
      <c r="AI1234" s="99"/>
      <c r="AJ1234" s="95">
        <f t="shared" si="2204"/>
        <v>0</v>
      </c>
      <c r="AK1234" s="96">
        <f t="shared" si="2205"/>
        <v>0</v>
      </c>
    </row>
    <row r="1235" spans="1:38" ht="15.6" hidden="1" thickBot="1">
      <c r="A1235" s="91"/>
      <c r="B1235" s="100"/>
      <c r="C1235" s="92"/>
      <c r="D1235" s="101">
        <v>2020</v>
      </c>
      <c r="E1235" s="102"/>
      <c r="F1235" s="124"/>
      <c r="G1235" s="124"/>
      <c r="H1235" s="124"/>
      <c r="I1235" s="124"/>
      <c r="J1235" s="124"/>
      <c r="K1235" s="124"/>
      <c r="L1235" s="124"/>
      <c r="M1235" s="125"/>
      <c r="N1235" s="125"/>
      <c r="O1235" s="125"/>
      <c r="P1235" s="126"/>
      <c r="Q1235" s="103">
        <f t="shared" si="2201"/>
        <v>0</v>
      </c>
      <c r="R1235" s="104">
        <f t="shared" si="2103"/>
        <v>0</v>
      </c>
      <c r="S1235" s="105"/>
      <c r="T1235" s="91"/>
      <c r="U1235" s="100"/>
      <c r="V1235" s="92"/>
      <c r="W1235" s="101">
        <v>2020</v>
      </c>
      <c r="X1235" s="102"/>
      <c r="Y1235" s="124"/>
      <c r="Z1235" s="124"/>
      <c r="AA1235" s="124"/>
      <c r="AB1235" s="124"/>
      <c r="AC1235" s="124"/>
      <c r="AD1235" s="124"/>
      <c r="AE1235" s="124"/>
      <c r="AF1235" s="125"/>
      <c r="AG1235" s="125"/>
      <c r="AH1235" s="125"/>
      <c r="AI1235" s="126"/>
      <c r="AJ1235" s="103">
        <f t="shared" si="2204"/>
        <v>0</v>
      </c>
      <c r="AK1235" s="104">
        <f t="shared" si="2205"/>
        <v>0</v>
      </c>
      <c r="AL1235" s="105"/>
    </row>
    <row r="1236" spans="1:38" ht="15.6" hidden="1" thickBot="1">
      <c r="A1236" s="91"/>
      <c r="B1236" s="100"/>
      <c r="C1236" s="92"/>
      <c r="D1236" s="101" t="s">
        <v>102</v>
      </c>
      <c r="E1236" s="106" t="e">
        <f t="shared" ref="E1236:R1236" si="2206">E1235/E1234</f>
        <v>#DIV/0!</v>
      </c>
      <c r="F1236" s="106" t="e">
        <f t="shared" si="2206"/>
        <v>#DIV/0!</v>
      </c>
      <c r="G1236" s="106" t="e">
        <f t="shared" si="2206"/>
        <v>#DIV/0!</v>
      </c>
      <c r="H1236" s="106" t="e">
        <f t="shared" si="2206"/>
        <v>#DIV/0!</v>
      </c>
      <c r="I1236" s="106" t="e">
        <f t="shared" si="2206"/>
        <v>#DIV/0!</v>
      </c>
      <c r="J1236" s="106" t="e">
        <f t="shared" si="2206"/>
        <v>#DIV/0!</v>
      </c>
      <c r="K1236" s="106" t="e">
        <f t="shared" si="2206"/>
        <v>#DIV/0!</v>
      </c>
      <c r="L1236" s="106" t="e">
        <f t="shared" si="2206"/>
        <v>#DIV/0!</v>
      </c>
      <c r="M1236" s="107" t="e">
        <f t="shared" si="2206"/>
        <v>#DIV/0!</v>
      </c>
      <c r="N1236" s="107" t="e">
        <f t="shared" si="2206"/>
        <v>#DIV/0!</v>
      </c>
      <c r="O1236" s="107" t="e">
        <f t="shared" si="2206"/>
        <v>#DIV/0!</v>
      </c>
      <c r="P1236" s="108" t="e">
        <f t="shared" si="2206"/>
        <v>#DIV/0!</v>
      </c>
      <c r="Q1236" s="109" t="e">
        <f t="shared" si="2206"/>
        <v>#DIV/0!</v>
      </c>
      <c r="R1236" s="110" t="e">
        <f t="shared" si="2206"/>
        <v>#DIV/0!</v>
      </c>
      <c r="S1236" s="105"/>
      <c r="T1236" s="91"/>
      <c r="U1236" s="100"/>
      <c r="V1236" s="92"/>
      <c r="W1236" s="101" t="s">
        <v>102</v>
      </c>
      <c r="X1236" s="106" t="e">
        <f t="shared" ref="X1236:AK1236" si="2207">X1235/X1234</f>
        <v>#DIV/0!</v>
      </c>
      <c r="Y1236" s="106" t="e">
        <f t="shared" si="2207"/>
        <v>#DIV/0!</v>
      </c>
      <c r="Z1236" s="106" t="e">
        <f t="shared" si="2207"/>
        <v>#DIV/0!</v>
      </c>
      <c r="AA1236" s="106" t="e">
        <f t="shared" si="2207"/>
        <v>#DIV/0!</v>
      </c>
      <c r="AB1236" s="106" t="e">
        <f t="shared" si="2207"/>
        <v>#DIV/0!</v>
      </c>
      <c r="AC1236" s="106" t="e">
        <f t="shared" si="2207"/>
        <v>#DIV/0!</v>
      </c>
      <c r="AD1236" s="106" t="e">
        <f t="shared" si="2207"/>
        <v>#DIV/0!</v>
      </c>
      <c r="AE1236" s="106" t="e">
        <f t="shared" si="2207"/>
        <v>#DIV/0!</v>
      </c>
      <c r="AF1236" s="107" t="e">
        <f t="shared" si="2207"/>
        <v>#DIV/0!</v>
      </c>
      <c r="AG1236" s="107" t="e">
        <f t="shared" si="2207"/>
        <v>#DIV/0!</v>
      </c>
      <c r="AH1236" s="107" t="e">
        <f t="shared" si="2207"/>
        <v>#DIV/0!</v>
      </c>
      <c r="AI1236" s="108" t="e">
        <f t="shared" si="2207"/>
        <v>#DIV/0!</v>
      </c>
      <c r="AJ1236" s="109" t="e">
        <f t="shared" si="2207"/>
        <v>#DIV/0!</v>
      </c>
      <c r="AK1236" s="110" t="e">
        <f t="shared" si="2207"/>
        <v>#DIV/0!</v>
      </c>
      <c r="AL1236" s="105"/>
    </row>
    <row r="1237" spans="1:38" ht="15.6" hidden="1" thickBot="1">
      <c r="A1237" s="91"/>
      <c r="B1237" s="100"/>
      <c r="C1237" s="111"/>
      <c r="D1237" s="112" t="s">
        <v>103</v>
      </c>
      <c r="E1237" s="113" t="e">
        <f t="shared" ref="E1237:R1237" si="2208">E1235/E1233</f>
        <v>#DIV/0!</v>
      </c>
      <c r="F1237" s="113" t="e">
        <f t="shared" si="2208"/>
        <v>#DIV/0!</v>
      </c>
      <c r="G1237" s="113" t="e">
        <f t="shared" si="2208"/>
        <v>#DIV/0!</v>
      </c>
      <c r="H1237" s="113" t="e">
        <f t="shared" si="2208"/>
        <v>#DIV/0!</v>
      </c>
      <c r="I1237" s="113" t="e">
        <f t="shared" si="2208"/>
        <v>#DIV/0!</v>
      </c>
      <c r="J1237" s="113" t="e">
        <f t="shared" si="2208"/>
        <v>#DIV/0!</v>
      </c>
      <c r="K1237" s="113" t="e">
        <f t="shared" si="2208"/>
        <v>#DIV/0!</v>
      </c>
      <c r="L1237" s="113" t="e">
        <f t="shared" si="2208"/>
        <v>#DIV/0!</v>
      </c>
      <c r="M1237" s="113" t="e">
        <f t="shared" si="2208"/>
        <v>#DIV/0!</v>
      </c>
      <c r="N1237" s="113" t="e">
        <f t="shared" si="2208"/>
        <v>#DIV/0!</v>
      </c>
      <c r="O1237" s="113" t="e">
        <f t="shared" si="2208"/>
        <v>#DIV/0!</v>
      </c>
      <c r="P1237" s="114" t="e">
        <f t="shared" si="2208"/>
        <v>#DIV/0!</v>
      </c>
      <c r="Q1237" s="115" t="e">
        <f t="shared" si="2208"/>
        <v>#DIV/0!</v>
      </c>
      <c r="R1237" s="116" t="e">
        <f t="shared" si="2208"/>
        <v>#DIV/0!</v>
      </c>
      <c r="T1237" s="91"/>
      <c r="U1237" s="100"/>
      <c r="V1237" s="111"/>
      <c r="W1237" s="112" t="s">
        <v>103</v>
      </c>
      <c r="X1237" s="113" t="e">
        <f t="shared" ref="X1237:AK1237" si="2209">X1235/X1233</f>
        <v>#DIV/0!</v>
      </c>
      <c r="Y1237" s="113" t="e">
        <f t="shared" si="2209"/>
        <v>#DIV/0!</v>
      </c>
      <c r="Z1237" s="113" t="e">
        <f t="shared" si="2209"/>
        <v>#DIV/0!</v>
      </c>
      <c r="AA1237" s="113" t="e">
        <f t="shared" si="2209"/>
        <v>#DIV/0!</v>
      </c>
      <c r="AB1237" s="113" t="e">
        <f t="shared" si="2209"/>
        <v>#DIV/0!</v>
      </c>
      <c r="AC1237" s="113" t="e">
        <f t="shared" si="2209"/>
        <v>#DIV/0!</v>
      </c>
      <c r="AD1237" s="113" t="e">
        <f t="shared" si="2209"/>
        <v>#DIV/0!</v>
      </c>
      <c r="AE1237" s="113" t="e">
        <f t="shared" si="2209"/>
        <v>#DIV/0!</v>
      </c>
      <c r="AF1237" s="113" t="e">
        <f t="shared" si="2209"/>
        <v>#DIV/0!</v>
      </c>
      <c r="AG1237" s="113" t="e">
        <f t="shared" si="2209"/>
        <v>#DIV/0!</v>
      </c>
      <c r="AH1237" s="113" t="e">
        <f t="shared" si="2209"/>
        <v>#DIV/0!</v>
      </c>
      <c r="AI1237" s="114" t="e">
        <f t="shared" si="2209"/>
        <v>#DIV/0!</v>
      </c>
      <c r="AJ1237" s="115" t="e">
        <f t="shared" si="2209"/>
        <v>#DIV/0!</v>
      </c>
      <c r="AK1237" s="116" t="e">
        <f t="shared" si="2209"/>
        <v>#DIV/0!</v>
      </c>
    </row>
    <row r="1238" spans="1:38" ht="15.6" hidden="1" thickBot="1">
      <c r="A1238" s="91"/>
      <c r="B1238" s="100"/>
      <c r="C1238" s="86"/>
      <c r="D1238" s="87">
        <v>2019</v>
      </c>
      <c r="E1238" s="88"/>
      <c r="F1238" s="121"/>
      <c r="G1238" s="121"/>
      <c r="H1238" s="121"/>
      <c r="I1238" s="121"/>
      <c r="J1238" s="121"/>
      <c r="K1238" s="121"/>
      <c r="L1238" s="121"/>
      <c r="M1238" s="122"/>
      <c r="N1238" s="122"/>
      <c r="O1238" s="122"/>
      <c r="P1238" s="123"/>
      <c r="Q1238" s="89">
        <f t="shared" ref="Q1238:Q1240" si="2210">SUM(E1238:P1238)</f>
        <v>0</v>
      </c>
      <c r="R1238" s="90">
        <f t="shared" ref="R1238" si="2211">SUM(E1238:M1238)</f>
        <v>0</v>
      </c>
      <c r="T1238" s="91"/>
      <c r="U1238" s="100"/>
      <c r="V1238" s="86">
        <f t="shared" ref="V1238:V1239" si="2212">C1238</f>
        <v>0</v>
      </c>
      <c r="W1238" s="87">
        <v>2019</v>
      </c>
      <c r="X1238" s="88"/>
      <c r="Y1238" s="121"/>
      <c r="Z1238" s="121"/>
      <c r="AA1238" s="121"/>
      <c r="AB1238" s="121"/>
      <c r="AC1238" s="121"/>
      <c r="AD1238" s="121"/>
      <c r="AE1238" s="121"/>
      <c r="AF1238" s="122"/>
      <c r="AG1238" s="122"/>
      <c r="AH1238" s="122"/>
      <c r="AI1238" s="123"/>
      <c r="AJ1238" s="89">
        <f t="shared" ref="AJ1238:AJ1240" si="2213">SUM(X1238:AI1238)</f>
        <v>0</v>
      </c>
      <c r="AK1238" s="90">
        <f t="shared" ref="AK1238:AK1240" si="2214">SUM(X1238:AF1238)</f>
        <v>0</v>
      </c>
    </row>
    <row r="1239" spans="1:38" ht="15.6" hidden="1" thickBot="1">
      <c r="A1239" s="91"/>
      <c r="B1239" s="100"/>
      <c r="C1239" s="92"/>
      <c r="D1239" s="93" t="s">
        <v>92</v>
      </c>
      <c r="E1239" s="94"/>
      <c r="F1239" s="97"/>
      <c r="G1239" s="97"/>
      <c r="H1239" s="97"/>
      <c r="I1239" s="97"/>
      <c r="J1239" s="97"/>
      <c r="K1239" s="97"/>
      <c r="L1239" s="97"/>
      <c r="M1239" s="98"/>
      <c r="N1239" s="98"/>
      <c r="O1239" s="98"/>
      <c r="P1239" s="99"/>
      <c r="Q1239" s="95">
        <f t="shared" si="2210"/>
        <v>0</v>
      </c>
      <c r="R1239" s="96">
        <f t="shared" si="2103"/>
        <v>0</v>
      </c>
      <c r="T1239" s="91"/>
      <c r="U1239" s="100"/>
      <c r="V1239" s="92">
        <f t="shared" si="2212"/>
        <v>0</v>
      </c>
      <c r="W1239" s="93" t="s">
        <v>92</v>
      </c>
      <c r="X1239" s="94"/>
      <c r="Y1239" s="97"/>
      <c r="Z1239" s="97"/>
      <c r="AA1239" s="97"/>
      <c r="AB1239" s="97"/>
      <c r="AC1239" s="97"/>
      <c r="AD1239" s="97"/>
      <c r="AE1239" s="97"/>
      <c r="AF1239" s="98"/>
      <c r="AG1239" s="98"/>
      <c r="AH1239" s="98"/>
      <c r="AI1239" s="99"/>
      <c r="AJ1239" s="95">
        <f t="shared" si="2213"/>
        <v>0</v>
      </c>
      <c r="AK1239" s="96">
        <f t="shared" si="2214"/>
        <v>0</v>
      </c>
    </row>
    <row r="1240" spans="1:38" ht="15.6" hidden="1" thickBot="1">
      <c r="A1240" s="91"/>
      <c r="B1240" s="100"/>
      <c r="C1240" s="92"/>
      <c r="D1240" s="101">
        <v>2020</v>
      </c>
      <c r="E1240" s="102"/>
      <c r="F1240" s="124"/>
      <c r="G1240" s="124"/>
      <c r="H1240" s="124"/>
      <c r="I1240" s="124"/>
      <c r="J1240" s="124"/>
      <c r="K1240" s="124"/>
      <c r="L1240" s="124"/>
      <c r="M1240" s="125"/>
      <c r="N1240" s="125"/>
      <c r="O1240" s="125"/>
      <c r="P1240" s="126"/>
      <c r="Q1240" s="103">
        <f t="shared" si="2210"/>
        <v>0</v>
      </c>
      <c r="R1240" s="104">
        <f t="shared" si="2103"/>
        <v>0</v>
      </c>
      <c r="S1240" s="105"/>
      <c r="T1240" s="91"/>
      <c r="U1240" s="100"/>
      <c r="V1240" s="92"/>
      <c r="W1240" s="101">
        <v>2020</v>
      </c>
      <c r="X1240" s="102"/>
      <c r="Y1240" s="124"/>
      <c r="Z1240" s="124"/>
      <c r="AA1240" s="124"/>
      <c r="AB1240" s="124"/>
      <c r="AC1240" s="124"/>
      <c r="AD1240" s="124"/>
      <c r="AE1240" s="124"/>
      <c r="AF1240" s="125"/>
      <c r="AG1240" s="125"/>
      <c r="AH1240" s="125"/>
      <c r="AI1240" s="126"/>
      <c r="AJ1240" s="103">
        <f t="shared" si="2213"/>
        <v>0</v>
      </c>
      <c r="AK1240" s="104">
        <f t="shared" si="2214"/>
        <v>0</v>
      </c>
      <c r="AL1240" s="105"/>
    </row>
    <row r="1241" spans="1:38" ht="15.6" hidden="1" thickBot="1">
      <c r="A1241" s="91"/>
      <c r="B1241" s="100"/>
      <c r="C1241" s="92"/>
      <c r="D1241" s="101" t="s">
        <v>102</v>
      </c>
      <c r="E1241" s="106" t="e">
        <f t="shared" ref="E1241:R1241" si="2215">E1240/E1239</f>
        <v>#DIV/0!</v>
      </c>
      <c r="F1241" s="106" t="e">
        <f t="shared" si="2215"/>
        <v>#DIV/0!</v>
      </c>
      <c r="G1241" s="106" t="e">
        <f t="shared" si="2215"/>
        <v>#DIV/0!</v>
      </c>
      <c r="H1241" s="106" t="e">
        <f t="shared" si="2215"/>
        <v>#DIV/0!</v>
      </c>
      <c r="I1241" s="106" t="e">
        <f t="shared" si="2215"/>
        <v>#DIV/0!</v>
      </c>
      <c r="J1241" s="106" t="e">
        <f t="shared" si="2215"/>
        <v>#DIV/0!</v>
      </c>
      <c r="K1241" s="106" t="e">
        <f t="shared" si="2215"/>
        <v>#DIV/0!</v>
      </c>
      <c r="L1241" s="106" t="e">
        <f t="shared" si="2215"/>
        <v>#DIV/0!</v>
      </c>
      <c r="M1241" s="107" t="e">
        <f t="shared" si="2215"/>
        <v>#DIV/0!</v>
      </c>
      <c r="N1241" s="107" t="e">
        <f t="shared" si="2215"/>
        <v>#DIV/0!</v>
      </c>
      <c r="O1241" s="107" t="e">
        <f t="shared" si="2215"/>
        <v>#DIV/0!</v>
      </c>
      <c r="P1241" s="108" t="e">
        <f t="shared" si="2215"/>
        <v>#DIV/0!</v>
      </c>
      <c r="Q1241" s="109" t="e">
        <f t="shared" si="2215"/>
        <v>#DIV/0!</v>
      </c>
      <c r="R1241" s="110" t="e">
        <f t="shared" si="2215"/>
        <v>#DIV/0!</v>
      </c>
      <c r="S1241" s="105"/>
      <c r="T1241" s="91"/>
      <c r="U1241" s="100"/>
      <c r="V1241" s="92"/>
      <c r="W1241" s="101" t="s">
        <v>102</v>
      </c>
      <c r="X1241" s="106" t="e">
        <f t="shared" ref="X1241:AK1241" si="2216">X1240/X1239</f>
        <v>#DIV/0!</v>
      </c>
      <c r="Y1241" s="106" t="e">
        <f t="shared" si="2216"/>
        <v>#DIV/0!</v>
      </c>
      <c r="Z1241" s="106" t="e">
        <f t="shared" si="2216"/>
        <v>#DIV/0!</v>
      </c>
      <c r="AA1241" s="106" t="e">
        <f t="shared" si="2216"/>
        <v>#DIV/0!</v>
      </c>
      <c r="AB1241" s="106" t="e">
        <f t="shared" si="2216"/>
        <v>#DIV/0!</v>
      </c>
      <c r="AC1241" s="106" t="e">
        <f t="shared" si="2216"/>
        <v>#DIV/0!</v>
      </c>
      <c r="AD1241" s="106" t="e">
        <f t="shared" si="2216"/>
        <v>#DIV/0!</v>
      </c>
      <c r="AE1241" s="106" t="e">
        <f t="shared" si="2216"/>
        <v>#DIV/0!</v>
      </c>
      <c r="AF1241" s="107" t="e">
        <f t="shared" si="2216"/>
        <v>#DIV/0!</v>
      </c>
      <c r="AG1241" s="107" t="e">
        <f t="shared" si="2216"/>
        <v>#DIV/0!</v>
      </c>
      <c r="AH1241" s="107" t="e">
        <f t="shared" si="2216"/>
        <v>#DIV/0!</v>
      </c>
      <c r="AI1241" s="108" t="e">
        <f t="shared" si="2216"/>
        <v>#DIV/0!</v>
      </c>
      <c r="AJ1241" s="109" t="e">
        <f t="shared" si="2216"/>
        <v>#DIV/0!</v>
      </c>
      <c r="AK1241" s="110" t="e">
        <f t="shared" si="2216"/>
        <v>#DIV/0!</v>
      </c>
      <c r="AL1241" s="105"/>
    </row>
    <row r="1242" spans="1:38" ht="15.6" hidden="1" thickBot="1">
      <c r="A1242" s="91"/>
      <c r="B1242" s="100"/>
      <c r="C1242" s="111"/>
      <c r="D1242" s="112" t="s">
        <v>103</v>
      </c>
      <c r="E1242" s="113" t="e">
        <f t="shared" ref="E1242:R1242" si="2217">E1240/E1238</f>
        <v>#DIV/0!</v>
      </c>
      <c r="F1242" s="113" t="e">
        <f t="shared" si="2217"/>
        <v>#DIV/0!</v>
      </c>
      <c r="G1242" s="113" t="e">
        <f t="shared" si="2217"/>
        <v>#DIV/0!</v>
      </c>
      <c r="H1242" s="113" t="e">
        <f t="shared" si="2217"/>
        <v>#DIV/0!</v>
      </c>
      <c r="I1242" s="113" t="e">
        <f t="shared" si="2217"/>
        <v>#DIV/0!</v>
      </c>
      <c r="J1242" s="113" t="e">
        <f t="shared" si="2217"/>
        <v>#DIV/0!</v>
      </c>
      <c r="K1242" s="113" t="e">
        <f t="shared" si="2217"/>
        <v>#DIV/0!</v>
      </c>
      <c r="L1242" s="113" t="e">
        <f t="shared" si="2217"/>
        <v>#DIV/0!</v>
      </c>
      <c r="M1242" s="113" t="e">
        <f t="shared" si="2217"/>
        <v>#DIV/0!</v>
      </c>
      <c r="N1242" s="113" t="e">
        <f t="shared" si="2217"/>
        <v>#DIV/0!</v>
      </c>
      <c r="O1242" s="113" t="e">
        <f t="shared" si="2217"/>
        <v>#DIV/0!</v>
      </c>
      <c r="P1242" s="114" t="e">
        <f t="shared" si="2217"/>
        <v>#DIV/0!</v>
      </c>
      <c r="Q1242" s="115" t="e">
        <f t="shared" si="2217"/>
        <v>#DIV/0!</v>
      </c>
      <c r="R1242" s="116" t="e">
        <f t="shared" si="2217"/>
        <v>#DIV/0!</v>
      </c>
      <c r="T1242" s="91"/>
      <c r="U1242" s="100"/>
      <c r="V1242" s="111"/>
      <c r="W1242" s="112" t="s">
        <v>103</v>
      </c>
      <c r="X1242" s="113" t="e">
        <f t="shared" ref="X1242:AK1242" si="2218">X1240/X1238</f>
        <v>#DIV/0!</v>
      </c>
      <c r="Y1242" s="113" t="e">
        <f t="shared" si="2218"/>
        <v>#DIV/0!</v>
      </c>
      <c r="Z1242" s="113" t="e">
        <f t="shared" si="2218"/>
        <v>#DIV/0!</v>
      </c>
      <c r="AA1242" s="113" t="e">
        <f t="shared" si="2218"/>
        <v>#DIV/0!</v>
      </c>
      <c r="AB1242" s="113" t="e">
        <f t="shared" si="2218"/>
        <v>#DIV/0!</v>
      </c>
      <c r="AC1242" s="113" t="e">
        <f t="shared" si="2218"/>
        <v>#DIV/0!</v>
      </c>
      <c r="AD1242" s="113" t="e">
        <f t="shared" si="2218"/>
        <v>#DIV/0!</v>
      </c>
      <c r="AE1242" s="113" t="e">
        <f t="shared" si="2218"/>
        <v>#DIV/0!</v>
      </c>
      <c r="AF1242" s="113" t="e">
        <f t="shared" si="2218"/>
        <v>#DIV/0!</v>
      </c>
      <c r="AG1242" s="113" t="e">
        <f t="shared" si="2218"/>
        <v>#DIV/0!</v>
      </c>
      <c r="AH1242" s="113" t="e">
        <f t="shared" si="2218"/>
        <v>#DIV/0!</v>
      </c>
      <c r="AI1242" s="114" t="e">
        <f t="shared" si="2218"/>
        <v>#DIV/0!</v>
      </c>
      <c r="AJ1242" s="115" t="e">
        <f t="shared" si="2218"/>
        <v>#DIV/0!</v>
      </c>
      <c r="AK1242" s="116" t="e">
        <f t="shared" si="2218"/>
        <v>#DIV/0!</v>
      </c>
    </row>
    <row r="1243" spans="1:38" ht="15.6" hidden="1" thickBot="1">
      <c r="A1243" s="91"/>
      <c r="B1243" s="100"/>
      <c r="C1243" s="86"/>
      <c r="D1243" s="87">
        <v>2019</v>
      </c>
      <c r="E1243" s="88"/>
      <c r="F1243" s="121"/>
      <c r="G1243" s="121"/>
      <c r="H1243" s="121"/>
      <c r="I1243" s="121"/>
      <c r="J1243" s="121"/>
      <c r="K1243" s="121"/>
      <c r="L1243" s="121"/>
      <c r="M1243" s="122"/>
      <c r="N1243" s="122"/>
      <c r="O1243" s="122"/>
      <c r="P1243" s="123"/>
      <c r="Q1243" s="89">
        <f t="shared" ref="Q1243:Q1245" si="2219">SUM(E1243:P1243)</f>
        <v>0</v>
      </c>
      <c r="R1243" s="90">
        <f t="shared" ref="R1243:R1305" si="2220">SUM(E1243:M1243)</f>
        <v>0</v>
      </c>
      <c r="T1243" s="91"/>
      <c r="U1243" s="100"/>
      <c r="V1243" s="86">
        <f t="shared" ref="V1243:V1244" si="2221">C1243</f>
        <v>0</v>
      </c>
      <c r="W1243" s="87">
        <v>2019</v>
      </c>
      <c r="X1243" s="88"/>
      <c r="Y1243" s="121"/>
      <c r="Z1243" s="121"/>
      <c r="AA1243" s="121"/>
      <c r="AB1243" s="121"/>
      <c r="AC1243" s="121"/>
      <c r="AD1243" s="121"/>
      <c r="AE1243" s="121"/>
      <c r="AF1243" s="122"/>
      <c r="AG1243" s="122"/>
      <c r="AH1243" s="122"/>
      <c r="AI1243" s="123"/>
      <c r="AJ1243" s="89">
        <f t="shared" ref="AJ1243:AJ1245" si="2222">SUM(X1243:AI1243)</f>
        <v>0</v>
      </c>
      <c r="AK1243" s="90">
        <f t="shared" ref="AK1243:AK1245" si="2223">SUM(X1243:AF1243)</f>
        <v>0</v>
      </c>
    </row>
    <row r="1244" spans="1:38" ht="15.6" hidden="1" thickBot="1">
      <c r="A1244" s="91"/>
      <c r="B1244" s="100"/>
      <c r="C1244" s="92"/>
      <c r="D1244" s="93" t="s">
        <v>92</v>
      </c>
      <c r="E1244" s="94"/>
      <c r="F1244" s="97"/>
      <c r="G1244" s="97"/>
      <c r="H1244" s="97"/>
      <c r="I1244" s="97"/>
      <c r="J1244" s="97"/>
      <c r="K1244" s="97"/>
      <c r="L1244" s="97"/>
      <c r="M1244" s="98"/>
      <c r="N1244" s="98"/>
      <c r="O1244" s="98"/>
      <c r="P1244" s="99"/>
      <c r="Q1244" s="95">
        <f t="shared" si="2219"/>
        <v>0</v>
      </c>
      <c r="R1244" s="96">
        <f t="shared" si="2220"/>
        <v>0</v>
      </c>
      <c r="T1244" s="91"/>
      <c r="U1244" s="100"/>
      <c r="V1244" s="92">
        <f t="shared" si="2221"/>
        <v>0</v>
      </c>
      <c r="W1244" s="93" t="s">
        <v>92</v>
      </c>
      <c r="X1244" s="94"/>
      <c r="Y1244" s="97"/>
      <c r="Z1244" s="97"/>
      <c r="AA1244" s="97"/>
      <c r="AB1244" s="97"/>
      <c r="AC1244" s="97"/>
      <c r="AD1244" s="97"/>
      <c r="AE1244" s="97"/>
      <c r="AF1244" s="98"/>
      <c r="AG1244" s="98"/>
      <c r="AH1244" s="98"/>
      <c r="AI1244" s="99"/>
      <c r="AJ1244" s="95">
        <f t="shared" si="2222"/>
        <v>0</v>
      </c>
      <c r="AK1244" s="96">
        <f t="shared" si="2223"/>
        <v>0</v>
      </c>
    </row>
    <row r="1245" spans="1:38" ht="15.6" hidden="1" thickBot="1">
      <c r="A1245" s="91"/>
      <c r="B1245" s="100"/>
      <c r="C1245" s="92"/>
      <c r="D1245" s="101">
        <v>2020</v>
      </c>
      <c r="E1245" s="102"/>
      <c r="F1245" s="124"/>
      <c r="G1245" s="124"/>
      <c r="H1245" s="124"/>
      <c r="I1245" s="124"/>
      <c r="J1245" s="124"/>
      <c r="K1245" s="124"/>
      <c r="L1245" s="124"/>
      <c r="M1245" s="125"/>
      <c r="N1245" s="125"/>
      <c r="O1245" s="125"/>
      <c r="P1245" s="126"/>
      <c r="Q1245" s="103">
        <f t="shared" si="2219"/>
        <v>0</v>
      </c>
      <c r="R1245" s="104">
        <f t="shared" si="2220"/>
        <v>0</v>
      </c>
      <c r="S1245" s="105"/>
      <c r="T1245" s="91"/>
      <c r="U1245" s="100"/>
      <c r="V1245" s="92"/>
      <c r="W1245" s="101">
        <v>2020</v>
      </c>
      <c r="X1245" s="102"/>
      <c r="Y1245" s="124"/>
      <c r="Z1245" s="124"/>
      <c r="AA1245" s="124"/>
      <c r="AB1245" s="124"/>
      <c r="AC1245" s="124"/>
      <c r="AD1245" s="124"/>
      <c r="AE1245" s="124"/>
      <c r="AF1245" s="125"/>
      <c r="AG1245" s="125"/>
      <c r="AH1245" s="125"/>
      <c r="AI1245" s="126"/>
      <c r="AJ1245" s="103">
        <f t="shared" si="2222"/>
        <v>0</v>
      </c>
      <c r="AK1245" s="104">
        <f t="shared" si="2223"/>
        <v>0</v>
      </c>
      <c r="AL1245" s="105"/>
    </row>
    <row r="1246" spans="1:38" ht="15.6" hidden="1" thickBot="1">
      <c r="A1246" s="91"/>
      <c r="B1246" s="100"/>
      <c r="C1246" s="92"/>
      <c r="D1246" s="101" t="s">
        <v>102</v>
      </c>
      <c r="E1246" s="106" t="e">
        <f t="shared" ref="E1246:R1246" si="2224">E1245/E1244</f>
        <v>#DIV/0!</v>
      </c>
      <c r="F1246" s="106" t="e">
        <f t="shared" si="2224"/>
        <v>#DIV/0!</v>
      </c>
      <c r="G1246" s="106" t="e">
        <f t="shared" si="2224"/>
        <v>#DIV/0!</v>
      </c>
      <c r="H1246" s="106" t="e">
        <f t="shared" si="2224"/>
        <v>#DIV/0!</v>
      </c>
      <c r="I1246" s="106" t="e">
        <f t="shared" si="2224"/>
        <v>#DIV/0!</v>
      </c>
      <c r="J1246" s="106" t="e">
        <f t="shared" si="2224"/>
        <v>#DIV/0!</v>
      </c>
      <c r="K1246" s="106" t="e">
        <f t="shared" si="2224"/>
        <v>#DIV/0!</v>
      </c>
      <c r="L1246" s="106" t="e">
        <f t="shared" si="2224"/>
        <v>#DIV/0!</v>
      </c>
      <c r="M1246" s="107" t="e">
        <f t="shared" si="2224"/>
        <v>#DIV/0!</v>
      </c>
      <c r="N1246" s="107" t="e">
        <f t="shared" si="2224"/>
        <v>#DIV/0!</v>
      </c>
      <c r="O1246" s="107" t="e">
        <f t="shared" si="2224"/>
        <v>#DIV/0!</v>
      </c>
      <c r="P1246" s="108" t="e">
        <f t="shared" si="2224"/>
        <v>#DIV/0!</v>
      </c>
      <c r="Q1246" s="109" t="e">
        <f t="shared" si="2224"/>
        <v>#DIV/0!</v>
      </c>
      <c r="R1246" s="110" t="e">
        <f t="shared" si="2224"/>
        <v>#DIV/0!</v>
      </c>
      <c r="S1246" s="105"/>
      <c r="T1246" s="91"/>
      <c r="U1246" s="100"/>
      <c r="V1246" s="92"/>
      <c r="W1246" s="101" t="s">
        <v>102</v>
      </c>
      <c r="X1246" s="106" t="e">
        <f t="shared" ref="X1246:AK1246" si="2225">X1245/X1244</f>
        <v>#DIV/0!</v>
      </c>
      <c r="Y1246" s="106" t="e">
        <f t="shared" si="2225"/>
        <v>#DIV/0!</v>
      </c>
      <c r="Z1246" s="106" t="e">
        <f t="shared" si="2225"/>
        <v>#DIV/0!</v>
      </c>
      <c r="AA1246" s="106" t="e">
        <f t="shared" si="2225"/>
        <v>#DIV/0!</v>
      </c>
      <c r="AB1246" s="106" t="e">
        <f t="shared" si="2225"/>
        <v>#DIV/0!</v>
      </c>
      <c r="AC1246" s="106" t="e">
        <f t="shared" si="2225"/>
        <v>#DIV/0!</v>
      </c>
      <c r="AD1246" s="106" t="e">
        <f t="shared" si="2225"/>
        <v>#DIV/0!</v>
      </c>
      <c r="AE1246" s="106" t="e">
        <f t="shared" si="2225"/>
        <v>#DIV/0!</v>
      </c>
      <c r="AF1246" s="107" t="e">
        <f t="shared" si="2225"/>
        <v>#DIV/0!</v>
      </c>
      <c r="AG1246" s="107" t="e">
        <f t="shared" si="2225"/>
        <v>#DIV/0!</v>
      </c>
      <c r="AH1246" s="107" t="e">
        <f t="shared" si="2225"/>
        <v>#DIV/0!</v>
      </c>
      <c r="AI1246" s="108" t="e">
        <f t="shared" si="2225"/>
        <v>#DIV/0!</v>
      </c>
      <c r="AJ1246" s="109" t="e">
        <f t="shared" si="2225"/>
        <v>#DIV/0!</v>
      </c>
      <c r="AK1246" s="110" t="e">
        <f t="shared" si="2225"/>
        <v>#DIV/0!</v>
      </c>
      <c r="AL1246" s="105"/>
    </row>
    <row r="1247" spans="1:38" ht="15.6" hidden="1" thickBot="1">
      <c r="A1247" s="91"/>
      <c r="B1247" s="100"/>
      <c r="C1247" s="111"/>
      <c r="D1247" s="112" t="s">
        <v>103</v>
      </c>
      <c r="E1247" s="113" t="e">
        <f t="shared" ref="E1247:R1247" si="2226">E1245/E1243</f>
        <v>#DIV/0!</v>
      </c>
      <c r="F1247" s="113" t="e">
        <f t="shared" si="2226"/>
        <v>#DIV/0!</v>
      </c>
      <c r="G1247" s="113" t="e">
        <f t="shared" si="2226"/>
        <v>#DIV/0!</v>
      </c>
      <c r="H1247" s="113" t="e">
        <f t="shared" si="2226"/>
        <v>#DIV/0!</v>
      </c>
      <c r="I1247" s="113" t="e">
        <f t="shared" si="2226"/>
        <v>#DIV/0!</v>
      </c>
      <c r="J1247" s="113" t="e">
        <f t="shared" si="2226"/>
        <v>#DIV/0!</v>
      </c>
      <c r="K1247" s="113" t="e">
        <f t="shared" si="2226"/>
        <v>#DIV/0!</v>
      </c>
      <c r="L1247" s="113" t="e">
        <f t="shared" si="2226"/>
        <v>#DIV/0!</v>
      </c>
      <c r="M1247" s="113" t="e">
        <f t="shared" si="2226"/>
        <v>#DIV/0!</v>
      </c>
      <c r="N1247" s="113" t="e">
        <f t="shared" si="2226"/>
        <v>#DIV/0!</v>
      </c>
      <c r="O1247" s="113" t="e">
        <f t="shared" si="2226"/>
        <v>#DIV/0!</v>
      </c>
      <c r="P1247" s="114" t="e">
        <f t="shared" si="2226"/>
        <v>#DIV/0!</v>
      </c>
      <c r="Q1247" s="115" t="e">
        <f t="shared" si="2226"/>
        <v>#DIV/0!</v>
      </c>
      <c r="R1247" s="116" t="e">
        <f t="shared" si="2226"/>
        <v>#DIV/0!</v>
      </c>
      <c r="T1247" s="91"/>
      <c r="U1247" s="100"/>
      <c r="V1247" s="111"/>
      <c r="W1247" s="112" t="s">
        <v>103</v>
      </c>
      <c r="X1247" s="113" t="e">
        <f t="shared" ref="X1247:AK1247" si="2227">X1245/X1243</f>
        <v>#DIV/0!</v>
      </c>
      <c r="Y1247" s="113" t="e">
        <f t="shared" si="2227"/>
        <v>#DIV/0!</v>
      </c>
      <c r="Z1247" s="113" t="e">
        <f t="shared" si="2227"/>
        <v>#DIV/0!</v>
      </c>
      <c r="AA1247" s="113" t="e">
        <f t="shared" si="2227"/>
        <v>#DIV/0!</v>
      </c>
      <c r="AB1247" s="113" t="e">
        <f t="shared" si="2227"/>
        <v>#DIV/0!</v>
      </c>
      <c r="AC1247" s="113" t="e">
        <f t="shared" si="2227"/>
        <v>#DIV/0!</v>
      </c>
      <c r="AD1247" s="113" t="e">
        <f t="shared" si="2227"/>
        <v>#DIV/0!</v>
      </c>
      <c r="AE1247" s="113" t="e">
        <f t="shared" si="2227"/>
        <v>#DIV/0!</v>
      </c>
      <c r="AF1247" s="113" t="e">
        <f t="shared" si="2227"/>
        <v>#DIV/0!</v>
      </c>
      <c r="AG1247" s="113" t="e">
        <f t="shared" si="2227"/>
        <v>#DIV/0!</v>
      </c>
      <c r="AH1247" s="113" t="e">
        <f t="shared" si="2227"/>
        <v>#DIV/0!</v>
      </c>
      <c r="AI1247" s="114" t="e">
        <f t="shared" si="2227"/>
        <v>#DIV/0!</v>
      </c>
      <c r="AJ1247" s="115" t="e">
        <f t="shared" si="2227"/>
        <v>#DIV/0!</v>
      </c>
      <c r="AK1247" s="116" t="e">
        <f t="shared" si="2227"/>
        <v>#DIV/0!</v>
      </c>
    </row>
    <row r="1248" spans="1:38" ht="15.6" hidden="1" thickBot="1">
      <c r="A1248" s="91"/>
      <c r="B1248" s="100"/>
      <c r="C1248" s="86"/>
      <c r="D1248" s="87">
        <v>2019</v>
      </c>
      <c r="E1248" s="88"/>
      <c r="F1248" s="121"/>
      <c r="G1248" s="121"/>
      <c r="H1248" s="121"/>
      <c r="I1248" s="121"/>
      <c r="J1248" s="121"/>
      <c r="K1248" s="121"/>
      <c r="L1248" s="121"/>
      <c r="M1248" s="122"/>
      <c r="N1248" s="122"/>
      <c r="O1248" s="122"/>
      <c r="P1248" s="123"/>
      <c r="Q1248" s="89">
        <f t="shared" ref="Q1248:Q1250" si="2228">SUM(E1248:P1248)</f>
        <v>0</v>
      </c>
      <c r="R1248" s="90">
        <f t="shared" ref="R1248" si="2229">SUM(E1248:M1248)</f>
        <v>0</v>
      </c>
      <c r="T1248" s="91"/>
      <c r="U1248" s="100"/>
      <c r="V1248" s="86">
        <f t="shared" ref="V1248:V1249" si="2230">C1248</f>
        <v>0</v>
      </c>
      <c r="W1248" s="87">
        <v>2019</v>
      </c>
      <c r="X1248" s="88"/>
      <c r="Y1248" s="121"/>
      <c r="Z1248" s="121"/>
      <c r="AA1248" s="121"/>
      <c r="AB1248" s="121"/>
      <c r="AC1248" s="121"/>
      <c r="AD1248" s="121"/>
      <c r="AE1248" s="121"/>
      <c r="AF1248" s="122"/>
      <c r="AG1248" s="122"/>
      <c r="AH1248" s="122"/>
      <c r="AI1248" s="123"/>
      <c r="AJ1248" s="89">
        <f t="shared" ref="AJ1248:AJ1250" si="2231">SUM(X1248:AI1248)</f>
        <v>0</v>
      </c>
      <c r="AK1248" s="90">
        <f t="shared" ref="AK1248:AK1250" si="2232">SUM(X1248:AF1248)</f>
        <v>0</v>
      </c>
    </row>
    <row r="1249" spans="1:38" ht="15.6" hidden="1" thickBot="1">
      <c r="A1249" s="91"/>
      <c r="B1249" s="100"/>
      <c r="C1249" s="92"/>
      <c r="D1249" s="93" t="s">
        <v>92</v>
      </c>
      <c r="E1249" s="94"/>
      <c r="F1249" s="97"/>
      <c r="G1249" s="97"/>
      <c r="H1249" s="97"/>
      <c r="I1249" s="97"/>
      <c r="J1249" s="97"/>
      <c r="K1249" s="97"/>
      <c r="L1249" s="97"/>
      <c r="M1249" s="98"/>
      <c r="N1249" s="98"/>
      <c r="O1249" s="98"/>
      <c r="P1249" s="99"/>
      <c r="Q1249" s="95">
        <f t="shared" si="2228"/>
        <v>0</v>
      </c>
      <c r="R1249" s="96">
        <f t="shared" si="2220"/>
        <v>0</v>
      </c>
      <c r="T1249" s="91"/>
      <c r="U1249" s="100"/>
      <c r="V1249" s="92">
        <f t="shared" si="2230"/>
        <v>0</v>
      </c>
      <c r="W1249" s="93" t="s">
        <v>92</v>
      </c>
      <c r="X1249" s="94"/>
      <c r="Y1249" s="97"/>
      <c r="Z1249" s="97"/>
      <c r="AA1249" s="97"/>
      <c r="AB1249" s="97"/>
      <c r="AC1249" s="97"/>
      <c r="AD1249" s="97"/>
      <c r="AE1249" s="97"/>
      <c r="AF1249" s="98"/>
      <c r="AG1249" s="98"/>
      <c r="AH1249" s="98"/>
      <c r="AI1249" s="99"/>
      <c r="AJ1249" s="95">
        <f t="shared" si="2231"/>
        <v>0</v>
      </c>
      <c r="AK1249" s="96">
        <f t="shared" si="2232"/>
        <v>0</v>
      </c>
    </row>
    <row r="1250" spans="1:38" ht="15.6" hidden="1" thickBot="1">
      <c r="A1250" s="91"/>
      <c r="B1250" s="100"/>
      <c r="C1250" s="92"/>
      <c r="D1250" s="101">
        <v>2020</v>
      </c>
      <c r="E1250" s="102"/>
      <c r="F1250" s="124"/>
      <c r="G1250" s="124"/>
      <c r="H1250" s="124"/>
      <c r="I1250" s="124"/>
      <c r="J1250" s="124"/>
      <c r="K1250" s="124"/>
      <c r="L1250" s="124"/>
      <c r="M1250" s="125"/>
      <c r="N1250" s="125"/>
      <c r="O1250" s="125"/>
      <c r="P1250" s="126"/>
      <c r="Q1250" s="103">
        <f t="shared" si="2228"/>
        <v>0</v>
      </c>
      <c r="R1250" s="104">
        <f t="shared" si="2220"/>
        <v>0</v>
      </c>
      <c r="S1250" s="105"/>
      <c r="T1250" s="91"/>
      <c r="U1250" s="100"/>
      <c r="V1250" s="92"/>
      <c r="W1250" s="101">
        <v>2020</v>
      </c>
      <c r="X1250" s="102"/>
      <c r="Y1250" s="124"/>
      <c r="Z1250" s="124"/>
      <c r="AA1250" s="124"/>
      <c r="AB1250" s="124"/>
      <c r="AC1250" s="124"/>
      <c r="AD1250" s="124"/>
      <c r="AE1250" s="124"/>
      <c r="AF1250" s="125"/>
      <c r="AG1250" s="125"/>
      <c r="AH1250" s="125"/>
      <c r="AI1250" s="126"/>
      <c r="AJ1250" s="103">
        <f t="shared" si="2231"/>
        <v>0</v>
      </c>
      <c r="AK1250" s="104">
        <f t="shared" si="2232"/>
        <v>0</v>
      </c>
      <c r="AL1250" s="105"/>
    </row>
    <row r="1251" spans="1:38" ht="15.6" hidden="1" thickBot="1">
      <c r="A1251" s="91"/>
      <c r="B1251" s="100"/>
      <c r="C1251" s="92"/>
      <c r="D1251" s="101" t="s">
        <v>102</v>
      </c>
      <c r="E1251" s="106" t="e">
        <f t="shared" ref="E1251:R1251" si="2233">E1250/E1249</f>
        <v>#DIV/0!</v>
      </c>
      <c r="F1251" s="106" t="e">
        <f t="shared" si="2233"/>
        <v>#DIV/0!</v>
      </c>
      <c r="G1251" s="106" t="e">
        <f t="shared" si="2233"/>
        <v>#DIV/0!</v>
      </c>
      <c r="H1251" s="106" t="e">
        <f t="shared" si="2233"/>
        <v>#DIV/0!</v>
      </c>
      <c r="I1251" s="106" t="e">
        <f t="shared" si="2233"/>
        <v>#DIV/0!</v>
      </c>
      <c r="J1251" s="106" t="e">
        <f t="shared" si="2233"/>
        <v>#DIV/0!</v>
      </c>
      <c r="K1251" s="106" t="e">
        <f t="shared" si="2233"/>
        <v>#DIV/0!</v>
      </c>
      <c r="L1251" s="106" t="e">
        <f t="shared" si="2233"/>
        <v>#DIV/0!</v>
      </c>
      <c r="M1251" s="107" t="e">
        <f t="shared" si="2233"/>
        <v>#DIV/0!</v>
      </c>
      <c r="N1251" s="107" t="e">
        <f t="shared" si="2233"/>
        <v>#DIV/0!</v>
      </c>
      <c r="O1251" s="107" t="e">
        <f t="shared" si="2233"/>
        <v>#DIV/0!</v>
      </c>
      <c r="P1251" s="108" t="e">
        <f t="shared" si="2233"/>
        <v>#DIV/0!</v>
      </c>
      <c r="Q1251" s="109" t="e">
        <f t="shared" si="2233"/>
        <v>#DIV/0!</v>
      </c>
      <c r="R1251" s="110" t="e">
        <f t="shared" si="2233"/>
        <v>#DIV/0!</v>
      </c>
      <c r="S1251" s="105"/>
      <c r="T1251" s="91"/>
      <c r="U1251" s="100"/>
      <c r="V1251" s="92"/>
      <c r="W1251" s="101" t="s">
        <v>102</v>
      </c>
      <c r="X1251" s="106" t="e">
        <f t="shared" ref="X1251:AK1251" si="2234">X1250/X1249</f>
        <v>#DIV/0!</v>
      </c>
      <c r="Y1251" s="106" t="e">
        <f t="shared" si="2234"/>
        <v>#DIV/0!</v>
      </c>
      <c r="Z1251" s="106" t="e">
        <f t="shared" si="2234"/>
        <v>#DIV/0!</v>
      </c>
      <c r="AA1251" s="106" t="e">
        <f t="shared" si="2234"/>
        <v>#DIV/0!</v>
      </c>
      <c r="AB1251" s="106" t="e">
        <f t="shared" si="2234"/>
        <v>#DIV/0!</v>
      </c>
      <c r="AC1251" s="106" t="e">
        <f t="shared" si="2234"/>
        <v>#DIV/0!</v>
      </c>
      <c r="AD1251" s="106" t="e">
        <f t="shared" si="2234"/>
        <v>#DIV/0!</v>
      </c>
      <c r="AE1251" s="106" t="e">
        <f t="shared" si="2234"/>
        <v>#DIV/0!</v>
      </c>
      <c r="AF1251" s="107" t="e">
        <f t="shared" si="2234"/>
        <v>#DIV/0!</v>
      </c>
      <c r="AG1251" s="107" t="e">
        <f t="shared" si="2234"/>
        <v>#DIV/0!</v>
      </c>
      <c r="AH1251" s="107" t="e">
        <f t="shared" si="2234"/>
        <v>#DIV/0!</v>
      </c>
      <c r="AI1251" s="108" t="e">
        <f t="shared" si="2234"/>
        <v>#DIV/0!</v>
      </c>
      <c r="AJ1251" s="109" t="e">
        <f t="shared" si="2234"/>
        <v>#DIV/0!</v>
      </c>
      <c r="AK1251" s="110" t="e">
        <f t="shared" si="2234"/>
        <v>#DIV/0!</v>
      </c>
      <c r="AL1251" s="105"/>
    </row>
    <row r="1252" spans="1:38" ht="15.6" hidden="1" thickBot="1">
      <c r="A1252" s="91"/>
      <c r="B1252" s="100"/>
      <c r="C1252" s="111"/>
      <c r="D1252" s="112" t="s">
        <v>103</v>
      </c>
      <c r="E1252" s="113" t="e">
        <f t="shared" ref="E1252:R1252" si="2235">E1250/E1248</f>
        <v>#DIV/0!</v>
      </c>
      <c r="F1252" s="113" t="e">
        <f t="shared" si="2235"/>
        <v>#DIV/0!</v>
      </c>
      <c r="G1252" s="113" t="e">
        <f t="shared" si="2235"/>
        <v>#DIV/0!</v>
      </c>
      <c r="H1252" s="113" t="e">
        <f t="shared" si="2235"/>
        <v>#DIV/0!</v>
      </c>
      <c r="I1252" s="113" t="e">
        <f t="shared" si="2235"/>
        <v>#DIV/0!</v>
      </c>
      <c r="J1252" s="113" t="e">
        <f t="shared" si="2235"/>
        <v>#DIV/0!</v>
      </c>
      <c r="K1252" s="113" t="e">
        <f t="shared" si="2235"/>
        <v>#DIV/0!</v>
      </c>
      <c r="L1252" s="113" t="e">
        <f t="shared" si="2235"/>
        <v>#DIV/0!</v>
      </c>
      <c r="M1252" s="113" t="e">
        <f t="shared" si="2235"/>
        <v>#DIV/0!</v>
      </c>
      <c r="N1252" s="113" t="e">
        <f t="shared" si="2235"/>
        <v>#DIV/0!</v>
      </c>
      <c r="O1252" s="113" t="e">
        <f t="shared" si="2235"/>
        <v>#DIV/0!</v>
      </c>
      <c r="P1252" s="114" t="e">
        <f t="shared" si="2235"/>
        <v>#DIV/0!</v>
      </c>
      <c r="Q1252" s="115" t="e">
        <f t="shared" si="2235"/>
        <v>#DIV/0!</v>
      </c>
      <c r="R1252" s="116" t="e">
        <f t="shared" si="2235"/>
        <v>#DIV/0!</v>
      </c>
      <c r="T1252" s="91"/>
      <c r="U1252" s="100"/>
      <c r="V1252" s="111"/>
      <c r="W1252" s="112" t="s">
        <v>103</v>
      </c>
      <c r="X1252" s="113" t="e">
        <f t="shared" ref="X1252:AK1252" si="2236">X1250/X1248</f>
        <v>#DIV/0!</v>
      </c>
      <c r="Y1252" s="113" t="e">
        <f t="shared" si="2236"/>
        <v>#DIV/0!</v>
      </c>
      <c r="Z1252" s="113" t="e">
        <f t="shared" si="2236"/>
        <v>#DIV/0!</v>
      </c>
      <c r="AA1252" s="113" t="e">
        <f t="shared" si="2236"/>
        <v>#DIV/0!</v>
      </c>
      <c r="AB1252" s="113" t="e">
        <f t="shared" si="2236"/>
        <v>#DIV/0!</v>
      </c>
      <c r="AC1252" s="113" t="e">
        <f t="shared" si="2236"/>
        <v>#DIV/0!</v>
      </c>
      <c r="AD1252" s="113" t="e">
        <f t="shared" si="2236"/>
        <v>#DIV/0!</v>
      </c>
      <c r="AE1252" s="113" t="e">
        <f t="shared" si="2236"/>
        <v>#DIV/0!</v>
      </c>
      <c r="AF1252" s="113" t="e">
        <f t="shared" si="2236"/>
        <v>#DIV/0!</v>
      </c>
      <c r="AG1252" s="113" t="e">
        <f t="shared" si="2236"/>
        <v>#DIV/0!</v>
      </c>
      <c r="AH1252" s="113" t="e">
        <f t="shared" si="2236"/>
        <v>#DIV/0!</v>
      </c>
      <c r="AI1252" s="114" t="e">
        <f t="shared" si="2236"/>
        <v>#DIV/0!</v>
      </c>
      <c r="AJ1252" s="115" t="e">
        <f t="shared" si="2236"/>
        <v>#DIV/0!</v>
      </c>
      <c r="AK1252" s="116" t="e">
        <f t="shared" si="2236"/>
        <v>#DIV/0!</v>
      </c>
    </row>
    <row r="1253" spans="1:38" ht="15.6" hidden="1" thickBot="1">
      <c r="A1253" s="91"/>
      <c r="B1253" s="100"/>
      <c r="C1253" s="86"/>
      <c r="D1253" s="87">
        <v>2019</v>
      </c>
      <c r="E1253" s="88"/>
      <c r="F1253" s="121"/>
      <c r="G1253" s="121"/>
      <c r="H1253" s="121"/>
      <c r="I1253" s="121"/>
      <c r="J1253" s="121"/>
      <c r="K1253" s="121"/>
      <c r="L1253" s="121"/>
      <c r="M1253" s="122"/>
      <c r="N1253" s="122"/>
      <c r="O1253" s="122"/>
      <c r="P1253" s="123"/>
      <c r="Q1253" s="89">
        <f t="shared" ref="Q1253:Q1255" si="2237">SUM(E1253:P1253)</f>
        <v>0</v>
      </c>
      <c r="R1253" s="90">
        <f t="shared" ref="R1253" si="2238">SUM(E1253:M1253)</f>
        <v>0</v>
      </c>
      <c r="T1253" s="91"/>
      <c r="U1253" s="100"/>
      <c r="V1253" s="86">
        <f t="shared" ref="V1253:V1254" si="2239">C1253</f>
        <v>0</v>
      </c>
      <c r="W1253" s="87">
        <v>2019</v>
      </c>
      <c r="X1253" s="88"/>
      <c r="Y1253" s="121"/>
      <c r="Z1253" s="121"/>
      <c r="AA1253" s="121"/>
      <c r="AB1253" s="121"/>
      <c r="AC1253" s="121"/>
      <c r="AD1253" s="121"/>
      <c r="AE1253" s="121"/>
      <c r="AF1253" s="122"/>
      <c r="AG1253" s="122"/>
      <c r="AH1253" s="122"/>
      <c r="AI1253" s="123"/>
      <c r="AJ1253" s="89">
        <f t="shared" ref="AJ1253:AJ1255" si="2240">SUM(X1253:AI1253)</f>
        <v>0</v>
      </c>
      <c r="AK1253" s="90">
        <f t="shared" ref="AK1253:AK1255" si="2241">SUM(X1253:AF1253)</f>
        <v>0</v>
      </c>
    </row>
    <row r="1254" spans="1:38" ht="15.6" hidden="1" thickBot="1">
      <c r="A1254" s="91"/>
      <c r="B1254" s="100"/>
      <c r="C1254" s="92"/>
      <c r="D1254" s="93" t="s">
        <v>92</v>
      </c>
      <c r="E1254" s="94"/>
      <c r="F1254" s="97"/>
      <c r="G1254" s="97"/>
      <c r="H1254" s="97"/>
      <c r="I1254" s="97"/>
      <c r="J1254" s="97"/>
      <c r="K1254" s="97"/>
      <c r="L1254" s="97"/>
      <c r="M1254" s="98"/>
      <c r="N1254" s="98"/>
      <c r="O1254" s="98"/>
      <c r="P1254" s="99"/>
      <c r="Q1254" s="95">
        <f t="shared" si="2237"/>
        <v>0</v>
      </c>
      <c r="R1254" s="96">
        <f t="shared" si="2220"/>
        <v>0</v>
      </c>
      <c r="T1254" s="91"/>
      <c r="U1254" s="100"/>
      <c r="V1254" s="92">
        <f t="shared" si="2239"/>
        <v>0</v>
      </c>
      <c r="W1254" s="93" t="s">
        <v>92</v>
      </c>
      <c r="X1254" s="94"/>
      <c r="Y1254" s="97"/>
      <c r="Z1254" s="97"/>
      <c r="AA1254" s="97"/>
      <c r="AB1254" s="97"/>
      <c r="AC1254" s="97"/>
      <c r="AD1254" s="97"/>
      <c r="AE1254" s="97"/>
      <c r="AF1254" s="98"/>
      <c r="AG1254" s="98"/>
      <c r="AH1254" s="98"/>
      <c r="AI1254" s="99"/>
      <c r="AJ1254" s="95">
        <f t="shared" si="2240"/>
        <v>0</v>
      </c>
      <c r="AK1254" s="96">
        <f t="shared" si="2241"/>
        <v>0</v>
      </c>
    </row>
    <row r="1255" spans="1:38" ht="15.6" hidden="1" thickBot="1">
      <c r="A1255" s="91"/>
      <c r="B1255" s="100"/>
      <c r="C1255" s="92"/>
      <c r="D1255" s="101">
        <v>2020</v>
      </c>
      <c r="E1255" s="102"/>
      <c r="F1255" s="124"/>
      <c r="G1255" s="124"/>
      <c r="H1255" s="124"/>
      <c r="I1255" s="124"/>
      <c r="J1255" s="124"/>
      <c r="K1255" s="124"/>
      <c r="L1255" s="124"/>
      <c r="M1255" s="125"/>
      <c r="N1255" s="125"/>
      <c r="O1255" s="125"/>
      <c r="P1255" s="126"/>
      <c r="Q1255" s="103">
        <f t="shared" si="2237"/>
        <v>0</v>
      </c>
      <c r="R1255" s="104">
        <f t="shared" si="2220"/>
        <v>0</v>
      </c>
      <c r="S1255" s="105"/>
      <c r="T1255" s="91"/>
      <c r="U1255" s="100"/>
      <c r="V1255" s="92"/>
      <c r="W1255" s="101">
        <v>2020</v>
      </c>
      <c r="X1255" s="102"/>
      <c r="Y1255" s="124"/>
      <c r="Z1255" s="124"/>
      <c r="AA1255" s="124"/>
      <c r="AB1255" s="124"/>
      <c r="AC1255" s="124"/>
      <c r="AD1255" s="124"/>
      <c r="AE1255" s="124"/>
      <c r="AF1255" s="125"/>
      <c r="AG1255" s="125"/>
      <c r="AH1255" s="125"/>
      <c r="AI1255" s="126"/>
      <c r="AJ1255" s="103">
        <f t="shared" si="2240"/>
        <v>0</v>
      </c>
      <c r="AK1255" s="104">
        <f t="shared" si="2241"/>
        <v>0</v>
      </c>
      <c r="AL1255" s="105"/>
    </row>
    <row r="1256" spans="1:38" ht="15.6" hidden="1" thickBot="1">
      <c r="A1256" s="91"/>
      <c r="B1256" s="100"/>
      <c r="C1256" s="92"/>
      <c r="D1256" s="101" t="s">
        <v>102</v>
      </c>
      <c r="E1256" s="106" t="e">
        <f t="shared" ref="E1256:R1256" si="2242">E1255/E1254</f>
        <v>#DIV/0!</v>
      </c>
      <c r="F1256" s="106" t="e">
        <f t="shared" si="2242"/>
        <v>#DIV/0!</v>
      </c>
      <c r="G1256" s="106" t="e">
        <f t="shared" si="2242"/>
        <v>#DIV/0!</v>
      </c>
      <c r="H1256" s="106" t="e">
        <f t="shared" si="2242"/>
        <v>#DIV/0!</v>
      </c>
      <c r="I1256" s="106" t="e">
        <f t="shared" si="2242"/>
        <v>#DIV/0!</v>
      </c>
      <c r="J1256" s="106" t="e">
        <f t="shared" si="2242"/>
        <v>#DIV/0!</v>
      </c>
      <c r="K1256" s="106" t="e">
        <f t="shared" si="2242"/>
        <v>#DIV/0!</v>
      </c>
      <c r="L1256" s="106" t="e">
        <f t="shared" si="2242"/>
        <v>#DIV/0!</v>
      </c>
      <c r="M1256" s="107" t="e">
        <f t="shared" si="2242"/>
        <v>#DIV/0!</v>
      </c>
      <c r="N1256" s="107" t="e">
        <f t="shared" si="2242"/>
        <v>#DIV/0!</v>
      </c>
      <c r="O1256" s="107" t="e">
        <f t="shared" si="2242"/>
        <v>#DIV/0!</v>
      </c>
      <c r="P1256" s="108" t="e">
        <f t="shared" si="2242"/>
        <v>#DIV/0!</v>
      </c>
      <c r="Q1256" s="109" t="e">
        <f t="shared" si="2242"/>
        <v>#DIV/0!</v>
      </c>
      <c r="R1256" s="110" t="e">
        <f t="shared" si="2242"/>
        <v>#DIV/0!</v>
      </c>
      <c r="S1256" s="105"/>
      <c r="T1256" s="91"/>
      <c r="U1256" s="100"/>
      <c r="V1256" s="92"/>
      <c r="W1256" s="101" t="s">
        <v>102</v>
      </c>
      <c r="X1256" s="106" t="e">
        <f t="shared" ref="X1256:AK1256" si="2243">X1255/X1254</f>
        <v>#DIV/0!</v>
      </c>
      <c r="Y1256" s="106" t="e">
        <f t="shared" si="2243"/>
        <v>#DIV/0!</v>
      </c>
      <c r="Z1256" s="106" t="e">
        <f t="shared" si="2243"/>
        <v>#DIV/0!</v>
      </c>
      <c r="AA1256" s="106" t="e">
        <f t="shared" si="2243"/>
        <v>#DIV/0!</v>
      </c>
      <c r="AB1256" s="106" t="e">
        <f t="shared" si="2243"/>
        <v>#DIV/0!</v>
      </c>
      <c r="AC1256" s="106" t="e">
        <f t="shared" si="2243"/>
        <v>#DIV/0!</v>
      </c>
      <c r="AD1256" s="106" t="e">
        <f t="shared" si="2243"/>
        <v>#DIV/0!</v>
      </c>
      <c r="AE1256" s="106" t="e">
        <f t="shared" si="2243"/>
        <v>#DIV/0!</v>
      </c>
      <c r="AF1256" s="107" t="e">
        <f t="shared" si="2243"/>
        <v>#DIV/0!</v>
      </c>
      <c r="AG1256" s="107" t="e">
        <f t="shared" si="2243"/>
        <v>#DIV/0!</v>
      </c>
      <c r="AH1256" s="107" t="e">
        <f t="shared" si="2243"/>
        <v>#DIV/0!</v>
      </c>
      <c r="AI1256" s="108" t="e">
        <f t="shared" si="2243"/>
        <v>#DIV/0!</v>
      </c>
      <c r="AJ1256" s="109" t="e">
        <f t="shared" si="2243"/>
        <v>#DIV/0!</v>
      </c>
      <c r="AK1256" s="110" t="e">
        <f t="shared" si="2243"/>
        <v>#DIV/0!</v>
      </c>
      <c r="AL1256" s="105"/>
    </row>
    <row r="1257" spans="1:38" ht="15.6" hidden="1" thickBot="1">
      <c r="A1257" s="91"/>
      <c r="B1257" s="100"/>
      <c r="C1257" s="111"/>
      <c r="D1257" s="112" t="s">
        <v>103</v>
      </c>
      <c r="E1257" s="113" t="e">
        <f t="shared" ref="E1257:R1257" si="2244">E1255/E1253</f>
        <v>#DIV/0!</v>
      </c>
      <c r="F1257" s="113" t="e">
        <f t="shared" si="2244"/>
        <v>#DIV/0!</v>
      </c>
      <c r="G1257" s="113" t="e">
        <f t="shared" si="2244"/>
        <v>#DIV/0!</v>
      </c>
      <c r="H1257" s="113" t="e">
        <f t="shared" si="2244"/>
        <v>#DIV/0!</v>
      </c>
      <c r="I1257" s="113" t="e">
        <f t="shared" si="2244"/>
        <v>#DIV/0!</v>
      </c>
      <c r="J1257" s="113" t="e">
        <f t="shared" si="2244"/>
        <v>#DIV/0!</v>
      </c>
      <c r="K1257" s="113" t="e">
        <f t="shared" si="2244"/>
        <v>#DIV/0!</v>
      </c>
      <c r="L1257" s="113" t="e">
        <f t="shared" si="2244"/>
        <v>#DIV/0!</v>
      </c>
      <c r="M1257" s="113" t="e">
        <f t="shared" si="2244"/>
        <v>#DIV/0!</v>
      </c>
      <c r="N1257" s="113" t="e">
        <f t="shared" si="2244"/>
        <v>#DIV/0!</v>
      </c>
      <c r="O1257" s="113" t="e">
        <f t="shared" si="2244"/>
        <v>#DIV/0!</v>
      </c>
      <c r="P1257" s="114" t="e">
        <f t="shared" si="2244"/>
        <v>#DIV/0!</v>
      </c>
      <c r="Q1257" s="115" t="e">
        <f t="shared" si="2244"/>
        <v>#DIV/0!</v>
      </c>
      <c r="R1257" s="116" t="e">
        <f t="shared" si="2244"/>
        <v>#DIV/0!</v>
      </c>
      <c r="T1257" s="91"/>
      <c r="U1257" s="100"/>
      <c r="V1257" s="111"/>
      <c r="W1257" s="112" t="s">
        <v>103</v>
      </c>
      <c r="X1257" s="113" t="e">
        <f t="shared" ref="X1257:AK1257" si="2245">X1255/X1253</f>
        <v>#DIV/0!</v>
      </c>
      <c r="Y1257" s="113" t="e">
        <f t="shared" si="2245"/>
        <v>#DIV/0!</v>
      </c>
      <c r="Z1257" s="113" t="e">
        <f t="shared" si="2245"/>
        <v>#DIV/0!</v>
      </c>
      <c r="AA1257" s="113" t="e">
        <f t="shared" si="2245"/>
        <v>#DIV/0!</v>
      </c>
      <c r="AB1257" s="113" t="e">
        <f t="shared" si="2245"/>
        <v>#DIV/0!</v>
      </c>
      <c r="AC1257" s="113" t="e">
        <f t="shared" si="2245"/>
        <v>#DIV/0!</v>
      </c>
      <c r="AD1257" s="113" t="e">
        <f t="shared" si="2245"/>
        <v>#DIV/0!</v>
      </c>
      <c r="AE1257" s="113" t="e">
        <f t="shared" si="2245"/>
        <v>#DIV/0!</v>
      </c>
      <c r="AF1257" s="113" t="e">
        <f t="shared" si="2245"/>
        <v>#DIV/0!</v>
      </c>
      <c r="AG1257" s="113" t="e">
        <f t="shared" si="2245"/>
        <v>#DIV/0!</v>
      </c>
      <c r="AH1257" s="113" t="e">
        <f t="shared" si="2245"/>
        <v>#DIV/0!</v>
      </c>
      <c r="AI1257" s="114" t="e">
        <f t="shared" si="2245"/>
        <v>#DIV/0!</v>
      </c>
      <c r="AJ1257" s="115" t="e">
        <f t="shared" si="2245"/>
        <v>#DIV/0!</v>
      </c>
      <c r="AK1257" s="116" t="e">
        <f t="shared" si="2245"/>
        <v>#DIV/0!</v>
      </c>
    </row>
    <row r="1258" spans="1:38" ht="15.6" hidden="1" thickBot="1">
      <c r="A1258" s="91"/>
      <c r="B1258" s="100"/>
      <c r="C1258" s="86"/>
      <c r="D1258" s="87">
        <v>2019</v>
      </c>
      <c r="E1258" s="88"/>
      <c r="F1258" s="121"/>
      <c r="G1258" s="121"/>
      <c r="H1258" s="121"/>
      <c r="I1258" s="121"/>
      <c r="J1258" s="121"/>
      <c r="K1258" s="121"/>
      <c r="L1258" s="121"/>
      <c r="M1258" s="122"/>
      <c r="N1258" s="122"/>
      <c r="O1258" s="122"/>
      <c r="P1258" s="123"/>
      <c r="Q1258" s="89">
        <f t="shared" ref="Q1258:Q1260" si="2246">SUM(E1258:P1258)</f>
        <v>0</v>
      </c>
      <c r="R1258" s="90">
        <f t="shared" ref="R1258" si="2247">SUM(E1258:M1258)</f>
        <v>0</v>
      </c>
      <c r="T1258" s="91"/>
      <c r="U1258" s="100"/>
      <c r="V1258" s="86">
        <f t="shared" ref="V1258:V1259" si="2248">C1258</f>
        <v>0</v>
      </c>
      <c r="W1258" s="87">
        <v>2019</v>
      </c>
      <c r="X1258" s="88"/>
      <c r="Y1258" s="121"/>
      <c r="Z1258" s="121"/>
      <c r="AA1258" s="121"/>
      <c r="AB1258" s="121"/>
      <c r="AC1258" s="121"/>
      <c r="AD1258" s="121"/>
      <c r="AE1258" s="121"/>
      <c r="AF1258" s="122"/>
      <c r="AG1258" s="122"/>
      <c r="AH1258" s="122"/>
      <c r="AI1258" s="123"/>
      <c r="AJ1258" s="89">
        <f t="shared" ref="AJ1258:AJ1260" si="2249">SUM(X1258:AI1258)</f>
        <v>0</v>
      </c>
      <c r="AK1258" s="90">
        <f t="shared" ref="AK1258:AK1260" si="2250">SUM(X1258:AF1258)</f>
        <v>0</v>
      </c>
    </row>
    <row r="1259" spans="1:38" ht="15.6" hidden="1" thickBot="1">
      <c r="A1259" s="91"/>
      <c r="B1259" s="100"/>
      <c r="C1259" s="92"/>
      <c r="D1259" s="93" t="s">
        <v>92</v>
      </c>
      <c r="E1259" s="94"/>
      <c r="F1259" s="97"/>
      <c r="G1259" s="97"/>
      <c r="H1259" s="97"/>
      <c r="I1259" s="97"/>
      <c r="J1259" s="97"/>
      <c r="K1259" s="97"/>
      <c r="L1259" s="97"/>
      <c r="M1259" s="98"/>
      <c r="N1259" s="98"/>
      <c r="O1259" s="98"/>
      <c r="P1259" s="99"/>
      <c r="Q1259" s="95">
        <f t="shared" si="2246"/>
        <v>0</v>
      </c>
      <c r="R1259" s="96">
        <f t="shared" si="2220"/>
        <v>0</v>
      </c>
      <c r="T1259" s="91"/>
      <c r="U1259" s="100"/>
      <c r="V1259" s="92">
        <f t="shared" si="2248"/>
        <v>0</v>
      </c>
      <c r="W1259" s="93" t="s">
        <v>92</v>
      </c>
      <c r="X1259" s="94"/>
      <c r="Y1259" s="97"/>
      <c r="Z1259" s="97"/>
      <c r="AA1259" s="97"/>
      <c r="AB1259" s="97"/>
      <c r="AC1259" s="97"/>
      <c r="AD1259" s="97"/>
      <c r="AE1259" s="97"/>
      <c r="AF1259" s="98"/>
      <c r="AG1259" s="98"/>
      <c r="AH1259" s="98"/>
      <c r="AI1259" s="99"/>
      <c r="AJ1259" s="95">
        <f t="shared" si="2249"/>
        <v>0</v>
      </c>
      <c r="AK1259" s="96">
        <f t="shared" si="2250"/>
        <v>0</v>
      </c>
    </row>
    <row r="1260" spans="1:38" ht="15.6" hidden="1" thickBot="1">
      <c r="A1260" s="91"/>
      <c r="B1260" s="100"/>
      <c r="C1260" s="92"/>
      <c r="D1260" s="101">
        <v>2020</v>
      </c>
      <c r="E1260" s="102"/>
      <c r="F1260" s="124"/>
      <c r="G1260" s="124"/>
      <c r="H1260" s="124"/>
      <c r="I1260" s="124"/>
      <c r="J1260" s="124"/>
      <c r="K1260" s="124"/>
      <c r="L1260" s="124"/>
      <c r="M1260" s="125"/>
      <c r="N1260" s="125"/>
      <c r="O1260" s="125"/>
      <c r="P1260" s="126"/>
      <c r="Q1260" s="103">
        <f t="shared" si="2246"/>
        <v>0</v>
      </c>
      <c r="R1260" s="104">
        <f t="shared" si="2220"/>
        <v>0</v>
      </c>
      <c r="S1260" s="105"/>
      <c r="T1260" s="91"/>
      <c r="U1260" s="100"/>
      <c r="V1260" s="92"/>
      <c r="W1260" s="101">
        <v>2020</v>
      </c>
      <c r="X1260" s="102"/>
      <c r="Y1260" s="124"/>
      <c r="Z1260" s="124"/>
      <c r="AA1260" s="124"/>
      <c r="AB1260" s="124"/>
      <c r="AC1260" s="124"/>
      <c r="AD1260" s="124"/>
      <c r="AE1260" s="124"/>
      <c r="AF1260" s="125"/>
      <c r="AG1260" s="125"/>
      <c r="AH1260" s="125"/>
      <c r="AI1260" s="126"/>
      <c r="AJ1260" s="103">
        <f t="shared" si="2249"/>
        <v>0</v>
      </c>
      <c r="AK1260" s="104">
        <f t="shared" si="2250"/>
        <v>0</v>
      </c>
      <c r="AL1260" s="105"/>
    </row>
    <row r="1261" spans="1:38" ht="15.6" hidden="1" thickBot="1">
      <c r="A1261" s="91"/>
      <c r="B1261" s="100"/>
      <c r="C1261" s="92"/>
      <c r="D1261" s="101" t="s">
        <v>102</v>
      </c>
      <c r="E1261" s="106" t="e">
        <f t="shared" ref="E1261:R1261" si="2251">E1260/E1259</f>
        <v>#DIV/0!</v>
      </c>
      <c r="F1261" s="106" t="e">
        <f t="shared" si="2251"/>
        <v>#DIV/0!</v>
      </c>
      <c r="G1261" s="106" t="e">
        <f t="shared" si="2251"/>
        <v>#DIV/0!</v>
      </c>
      <c r="H1261" s="106" t="e">
        <f t="shared" si="2251"/>
        <v>#DIV/0!</v>
      </c>
      <c r="I1261" s="106" t="e">
        <f t="shared" si="2251"/>
        <v>#DIV/0!</v>
      </c>
      <c r="J1261" s="106" t="e">
        <f t="shared" si="2251"/>
        <v>#DIV/0!</v>
      </c>
      <c r="K1261" s="106" t="e">
        <f t="shared" si="2251"/>
        <v>#DIV/0!</v>
      </c>
      <c r="L1261" s="106" t="e">
        <f t="shared" si="2251"/>
        <v>#DIV/0!</v>
      </c>
      <c r="M1261" s="107" t="e">
        <f t="shared" si="2251"/>
        <v>#DIV/0!</v>
      </c>
      <c r="N1261" s="107" t="e">
        <f t="shared" si="2251"/>
        <v>#DIV/0!</v>
      </c>
      <c r="O1261" s="107" t="e">
        <f t="shared" si="2251"/>
        <v>#DIV/0!</v>
      </c>
      <c r="P1261" s="108" t="e">
        <f t="shared" si="2251"/>
        <v>#DIV/0!</v>
      </c>
      <c r="Q1261" s="109" t="e">
        <f t="shared" si="2251"/>
        <v>#DIV/0!</v>
      </c>
      <c r="R1261" s="110" t="e">
        <f t="shared" si="2251"/>
        <v>#DIV/0!</v>
      </c>
      <c r="S1261" s="105"/>
      <c r="T1261" s="91"/>
      <c r="U1261" s="100"/>
      <c r="V1261" s="92"/>
      <c r="W1261" s="101" t="s">
        <v>102</v>
      </c>
      <c r="X1261" s="106" t="e">
        <f t="shared" ref="X1261:AK1261" si="2252">X1260/X1259</f>
        <v>#DIV/0!</v>
      </c>
      <c r="Y1261" s="106" t="e">
        <f t="shared" si="2252"/>
        <v>#DIV/0!</v>
      </c>
      <c r="Z1261" s="106" t="e">
        <f t="shared" si="2252"/>
        <v>#DIV/0!</v>
      </c>
      <c r="AA1261" s="106" t="e">
        <f t="shared" si="2252"/>
        <v>#DIV/0!</v>
      </c>
      <c r="AB1261" s="106" t="e">
        <f t="shared" si="2252"/>
        <v>#DIV/0!</v>
      </c>
      <c r="AC1261" s="106" t="e">
        <f t="shared" si="2252"/>
        <v>#DIV/0!</v>
      </c>
      <c r="AD1261" s="106" t="e">
        <f t="shared" si="2252"/>
        <v>#DIV/0!</v>
      </c>
      <c r="AE1261" s="106" t="e">
        <f t="shared" si="2252"/>
        <v>#DIV/0!</v>
      </c>
      <c r="AF1261" s="107" t="e">
        <f t="shared" si="2252"/>
        <v>#DIV/0!</v>
      </c>
      <c r="AG1261" s="107" t="e">
        <f t="shared" si="2252"/>
        <v>#DIV/0!</v>
      </c>
      <c r="AH1261" s="107" t="e">
        <f t="shared" si="2252"/>
        <v>#DIV/0!</v>
      </c>
      <c r="AI1261" s="108" t="e">
        <f t="shared" si="2252"/>
        <v>#DIV/0!</v>
      </c>
      <c r="AJ1261" s="109" t="e">
        <f t="shared" si="2252"/>
        <v>#DIV/0!</v>
      </c>
      <c r="AK1261" s="110" t="e">
        <f t="shared" si="2252"/>
        <v>#DIV/0!</v>
      </c>
      <c r="AL1261" s="105"/>
    </row>
    <row r="1262" spans="1:38" ht="15.6" hidden="1" thickBot="1">
      <c r="A1262" s="91"/>
      <c r="B1262" s="100"/>
      <c r="C1262" s="111"/>
      <c r="D1262" s="112" t="s">
        <v>103</v>
      </c>
      <c r="E1262" s="113" t="e">
        <f t="shared" ref="E1262:R1262" si="2253">E1260/E1258</f>
        <v>#DIV/0!</v>
      </c>
      <c r="F1262" s="113" t="e">
        <f t="shared" si="2253"/>
        <v>#DIV/0!</v>
      </c>
      <c r="G1262" s="113" t="e">
        <f t="shared" si="2253"/>
        <v>#DIV/0!</v>
      </c>
      <c r="H1262" s="113" t="e">
        <f t="shared" si="2253"/>
        <v>#DIV/0!</v>
      </c>
      <c r="I1262" s="113" t="e">
        <f t="shared" si="2253"/>
        <v>#DIV/0!</v>
      </c>
      <c r="J1262" s="113" t="e">
        <f t="shared" si="2253"/>
        <v>#DIV/0!</v>
      </c>
      <c r="K1262" s="113" t="e">
        <f t="shared" si="2253"/>
        <v>#DIV/0!</v>
      </c>
      <c r="L1262" s="113" t="e">
        <f t="shared" si="2253"/>
        <v>#DIV/0!</v>
      </c>
      <c r="M1262" s="113" t="e">
        <f t="shared" si="2253"/>
        <v>#DIV/0!</v>
      </c>
      <c r="N1262" s="113" t="e">
        <f t="shared" si="2253"/>
        <v>#DIV/0!</v>
      </c>
      <c r="O1262" s="113" t="e">
        <f t="shared" si="2253"/>
        <v>#DIV/0!</v>
      </c>
      <c r="P1262" s="114" t="e">
        <f t="shared" si="2253"/>
        <v>#DIV/0!</v>
      </c>
      <c r="Q1262" s="115" t="e">
        <f t="shared" si="2253"/>
        <v>#DIV/0!</v>
      </c>
      <c r="R1262" s="116" t="e">
        <f t="shared" si="2253"/>
        <v>#DIV/0!</v>
      </c>
      <c r="T1262" s="91"/>
      <c r="U1262" s="100"/>
      <c r="V1262" s="111"/>
      <c r="W1262" s="112" t="s">
        <v>103</v>
      </c>
      <c r="X1262" s="113" t="e">
        <f t="shared" ref="X1262:AK1262" si="2254">X1260/X1258</f>
        <v>#DIV/0!</v>
      </c>
      <c r="Y1262" s="113" t="e">
        <f t="shared" si="2254"/>
        <v>#DIV/0!</v>
      </c>
      <c r="Z1262" s="113" t="e">
        <f t="shared" si="2254"/>
        <v>#DIV/0!</v>
      </c>
      <c r="AA1262" s="113" t="e">
        <f t="shared" si="2254"/>
        <v>#DIV/0!</v>
      </c>
      <c r="AB1262" s="113" t="e">
        <f t="shared" si="2254"/>
        <v>#DIV/0!</v>
      </c>
      <c r="AC1262" s="113" t="e">
        <f t="shared" si="2254"/>
        <v>#DIV/0!</v>
      </c>
      <c r="AD1262" s="113" t="e">
        <f t="shared" si="2254"/>
        <v>#DIV/0!</v>
      </c>
      <c r="AE1262" s="113" t="e">
        <f t="shared" si="2254"/>
        <v>#DIV/0!</v>
      </c>
      <c r="AF1262" s="113" t="e">
        <f t="shared" si="2254"/>
        <v>#DIV/0!</v>
      </c>
      <c r="AG1262" s="113" t="e">
        <f t="shared" si="2254"/>
        <v>#DIV/0!</v>
      </c>
      <c r="AH1262" s="113" t="e">
        <f t="shared" si="2254"/>
        <v>#DIV/0!</v>
      </c>
      <c r="AI1262" s="114" t="e">
        <f t="shared" si="2254"/>
        <v>#DIV/0!</v>
      </c>
      <c r="AJ1262" s="115" t="e">
        <f t="shared" si="2254"/>
        <v>#DIV/0!</v>
      </c>
      <c r="AK1262" s="116" t="e">
        <f t="shared" si="2254"/>
        <v>#DIV/0!</v>
      </c>
    </row>
    <row r="1263" spans="1:38" ht="15.6" hidden="1" thickBot="1">
      <c r="A1263" s="91"/>
      <c r="B1263" s="100"/>
      <c r="C1263" s="86"/>
      <c r="D1263" s="87">
        <v>2019</v>
      </c>
      <c r="E1263" s="88"/>
      <c r="F1263" s="121"/>
      <c r="G1263" s="121"/>
      <c r="H1263" s="121"/>
      <c r="I1263" s="121"/>
      <c r="J1263" s="121"/>
      <c r="K1263" s="121"/>
      <c r="L1263" s="121"/>
      <c r="M1263" s="122"/>
      <c r="N1263" s="122"/>
      <c r="O1263" s="122"/>
      <c r="P1263" s="123"/>
      <c r="Q1263" s="89">
        <f t="shared" ref="Q1263:Q1265" si="2255">SUM(E1263:P1263)</f>
        <v>0</v>
      </c>
      <c r="R1263" s="90">
        <f t="shared" ref="R1263" si="2256">SUM(E1263:M1263)</f>
        <v>0</v>
      </c>
      <c r="T1263" s="91"/>
      <c r="U1263" s="100"/>
      <c r="V1263" s="86">
        <f t="shared" ref="V1263:V1264" si="2257">C1263</f>
        <v>0</v>
      </c>
      <c r="W1263" s="87">
        <v>2019</v>
      </c>
      <c r="X1263" s="88"/>
      <c r="Y1263" s="121"/>
      <c r="Z1263" s="121"/>
      <c r="AA1263" s="121"/>
      <c r="AB1263" s="121"/>
      <c r="AC1263" s="121"/>
      <c r="AD1263" s="121"/>
      <c r="AE1263" s="121"/>
      <c r="AF1263" s="122"/>
      <c r="AG1263" s="122"/>
      <c r="AH1263" s="122"/>
      <c r="AI1263" s="123"/>
      <c r="AJ1263" s="89">
        <f t="shared" ref="AJ1263:AJ1265" si="2258">SUM(X1263:AI1263)</f>
        <v>0</v>
      </c>
      <c r="AK1263" s="90">
        <f t="shared" ref="AK1263:AK1265" si="2259">SUM(X1263:AF1263)</f>
        <v>0</v>
      </c>
    </row>
    <row r="1264" spans="1:38" ht="15.6" hidden="1" thickBot="1">
      <c r="A1264" s="91"/>
      <c r="B1264" s="100"/>
      <c r="C1264" s="92"/>
      <c r="D1264" s="93" t="s">
        <v>92</v>
      </c>
      <c r="E1264" s="94"/>
      <c r="F1264" s="97"/>
      <c r="G1264" s="97"/>
      <c r="H1264" s="97"/>
      <c r="I1264" s="97"/>
      <c r="J1264" s="97"/>
      <c r="K1264" s="97"/>
      <c r="L1264" s="97"/>
      <c r="M1264" s="98"/>
      <c r="N1264" s="98"/>
      <c r="O1264" s="98"/>
      <c r="P1264" s="99"/>
      <c r="Q1264" s="95">
        <f t="shared" si="2255"/>
        <v>0</v>
      </c>
      <c r="R1264" s="96">
        <f t="shared" si="2220"/>
        <v>0</v>
      </c>
      <c r="T1264" s="91"/>
      <c r="U1264" s="100"/>
      <c r="V1264" s="92">
        <f t="shared" si="2257"/>
        <v>0</v>
      </c>
      <c r="W1264" s="93" t="s">
        <v>92</v>
      </c>
      <c r="X1264" s="94"/>
      <c r="Y1264" s="97"/>
      <c r="Z1264" s="97"/>
      <c r="AA1264" s="97"/>
      <c r="AB1264" s="97"/>
      <c r="AC1264" s="97"/>
      <c r="AD1264" s="97"/>
      <c r="AE1264" s="97"/>
      <c r="AF1264" s="98"/>
      <c r="AG1264" s="98"/>
      <c r="AH1264" s="98"/>
      <c r="AI1264" s="99"/>
      <c r="AJ1264" s="95">
        <f t="shared" si="2258"/>
        <v>0</v>
      </c>
      <c r="AK1264" s="96">
        <f t="shared" si="2259"/>
        <v>0</v>
      </c>
    </row>
    <row r="1265" spans="1:38" ht="15.6" hidden="1" thickBot="1">
      <c r="A1265" s="91"/>
      <c r="B1265" s="100"/>
      <c r="C1265" s="92"/>
      <c r="D1265" s="101">
        <v>2020</v>
      </c>
      <c r="E1265" s="102"/>
      <c r="F1265" s="124"/>
      <c r="G1265" s="124"/>
      <c r="H1265" s="124"/>
      <c r="I1265" s="124"/>
      <c r="J1265" s="124"/>
      <c r="K1265" s="124"/>
      <c r="L1265" s="124"/>
      <c r="M1265" s="125"/>
      <c r="N1265" s="125"/>
      <c r="O1265" s="125"/>
      <c r="P1265" s="126"/>
      <c r="Q1265" s="103">
        <f t="shared" si="2255"/>
        <v>0</v>
      </c>
      <c r="R1265" s="104">
        <f t="shared" si="2220"/>
        <v>0</v>
      </c>
      <c r="S1265" s="105"/>
      <c r="T1265" s="91"/>
      <c r="U1265" s="100"/>
      <c r="V1265" s="92"/>
      <c r="W1265" s="101">
        <v>2020</v>
      </c>
      <c r="X1265" s="102"/>
      <c r="Y1265" s="124"/>
      <c r="Z1265" s="124"/>
      <c r="AA1265" s="124"/>
      <c r="AB1265" s="124"/>
      <c r="AC1265" s="124"/>
      <c r="AD1265" s="124"/>
      <c r="AE1265" s="124"/>
      <c r="AF1265" s="125"/>
      <c r="AG1265" s="125"/>
      <c r="AH1265" s="125"/>
      <c r="AI1265" s="126"/>
      <c r="AJ1265" s="103">
        <f t="shared" si="2258"/>
        <v>0</v>
      </c>
      <c r="AK1265" s="104">
        <f t="shared" si="2259"/>
        <v>0</v>
      </c>
      <c r="AL1265" s="105"/>
    </row>
    <row r="1266" spans="1:38" ht="15.6" hidden="1" thickBot="1">
      <c r="A1266" s="91"/>
      <c r="B1266" s="100"/>
      <c r="C1266" s="92"/>
      <c r="D1266" s="101" t="s">
        <v>102</v>
      </c>
      <c r="E1266" s="106" t="e">
        <f t="shared" ref="E1266:R1266" si="2260">E1265/E1264</f>
        <v>#DIV/0!</v>
      </c>
      <c r="F1266" s="106" t="e">
        <f t="shared" si="2260"/>
        <v>#DIV/0!</v>
      </c>
      <c r="G1266" s="106" t="e">
        <f t="shared" si="2260"/>
        <v>#DIV/0!</v>
      </c>
      <c r="H1266" s="106" t="e">
        <f t="shared" si="2260"/>
        <v>#DIV/0!</v>
      </c>
      <c r="I1266" s="106" t="e">
        <f t="shared" si="2260"/>
        <v>#DIV/0!</v>
      </c>
      <c r="J1266" s="106" t="e">
        <f t="shared" si="2260"/>
        <v>#DIV/0!</v>
      </c>
      <c r="K1266" s="106" t="e">
        <f t="shared" si="2260"/>
        <v>#DIV/0!</v>
      </c>
      <c r="L1266" s="106" t="e">
        <f t="shared" si="2260"/>
        <v>#DIV/0!</v>
      </c>
      <c r="M1266" s="107" t="e">
        <f t="shared" si="2260"/>
        <v>#DIV/0!</v>
      </c>
      <c r="N1266" s="107" t="e">
        <f t="shared" si="2260"/>
        <v>#DIV/0!</v>
      </c>
      <c r="O1266" s="107" t="e">
        <f t="shared" si="2260"/>
        <v>#DIV/0!</v>
      </c>
      <c r="P1266" s="108" t="e">
        <f t="shared" si="2260"/>
        <v>#DIV/0!</v>
      </c>
      <c r="Q1266" s="109" t="e">
        <f t="shared" si="2260"/>
        <v>#DIV/0!</v>
      </c>
      <c r="R1266" s="110" t="e">
        <f t="shared" si="2260"/>
        <v>#DIV/0!</v>
      </c>
      <c r="S1266" s="105"/>
      <c r="T1266" s="91"/>
      <c r="U1266" s="100"/>
      <c r="V1266" s="92"/>
      <c r="W1266" s="101" t="s">
        <v>102</v>
      </c>
      <c r="X1266" s="106" t="e">
        <f t="shared" ref="X1266:AK1266" si="2261">X1265/X1264</f>
        <v>#DIV/0!</v>
      </c>
      <c r="Y1266" s="106" t="e">
        <f t="shared" si="2261"/>
        <v>#DIV/0!</v>
      </c>
      <c r="Z1266" s="106" t="e">
        <f t="shared" si="2261"/>
        <v>#DIV/0!</v>
      </c>
      <c r="AA1266" s="106" t="e">
        <f t="shared" si="2261"/>
        <v>#DIV/0!</v>
      </c>
      <c r="AB1266" s="106" t="e">
        <f t="shared" si="2261"/>
        <v>#DIV/0!</v>
      </c>
      <c r="AC1266" s="106" t="e">
        <f t="shared" si="2261"/>
        <v>#DIV/0!</v>
      </c>
      <c r="AD1266" s="106" t="e">
        <f t="shared" si="2261"/>
        <v>#DIV/0!</v>
      </c>
      <c r="AE1266" s="106" t="e">
        <f t="shared" si="2261"/>
        <v>#DIV/0!</v>
      </c>
      <c r="AF1266" s="107" t="e">
        <f t="shared" si="2261"/>
        <v>#DIV/0!</v>
      </c>
      <c r="AG1266" s="107" t="e">
        <f t="shared" si="2261"/>
        <v>#DIV/0!</v>
      </c>
      <c r="AH1266" s="107" t="e">
        <f t="shared" si="2261"/>
        <v>#DIV/0!</v>
      </c>
      <c r="AI1266" s="108" t="e">
        <f t="shared" si="2261"/>
        <v>#DIV/0!</v>
      </c>
      <c r="AJ1266" s="109" t="e">
        <f t="shared" si="2261"/>
        <v>#DIV/0!</v>
      </c>
      <c r="AK1266" s="110" t="e">
        <f t="shared" si="2261"/>
        <v>#DIV/0!</v>
      </c>
      <c r="AL1266" s="105"/>
    </row>
    <row r="1267" spans="1:38" ht="15.6" hidden="1" thickBot="1">
      <c r="A1267" s="91"/>
      <c r="B1267" s="100"/>
      <c r="C1267" s="111"/>
      <c r="D1267" s="112" t="s">
        <v>103</v>
      </c>
      <c r="E1267" s="113" t="e">
        <f t="shared" ref="E1267:R1267" si="2262">E1265/E1263</f>
        <v>#DIV/0!</v>
      </c>
      <c r="F1267" s="113" t="e">
        <f t="shared" si="2262"/>
        <v>#DIV/0!</v>
      </c>
      <c r="G1267" s="113" t="e">
        <f t="shared" si="2262"/>
        <v>#DIV/0!</v>
      </c>
      <c r="H1267" s="113" t="e">
        <f t="shared" si="2262"/>
        <v>#DIV/0!</v>
      </c>
      <c r="I1267" s="113" t="e">
        <f t="shared" si="2262"/>
        <v>#DIV/0!</v>
      </c>
      <c r="J1267" s="113" t="e">
        <f t="shared" si="2262"/>
        <v>#DIV/0!</v>
      </c>
      <c r="K1267" s="113" t="e">
        <f t="shared" si="2262"/>
        <v>#DIV/0!</v>
      </c>
      <c r="L1267" s="113" t="e">
        <f t="shared" si="2262"/>
        <v>#DIV/0!</v>
      </c>
      <c r="M1267" s="113" t="e">
        <f t="shared" si="2262"/>
        <v>#DIV/0!</v>
      </c>
      <c r="N1267" s="113" t="e">
        <f t="shared" si="2262"/>
        <v>#DIV/0!</v>
      </c>
      <c r="O1267" s="113" t="e">
        <f t="shared" si="2262"/>
        <v>#DIV/0!</v>
      </c>
      <c r="P1267" s="114" t="e">
        <f t="shared" si="2262"/>
        <v>#DIV/0!</v>
      </c>
      <c r="Q1267" s="115" t="e">
        <f t="shared" si="2262"/>
        <v>#DIV/0!</v>
      </c>
      <c r="R1267" s="116" t="e">
        <f t="shared" si="2262"/>
        <v>#DIV/0!</v>
      </c>
      <c r="T1267" s="91"/>
      <c r="U1267" s="100"/>
      <c r="V1267" s="111"/>
      <c r="W1267" s="112" t="s">
        <v>103</v>
      </c>
      <c r="X1267" s="113" t="e">
        <f t="shared" ref="X1267:AK1267" si="2263">X1265/X1263</f>
        <v>#DIV/0!</v>
      </c>
      <c r="Y1267" s="113" t="e">
        <f t="shared" si="2263"/>
        <v>#DIV/0!</v>
      </c>
      <c r="Z1267" s="113" t="e">
        <f t="shared" si="2263"/>
        <v>#DIV/0!</v>
      </c>
      <c r="AA1267" s="113" t="e">
        <f t="shared" si="2263"/>
        <v>#DIV/0!</v>
      </c>
      <c r="AB1267" s="113" t="e">
        <f t="shared" si="2263"/>
        <v>#DIV/0!</v>
      </c>
      <c r="AC1267" s="113" t="e">
        <f t="shared" si="2263"/>
        <v>#DIV/0!</v>
      </c>
      <c r="AD1267" s="113" t="e">
        <f t="shared" si="2263"/>
        <v>#DIV/0!</v>
      </c>
      <c r="AE1267" s="113" t="e">
        <f t="shared" si="2263"/>
        <v>#DIV/0!</v>
      </c>
      <c r="AF1267" s="113" t="e">
        <f t="shared" si="2263"/>
        <v>#DIV/0!</v>
      </c>
      <c r="AG1267" s="113" t="e">
        <f t="shared" si="2263"/>
        <v>#DIV/0!</v>
      </c>
      <c r="AH1267" s="113" t="e">
        <f t="shared" si="2263"/>
        <v>#DIV/0!</v>
      </c>
      <c r="AI1267" s="114" t="e">
        <f t="shared" si="2263"/>
        <v>#DIV/0!</v>
      </c>
      <c r="AJ1267" s="115" t="e">
        <f t="shared" si="2263"/>
        <v>#DIV/0!</v>
      </c>
      <c r="AK1267" s="116" t="e">
        <f t="shared" si="2263"/>
        <v>#DIV/0!</v>
      </c>
    </row>
    <row r="1268" spans="1:38" ht="15.6" hidden="1" thickBot="1">
      <c r="A1268" s="91"/>
      <c r="B1268" s="100"/>
      <c r="C1268" s="86"/>
      <c r="D1268" s="87">
        <v>2019</v>
      </c>
      <c r="E1268" s="88"/>
      <c r="F1268" s="121"/>
      <c r="G1268" s="121"/>
      <c r="H1268" s="121"/>
      <c r="I1268" s="121"/>
      <c r="J1268" s="121"/>
      <c r="K1268" s="121"/>
      <c r="L1268" s="121"/>
      <c r="M1268" s="122"/>
      <c r="N1268" s="122"/>
      <c r="O1268" s="122"/>
      <c r="P1268" s="123"/>
      <c r="Q1268" s="89">
        <f t="shared" ref="Q1268:Q1270" si="2264">SUM(E1268:P1268)</f>
        <v>0</v>
      </c>
      <c r="R1268" s="90">
        <f t="shared" ref="R1268" si="2265">SUM(E1268:M1268)</f>
        <v>0</v>
      </c>
      <c r="T1268" s="91"/>
      <c r="U1268" s="100"/>
      <c r="V1268" s="86">
        <f t="shared" ref="V1268:V1269" si="2266">C1268</f>
        <v>0</v>
      </c>
      <c r="W1268" s="87">
        <v>2019</v>
      </c>
      <c r="X1268" s="88"/>
      <c r="Y1268" s="121"/>
      <c r="Z1268" s="121"/>
      <c r="AA1268" s="121"/>
      <c r="AB1268" s="121"/>
      <c r="AC1268" s="121"/>
      <c r="AD1268" s="121"/>
      <c r="AE1268" s="121"/>
      <c r="AF1268" s="122"/>
      <c r="AG1268" s="122"/>
      <c r="AH1268" s="122"/>
      <c r="AI1268" s="123"/>
      <c r="AJ1268" s="89">
        <f t="shared" ref="AJ1268:AJ1270" si="2267">SUM(X1268:AI1268)</f>
        <v>0</v>
      </c>
      <c r="AK1268" s="90">
        <f t="shared" ref="AK1268:AK1270" si="2268">SUM(X1268:AF1268)</f>
        <v>0</v>
      </c>
    </row>
    <row r="1269" spans="1:38" ht="15.6" hidden="1" thickBot="1">
      <c r="A1269" s="91"/>
      <c r="B1269" s="100"/>
      <c r="C1269" s="92"/>
      <c r="D1269" s="93" t="s">
        <v>92</v>
      </c>
      <c r="E1269" s="94"/>
      <c r="F1269" s="97"/>
      <c r="G1269" s="97"/>
      <c r="H1269" s="97"/>
      <c r="I1269" s="97"/>
      <c r="J1269" s="97"/>
      <c r="K1269" s="97"/>
      <c r="L1269" s="97"/>
      <c r="M1269" s="98"/>
      <c r="N1269" s="98"/>
      <c r="O1269" s="98"/>
      <c r="P1269" s="99"/>
      <c r="Q1269" s="95">
        <f t="shared" si="2264"/>
        <v>0</v>
      </c>
      <c r="R1269" s="96">
        <f t="shared" si="2220"/>
        <v>0</v>
      </c>
      <c r="T1269" s="91"/>
      <c r="U1269" s="100"/>
      <c r="V1269" s="92">
        <f t="shared" si="2266"/>
        <v>0</v>
      </c>
      <c r="W1269" s="93" t="s">
        <v>92</v>
      </c>
      <c r="X1269" s="94"/>
      <c r="Y1269" s="97"/>
      <c r="Z1269" s="97"/>
      <c r="AA1269" s="97"/>
      <c r="AB1269" s="97"/>
      <c r="AC1269" s="97"/>
      <c r="AD1269" s="97"/>
      <c r="AE1269" s="97"/>
      <c r="AF1269" s="98"/>
      <c r="AG1269" s="98"/>
      <c r="AH1269" s="98"/>
      <c r="AI1269" s="99"/>
      <c r="AJ1269" s="95">
        <f t="shared" si="2267"/>
        <v>0</v>
      </c>
      <c r="AK1269" s="96">
        <f t="shared" si="2268"/>
        <v>0</v>
      </c>
    </row>
    <row r="1270" spans="1:38" ht="15.6" hidden="1" thickBot="1">
      <c r="A1270" s="91"/>
      <c r="B1270" s="100"/>
      <c r="C1270" s="92"/>
      <c r="D1270" s="101">
        <v>2020</v>
      </c>
      <c r="E1270" s="102"/>
      <c r="F1270" s="124"/>
      <c r="G1270" s="124"/>
      <c r="H1270" s="124"/>
      <c r="I1270" s="124"/>
      <c r="J1270" s="124"/>
      <c r="K1270" s="124"/>
      <c r="L1270" s="124"/>
      <c r="M1270" s="125"/>
      <c r="N1270" s="125"/>
      <c r="O1270" s="125"/>
      <c r="P1270" s="126"/>
      <c r="Q1270" s="103">
        <f t="shared" si="2264"/>
        <v>0</v>
      </c>
      <c r="R1270" s="104">
        <f t="shared" si="2220"/>
        <v>0</v>
      </c>
      <c r="S1270" s="105"/>
      <c r="T1270" s="91"/>
      <c r="U1270" s="100"/>
      <c r="V1270" s="92"/>
      <c r="W1270" s="101">
        <v>2020</v>
      </c>
      <c r="X1270" s="102"/>
      <c r="Y1270" s="124"/>
      <c r="Z1270" s="124"/>
      <c r="AA1270" s="124"/>
      <c r="AB1270" s="124"/>
      <c r="AC1270" s="124"/>
      <c r="AD1270" s="124"/>
      <c r="AE1270" s="124"/>
      <c r="AF1270" s="125"/>
      <c r="AG1270" s="125"/>
      <c r="AH1270" s="125"/>
      <c r="AI1270" s="126"/>
      <c r="AJ1270" s="103">
        <f t="shared" si="2267"/>
        <v>0</v>
      </c>
      <c r="AK1270" s="104">
        <f t="shared" si="2268"/>
        <v>0</v>
      </c>
      <c r="AL1270" s="105"/>
    </row>
    <row r="1271" spans="1:38" ht="15.6" hidden="1" thickBot="1">
      <c r="A1271" s="91"/>
      <c r="B1271" s="100"/>
      <c r="C1271" s="92"/>
      <c r="D1271" s="101" t="s">
        <v>102</v>
      </c>
      <c r="E1271" s="106" t="e">
        <f t="shared" ref="E1271:R1271" si="2269">E1270/E1269</f>
        <v>#DIV/0!</v>
      </c>
      <c r="F1271" s="106" t="e">
        <f t="shared" si="2269"/>
        <v>#DIV/0!</v>
      </c>
      <c r="G1271" s="106" t="e">
        <f t="shared" si="2269"/>
        <v>#DIV/0!</v>
      </c>
      <c r="H1271" s="106" t="e">
        <f t="shared" si="2269"/>
        <v>#DIV/0!</v>
      </c>
      <c r="I1271" s="106" t="e">
        <f t="shared" si="2269"/>
        <v>#DIV/0!</v>
      </c>
      <c r="J1271" s="106" t="e">
        <f t="shared" si="2269"/>
        <v>#DIV/0!</v>
      </c>
      <c r="K1271" s="106" t="e">
        <f t="shared" si="2269"/>
        <v>#DIV/0!</v>
      </c>
      <c r="L1271" s="106" t="e">
        <f t="shared" si="2269"/>
        <v>#DIV/0!</v>
      </c>
      <c r="M1271" s="107" t="e">
        <f t="shared" si="2269"/>
        <v>#DIV/0!</v>
      </c>
      <c r="N1271" s="107" t="e">
        <f t="shared" si="2269"/>
        <v>#DIV/0!</v>
      </c>
      <c r="O1271" s="107" t="e">
        <f t="shared" si="2269"/>
        <v>#DIV/0!</v>
      </c>
      <c r="P1271" s="108" t="e">
        <f t="shared" si="2269"/>
        <v>#DIV/0!</v>
      </c>
      <c r="Q1271" s="109" t="e">
        <f t="shared" si="2269"/>
        <v>#DIV/0!</v>
      </c>
      <c r="R1271" s="110" t="e">
        <f t="shared" si="2269"/>
        <v>#DIV/0!</v>
      </c>
      <c r="S1271" s="105"/>
      <c r="T1271" s="91"/>
      <c r="U1271" s="100"/>
      <c r="V1271" s="92"/>
      <c r="W1271" s="101" t="s">
        <v>102</v>
      </c>
      <c r="X1271" s="106" t="e">
        <f t="shared" ref="X1271:AK1271" si="2270">X1270/X1269</f>
        <v>#DIV/0!</v>
      </c>
      <c r="Y1271" s="106" t="e">
        <f t="shared" si="2270"/>
        <v>#DIV/0!</v>
      </c>
      <c r="Z1271" s="106" t="e">
        <f t="shared" si="2270"/>
        <v>#DIV/0!</v>
      </c>
      <c r="AA1271" s="106" t="e">
        <f t="shared" si="2270"/>
        <v>#DIV/0!</v>
      </c>
      <c r="AB1271" s="106" t="e">
        <f t="shared" si="2270"/>
        <v>#DIV/0!</v>
      </c>
      <c r="AC1271" s="106" t="e">
        <f t="shared" si="2270"/>
        <v>#DIV/0!</v>
      </c>
      <c r="AD1271" s="106" t="e">
        <f t="shared" si="2270"/>
        <v>#DIV/0!</v>
      </c>
      <c r="AE1271" s="106" t="e">
        <f t="shared" si="2270"/>
        <v>#DIV/0!</v>
      </c>
      <c r="AF1271" s="107" t="e">
        <f t="shared" si="2270"/>
        <v>#DIV/0!</v>
      </c>
      <c r="AG1271" s="107" t="e">
        <f t="shared" si="2270"/>
        <v>#DIV/0!</v>
      </c>
      <c r="AH1271" s="107" t="e">
        <f t="shared" si="2270"/>
        <v>#DIV/0!</v>
      </c>
      <c r="AI1271" s="108" t="e">
        <f t="shared" si="2270"/>
        <v>#DIV/0!</v>
      </c>
      <c r="AJ1271" s="109" t="e">
        <f t="shared" si="2270"/>
        <v>#DIV/0!</v>
      </c>
      <c r="AK1271" s="110" t="e">
        <f t="shared" si="2270"/>
        <v>#DIV/0!</v>
      </c>
      <c r="AL1271" s="105"/>
    </row>
    <row r="1272" spans="1:38" ht="15.6" hidden="1" thickBot="1">
      <c r="A1272" s="91"/>
      <c r="B1272" s="100"/>
      <c r="C1272" s="111"/>
      <c r="D1272" s="112" t="s">
        <v>103</v>
      </c>
      <c r="E1272" s="113" t="e">
        <f t="shared" ref="E1272:R1272" si="2271">E1270/E1268</f>
        <v>#DIV/0!</v>
      </c>
      <c r="F1272" s="113" t="e">
        <f t="shared" si="2271"/>
        <v>#DIV/0!</v>
      </c>
      <c r="G1272" s="113" t="e">
        <f t="shared" si="2271"/>
        <v>#DIV/0!</v>
      </c>
      <c r="H1272" s="113" t="e">
        <f t="shared" si="2271"/>
        <v>#DIV/0!</v>
      </c>
      <c r="I1272" s="113" t="e">
        <f t="shared" si="2271"/>
        <v>#DIV/0!</v>
      </c>
      <c r="J1272" s="113" t="e">
        <f t="shared" si="2271"/>
        <v>#DIV/0!</v>
      </c>
      <c r="K1272" s="113" t="e">
        <f t="shared" si="2271"/>
        <v>#DIV/0!</v>
      </c>
      <c r="L1272" s="113" t="e">
        <f t="shared" si="2271"/>
        <v>#DIV/0!</v>
      </c>
      <c r="M1272" s="113" t="e">
        <f t="shared" si="2271"/>
        <v>#DIV/0!</v>
      </c>
      <c r="N1272" s="113" t="e">
        <f t="shared" si="2271"/>
        <v>#DIV/0!</v>
      </c>
      <c r="O1272" s="113" t="e">
        <f t="shared" si="2271"/>
        <v>#DIV/0!</v>
      </c>
      <c r="P1272" s="114" t="e">
        <f t="shared" si="2271"/>
        <v>#DIV/0!</v>
      </c>
      <c r="Q1272" s="115" t="e">
        <f t="shared" si="2271"/>
        <v>#DIV/0!</v>
      </c>
      <c r="R1272" s="116" t="e">
        <f t="shared" si="2271"/>
        <v>#DIV/0!</v>
      </c>
      <c r="T1272" s="91"/>
      <c r="U1272" s="100"/>
      <c r="V1272" s="111"/>
      <c r="W1272" s="112" t="s">
        <v>103</v>
      </c>
      <c r="X1272" s="113" t="e">
        <f t="shared" ref="X1272:AK1272" si="2272">X1270/X1268</f>
        <v>#DIV/0!</v>
      </c>
      <c r="Y1272" s="113" t="e">
        <f t="shared" si="2272"/>
        <v>#DIV/0!</v>
      </c>
      <c r="Z1272" s="113" t="e">
        <f t="shared" si="2272"/>
        <v>#DIV/0!</v>
      </c>
      <c r="AA1272" s="113" t="e">
        <f t="shared" si="2272"/>
        <v>#DIV/0!</v>
      </c>
      <c r="AB1272" s="113" t="e">
        <f t="shared" si="2272"/>
        <v>#DIV/0!</v>
      </c>
      <c r="AC1272" s="113" t="e">
        <f t="shared" si="2272"/>
        <v>#DIV/0!</v>
      </c>
      <c r="AD1272" s="113" t="e">
        <f t="shared" si="2272"/>
        <v>#DIV/0!</v>
      </c>
      <c r="AE1272" s="113" t="e">
        <f t="shared" si="2272"/>
        <v>#DIV/0!</v>
      </c>
      <c r="AF1272" s="113" t="e">
        <f t="shared" si="2272"/>
        <v>#DIV/0!</v>
      </c>
      <c r="AG1272" s="113" t="e">
        <f t="shared" si="2272"/>
        <v>#DIV/0!</v>
      </c>
      <c r="AH1272" s="113" t="e">
        <f t="shared" si="2272"/>
        <v>#DIV/0!</v>
      </c>
      <c r="AI1272" s="114" t="e">
        <f t="shared" si="2272"/>
        <v>#DIV/0!</v>
      </c>
      <c r="AJ1272" s="115" t="e">
        <f t="shared" si="2272"/>
        <v>#DIV/0!</v>
      </c>
      <c r="AK1272" s="116" t="e">
        <f t="shared" si="2272"/>
        <v>#DIV/0!</v>
      </c>
    </row>
    <row r="1273" spans="1:38" ht="15.6" hidden="1" thickBot="1">
      <c r="A1273" s="91"/>
      <c r="B1273" s="100"/>
      <c r="C1273" s="86" t="s">
        <v>116</v>
      </c>
      <c r="D1273" s="87">
        <v>2019</v>
      </c>
      <c r="E1273" s="88"/>
      <c r="F1273" s="121"/>
      <c r="G1273" s="121"/>
      <c r="H1273" s="121"/>
      <c r="I1273" s="121"/>
      <c r="J1273" s="121"/>
      <c r="K1273" s="121"/>
      <c r="L1273" s="121"/>
      <c r="M1273" s="122"/>
      <c r="N1273" s="122"/>
      <c r="O1273" s="122"/>
      <c r="P1273" s="123"/>
      <c r="Q1273" s="89">
        <f t="shared" ref="Q1273:Q1275" si="2273">SUM(E1273:P1273)</f>
        <v>0</v>
      </c>
      <c r="R1273" s="90">
        <f t="shared" ref="R1273" si="2274">SUM(E1273:M1273)</f>
        <v>0</v>
      </c>
      <c r="T1273" s="91"/>
      <c r="U1273" s="100"/>
      <c r="V1273" s="86" t="str">
        <f t="shared" ref="V1273:V1274" si="2275">C1273</f>
        <v>その他</v>
      </c>
      <c r="W1273" s="87">
        <v>2019</v>
      </c>
      <c r="X1273" s="88"/>
      <c r="Y1273" s="121"/>
      <c r="Z1273" s="121"/>
      <c r="AA1273" s="121"/>
      <c r="AB1273" s="121"/>
      <c r="AC1273" s="121"/>
      <c r="AD1273" s="121"/>
      <c r="AE1273" s="121"/>
      <c r="AF1273" s="122"/>
      <c r="AG1273" s="122"/>
      <c r="AH1273" s="122"/>
      <c r="AI1273" s="123"/>
      <c r="AJ1273" s="89">
        <f t="shared" ref="AJ1273:AJ1275" si="2276">SUM(X1273:AI1273)</f>
        <v>0</v>
      </c>
      <c r="AK1273" s="90">
        <f t="shared" ref="AK1273:AK1275" si="2277">SUM(X1273:AF1273)</f>
        <v>0</v>
      </c>
    </row>
    <row r="1274" spans="1:38" ht="15.6" hidden="1" thickBot="1">
      <c r="A1274" s="91"/>
      <c r="B1274" s="100"/>
      <c r="C1274" s="92" t="s">
        <v>170</v>
      </c>
      <c r="D1274" s="93" t="s">
        <v>92</v>
      </c>
      <c r="E1274" s="94"/>
      <c r="F1274" s="97"/>
      <c r="G1274" s="97"/>
      <c r="H1274" s="97"/>
      <c r="I1274" s="97"/>
      <c r="J1274" s="97"/>
      <c r="K1274" s="97"/>
      <c r="L1274" s="97"/>
      <c r="M1274" s="98"/>
      <c r="N1274" s="98"/>
      <c r="O1274" s="98"/>
      <c r="P1274" s="99"/>
      <c r="Q1274" s="95">
        <f t="shared" si="2273"/>
        <v>0</v>
      </c>
      <c r="R1274" s="96">
        <f t="shared" si="2220"/>
        <v>0</v>
      </c>
      <c r="T1274" s="91"/>
      <c r="U1274" s="100"/>
      <c r="V1274" s="92" t="str">
        <f t="shared" si="2275"/>
        <v>Others</v>
      </c>
      <c r="W1274" s="93" t="s">
        <v>92</v>
      </c>
      <c r="X1274" s="94"/>
      <c r="Y1274" s="97"/>
      <c r="Z1274" s="97"/>
      <c r="AA1274" s="97"/>
      <c r="AB1274" s="97"/>
      <c r="AC1274" s="97"/>
      <c r="AD1274" s="97"/>
      <c r="AE1274" s="97"/>
      <c r="AF1274" s="98"/>
      <c r="AG1274" s="98"/>
      <c r="AH1274" s="98"/>
      <c r="AI1274" s="99"/>
      <c r="AJ1274" s="95">
        <f t="shared" si="2276"/>
        <v>0</v>
      </c>
      <c r="AK1274" s="96">
        <f t="shared" si="2277"/>
        <v>0</v>
      </c>
    </row>
    <row r="1275" spans="1:38" ht="15.6" hidden="1" thickBot="1">
      <c r="A1275" s="91"/>
      <c r="B1275" s="100"/>
      <c r="C1275" s="92"/>
      <c r="D1275" s="101">
        <v>2020</v>
      </c>
      <c r="E1275" s="102"/>
      <c r="F1275" s="124"/>
      <c r="G1275" s="124"/>
      <c r="H1275" s="124"/>
      <c r="I1275" s="124"/>
      <c r="J1275" s="124"/>
      <c r="K1275" s="124"/>
      <c r="L1275" s="124"/>
      <c r="M1275" s="125"/>
      <c r="N1275" s="125"/>
      <c r="O1275" s="125"/>
      <c r="P1275" s="126"/>
      <c r="Q1275" s="103">
        <f t="shared" si="2273"/>
        <v>0</v>
      </c>
      <c r="R1275" s="104">
        <f t="shared" si="2220"/>
        <v>0</v>
      </c>
      <c r="S1275" s="105"/>
      <c r="T1275" s="91"/>
      <c r="U1275" s="100"/>
      <c r="V1275" s="92"/>
      <c r="W1275" s="101">
        <v>2020</v>
      </c>
      <c r="X1275" s="102"/>
      <c r="Y1275" s="124"/>
      <c r="Z1275" s="124"/>
      <c r="AA1275" s="124"/>
      <c r="AB1275" s="124"/>
      <c r="AC1275" s="124"/>
      <c r="AD1275" s="124"/>
      <c r="AE1275" s="124"/>
      <c r="AF1275" s="125"/>
      <c r="AG1275" s="125"/>
      <c r="AH1275" s="125"/>
      <c r="AI1275" s="126"/>
      <c r="AJ1275" s="103">
        <f t="shared" si="2276"/>
        <v>0</v>
      </c>
      <c r="AK1275" s="104">
        <f t="shared" si="2277"/>
        <v>0</v>
      </c>
      <c r="AL1275" s="105"/>
    </row>
    <row r="1276" spans="1:38" ht="15.6" hidden="1" thickBot="1">
      <c r="A1276" s="91"/>
      <c r="B1276" s="100"/>
      <c r="C1276" s="92"/>
      <c r="D1276" s="101" t="s">
        <v>102</v>
      </c>
      <c r="E1276" s="106" t="e">
        <f t="shared" ref="E1276:R1276" si="2278">E1275/E1274</f>
        <v>#DIV/0!</v>
      </c>
      <c r="F1276" s="106" t="e">
        <f t="shared" si="2278"/>
        <v>#DIV/0!</v>
      </c>
      <c r="G1276" s="106" t="e">
        <f t="shared" si="2278"/>
        <v>#DIV/0!</v>
      </c>
      <c r="H1276" s="106" t="e">
        <f t="shared" si="2278"/>
        <v>#DIV/0!</v>
      </c>
      <c r="I1276" s="106" t="e">
        <f t="shared" si="2278"/>
        <v>#DIV/0!</v>
      </c>
      <c r="J1276" s="106" t="e">
        <f t="shared" si="2278"/>
        <v>#DIV/0!</v>
      </c>
      <c r="K1276" s="106" t="e">
        <f t="shared" si="2278"/>
        <v>#DIV/0!</v>
      </c>
      <c r="L1276" s="106" t="e">
        <f t="shared" si="2278"/>
        <v>#DIV/0!</v>
      </c>
      <c r="M1276" s="107" t="e">
        <f t="shared" si="2278"/>
        <v>#DIV/0!</v>
      </c>
      <c r="N1276" s="107" t="e">
        <f t="shared" si="2278"/>
        <v>#DIV/0!</v>
      </c>
      <c r="O1276" s="107" t="e">
        <f t="shared" si="2278"/>
        <v>#DIV/0!</v>
      </c>
      <c r="P1276" s="108" t="e">
        <f t="shared" si="2278"/>
        <v>#DIV/0!</v>
      </c>
      <c r="Q1276" s="109" t="e">
        <f t="shared" si="2278"/>
        <v>#DIV/0!</v>
      </c>
      <c r="R1276" s="110" t="e">
        <f t="shared" si="2278"/>
        <v>#DIV/0!</v>
      </c>
      <c r="S1276" s="105"/>
      <c r="T1276" s="91"/>
      <c r="U1276" s="100"/>
      <c r="V1276" s="92"/>
      <c r="W1276" s="101" t="s">
        <v>102</v>
      </c>
      <c r="X1276" s="106" t="e">
        <f t="shared" ref="X1276:AK1276" si="2279">X1275/X1274</f>
        <v>#DIV/0!</v>
      </c>
      <c r="Y1276" s="106" t="e">
        <f t="shared" si="2279"/>
        <v>#DIV/0!</v>
      </c>
      <c r="Z1276" s="106" t="e">
        <f t="shared" si="2279"/>
        <v>#DIV/0!</v>
      </c>
      <c r="AA1276" s="106" t="e">
        <f t="shared" si="2279"/>
        <v>#DIV/0!</v>
      </c>
      <c r="AB1276" s="106" t="e">
        <f t="shared" si="2279"/>
        <v>#DIV/0!</v>
      </c>
      <c r="AC1276" s="106" t="e">
        <f t="shared" si="2279"/>
        <v>#DIV/0!</v>
      </c>
      <c r="AD1276" s="106" t="e">
        <f t="shared" si="2279"/>
        <v>#DIV/0!</v>
      </c>
      <c r="AE1276" s="106" t="e">
        <f t="shared" si="2279"/>
        <v>#DIV/0!</v>
      </c>
      <c r="AF1276" s="107" t="e">
        <f t="shared" si="2279"/>
        <v>#DIV/0!</v>
      </c>
      <c r="AG1276" s="107" t="e">
        <f t="shared" si="2279"/>
        <v>#DIV/0!</v>
      </c>
      <c r="AH1276" s="107" t="e">
        <f t="shared" si="2279"/>
        <v>#DIV/0!</v>
      </c>
      <c r="AI1276" s="108" t="e">
        <f t="shared" si="2279"/>
        <v>#DIV/0!</v>
      </c>
      <c r="AJ1276" s="109" t="e">
        <f t="shared" si="2279"/>
        <v>#DIV/0!</v>
      </c>
      <c r="AK1276" s="110" t="e">
        <f t="shared" si="2279"/>
        <v>#DIV/0!</v>
      </c>
      <c r="AL1276" s="105"/>
    </row>
    <row r="1277" spans="1:38" ht="15.6" hidden="1" thickBot="1">
      <c r="A1277" s="91"/>
      <c r="B1277" s="100"/>
      <c r="C1277" s="111"/>
      <c r="D1277" s="112" t="s">
        <v>103</v>
      </c>
      <c r="E1277" s="113" t="e">
        <f t="shared" ref="E1277:R1277" si="2280">E1275/E1273</f>
        <v>#DIV/0!</v>
      </c>
      <c r="F1277" s="113" t="e">
        <f t="shared" si="2280"/>
        <v>#DIV/0!</v>
      </c>
      <c r="G1277" s="113" t="e">
        <f t="shared" si="2280"/>
        <v>#DIV/0!</v>
      </c>
      <c r="H1277" s="113" t="e">
        <f t="shared" si="2280"/>
        <v>#DIV/0!</v>
      </c>
      <c r="I1277" s="113" t="e">
        <f t="shared" si="2280"/>
        <v>#DIV/0!</v>
      </c>
      <c r="J1277" s="113" t="e">
        <f t="shared" si="2280"/>
        <v>#DIV/0!</v>
      </c>
      <c r="K1277" s="113" t="e">
        <f t="shared" si="2280"/>
        <v>#DIV/0!</v>
      </c>
      <c r="L1277" s="113" t="e">
        <f t="shared" si="2280"/>
        <v>#DIV/0!</v>
      </c>
      <c r="M1277" s="113" t="e">
        <f t="shared" si="2280"/>
        <v>#DIV/0!</v>
      </c>
      <c r="N1277" s="113" t="e">
        <f t="shared" si="2280"/>
        <v>#DIV/0!</v>
      </c>
      <c r="O1277" s="113" t="e">
        <f t="shared" si="2280"/>
        <v>#DIV/0!</v>
      </c>
      <c r="P1277" s="114" t="e">
        <f t="shared" si="2280"/>
        <v>#DIV/0!</v>
      </c>
      <c r="Q1277" s="115" t="e">
        <f t="shared" si="2280"/>
        <v>#DIV/0!</v>
      </c>
      <c r="R1277" s="116" t="e">
        <f t="shared" si="2280"/>
        <v>#DIV/0!</v>
      </c>
      <c r="T1277" s="91"/>
      <c r="U1277" s="100"/>
      <c r="V1277" s="111"/>
      <c r="W1277" s="112" t="s">
        <v>103</v>
      </c>
      <c r="X1277" s="113" t="e">
        <f t="shared" ref="X1277:AK1277" si="2281">X1275/X1273</f>
        <v>#DIV/0!</v>
      </c>
      <c r="Y1277" s="113" t="e">
        <f t="shared" si="2281"/>
        <v>#DIV/0!</v>
      </c>
      <c r="Z1277" s="113" t="e">
        <f t="shared" si="2281"/>
        <v>#DIV/0!</v>
      </c>
      <c r="AA1277" s="113" t="e">
        <f t="shared" si="2281"/>
        <v>#DIV/0!</v>
      </c>
      <c r="AB1277" s="113" t="e">
        <f t="shared" si="2281"/>
        <v>#DIV/0!</v>
      </c>
      <c r="AC1277" s="113" t="e">
        <f t="shared" si="2281"/>
        <v>#DIV/0!</v>
      </c>
      <c r="AD1277" s="113" t="e">
        <f t="shared" si="2281"/>
        <v>#DIV/0!</v>
      </c>
      <c r="AE1277" s="113" t="e">
        <f t="shared" si="2281"/>
        <v>#DIV/0!</v>
      </c>
      <c r="AF1277" s="113" t="e">
        <f t="shared" si="2281"/>
        <v>#DIV/0!</v>
      </c>
      <c r="AG1277" s="113" t="e">
        <f t="shared" si="2281"/>
        <v>#DIV/0!</v>
      </c>
      <c r="AH1277" s="113" t="e">
        <f t="shared" si="2281"/>
        <v>#DIV/0!</v>
      </c>
      <c r="AI1277" s="114" t="e">
        <f t="shared" si="2281"/>
        <v>#DIV/0!</v>
      </c>
      <c r="AJ1277" s="115" t="e">
        <f t="shared" si="2281"/>
        <v>#DIV/0!</v>
      </c>
      <c r="AK1277" s="116" t="e">
        <f t="shared" si="2281"/>
        <v>#DIV/0!</v>
      </c>
    </row>
    <row r="1278" spans="1:38" ht="15.6" hidden="1" thickBot="1">
      <c r="A1278" s="91"/>
      <c r="B1278" s="291" t="s">
        <v>171</v>
      </c>
      <c r="C1278" s="292"/>
      <c r="D1278" s="127">
        <v>2019</v>
      </c>
      <c r="E1278" s="128">
        <f>SUM(E1273,E1268,E1263,E1258,E1253,E1248,E1243,E1238,E1233,E1228,E1223,E1218,E1213,E1208)</f>
        <v>0</v>
      </c>
      <c r="F1278" s="129">
        <f t="shared" ref="F1278:P1278" si="2282">SUM(F1273,F1268,F1263,F1258,F1253,F1248,F1243,F1238,F1233,F1228,F1223,F1218,F1213,F1208)</f>
        <v>0</v>
      </c>
      <c r="G1278" s="129">
        <f t="shared" si="2282"/>
        <v>0</v>
      </c>
      <c r="H1278" s="129">
        <f t="shared" si="2282"/>
        <v>0</v>
      </c>
      <c r="I1278" s="129">
        <f t="shared" si="2282"/>
        <v>0</v>
      </c>
      <c r="J1278" s="129">
        <f t="shared" si="2282"/>
        <v>0</v>
      </c>
      <c r="K1278" s="129">
        <f t="shared" si="2282"/>
        <v>0</v>
      </c>
      <c r="L1278" s="129">
        <f t="shared" si="2282"/>
        <v>0</v>
      </c>
      <c r="M1278" s="129">
        <f t="shared" si="2282"/>
        <v>0</v>
      </c>
      <c r="N1278" s="129">
        <f t="shared" si="2282"/>
        <v>0</v>
      </c>
      <c r="O1278" s="129">
        <f t="shared" si="2282"/>
        <v>0</v>
      </c>
      <c r="P1278" s="130">
        <f t="shared" si="2282"/>
        <v>0</v>
      </c>
      <c r="Q1278" s="131">
        <f>SUM(E1278:P1278)</f>
        <v>0</v>
      </c>
      <c r="R1278" s="90">
        <f t="shared" ref="R1278" si="2283">SUM(E1278:M1278)</f>
        <v>0</v>
      </c>
      <c r="T1278" s="91"/>
      <c r="U1278" s="297" t="s">
        <v>171</v>
      </c>
      <c r="V1278" s="298"/>
      <c r="W1278" s="132">
        <v>2019</v>
      </c>
      <c r="X1278" s="133">
        <f>SUM(X1273,X1268,X1263,X1258,X1253,X1248,X1243,X1238,X1233,X1228,X1223,X1218,X1213,X1208)</f>
        <v>0</v>
      </c>
      <c r="Y1278" s="134">
        <f t="shared" ref="Y1278:AI1278" si="2284">SUM(Y1273,Y1268,Y1263,Y1258,Y1253,Y1248,Y1243,Y1238,Y1233,Y1228,Y1223,Y1218,Y1213,Y1208)</f>
        <v>0</v>
      </c>
      <c r="Z1278" s="134">
        <f t="shared" si="2284"/>
        <v>0</v>
      </c>
      <c r="AA1278" s="134">
        <f t="shared" si="2284"/>
        <v>0</v>
      </c>
      <c r="AB1278" s="134">
        <f t="shared" si="2284"/>
        <v>0</v>
      </c>
      <c r="AC1278" s="134">
        <f t="shared" si="2284"/>
        <v>0</v>
      </c>
      <c r="AD1278" s="134">
        <f t="shared" si="2284"/>
        <v>0</v>
      </c>
      <c r="AE1278" s="134">
        <f t="shared" si="2284"/>
        <v>0</v>
      </c>
      <c r="AF1278" s="134">
        <f t="shared" si="2284"/>
        <v>0</v>
      </c>
      <c r="AG1278" s="134">
        <f t="shared" si="2284"/>
        <v>0</v>
      </c>
      <c r="AH1278" s="134">
        <f t="shared" si="2284"/>
        <v>0</v>
      </c>
      <c r="AI1278" s="135">
        <f t="shared" si="2284"/>
        <v>0</v>
      </c>
      <c r="AJ1278" s="136">
        <f>SUM(X1278:AI1278)</f>
        <v>0</v>
      </c>
      <c r="AK1278" s="90">
        <f t="shared" ref="AK1278:AK1280" si="2285">SUM(X1278:AF1278)</f>
        <v>0</v>
      </c>
    </row>
    <row r="1279" spans="1:38" ht="15.6" hidden="1" thickBot="1">
      <c r="A1279" s="91"/>
      <c r="B1279" s="293"/>
      <c r="C1279" s="294"/>
      <c r="D1279" s="137" t="s">
        <v>92</v>
      </c>
      <c r="E1279" s="138">
        <f t="shared" ref="E1279:P1280" si="2286">SUM(E1274,E1269,E1264,E1259,E1254,E1249,E1244,E1239,E1234,E1229,E1224,E1219,E1214,E1209)</f>
        <v>0</v>
      </c>
      <c r="F1279" s="138">
        <f t="shared" si="2286"/>
        <v>0</v>
      </c>
      <c r="G1279" s="138">
        <f t="shared" si="2286"/>
        <v>0</v>
      </c>
      <c r="H1279" s="138">
        <f t="shared" si="2286"/>
        <v>0</v>
      </c>
      <c r="I1279" s="138">
        <f t="shared" si="2286"/>
        <v>0</v>
      </c>
      <c r="J1279" s="138">
        <f t="shared" si="2286"/>
        <v>0</v>
      </c>
      <c r="K1279" s="138">
        <f t="shared" si="2286"/>
        <v>0</v>
      </c>
      <c r="L1279" s="138">
        <f t="shared" si="2286"/>
        <v>0</v>
      </c>
      <c r="M1279" s="138">
        <f t="shared" si="2286"/>
        <v>0</v>
      </c>
      <c r="N1279" s="138">
        <f t="shared" si="2286"/>
        <v>0</v>
      </c>
      <c r="O1279" s="138">
        <f t="shared" si="2286"/>
        <v>0</v>
      </c>
      <c r="P1279" s="138">
        <f t="shared" si="2286"/>
        <v>0</v>
      </c>
      <c r="Q1279" s="139">
        <f t="shared" ref="Q1279:Q1280" si="2287">SUM(E1279:P1279)</f>
        <v>0</v>
      </c>
      <c r="R1279" s="96">
        <f t="shared" si="2220"/>
        <v>0</v>
      </c>
      <c r="T1279" s="91"/>
      <c r="U1279" s="299"/>
      <c r="V1279" s="300"/>
      <c r="W1279" s="140" t="s">
        <v>92</v>
      </c>
      <c r="X1279" s="141">
        <f t="shared" ref="X1279:AI1280" si="2288">SUM(X1274,X1269,X1264,X1259,X1254,X1249,X1244,X1239,X1234,X1229,X1224,X1219,X1214,X1209)</f>
        <v>0</v>
      </c>
      <c r="Y1279" s="141">
        <f t="shared" si="2288"/>
        <v>0</v>
      </c>
      <c r="Z1279" s="141">
        <f t="shared" si="2288"/>
        <v>0</v>
      </c>
      <c r="AA1279" s="141">
        <f t="shared" si="2288"/>
        <v>0</v>
      </c>
      <c r="AB1279" s="141">
        <f t="shared" si="2288"/>
        <v>0</v>
      </c>
      <c r="AC1279" s="141">
        <f t="shared" si="2288"/>
        <v>0</v>
      </c>
      <c r="AD1279" s="141">
        <f t="shared" si="2288"/>
        <v>0</v>
      </c>
      <c r="AE1279" s="141">
        <f t="shared" si="2288"/>
        <v>0</v>
      </c>
      <c r="AF1279" s="141">
        <f t="shared" si="2288"/>
        <v>0</v>
      </c>
      <c r="AG1279" s="141">
        <f t="shared" si="2288"/>
        <v>0</v>
      </c>
      <c r="AH1279" s="141">
        <f t="shared" si="2288"/>
        <v>0</v>
      </c>
      <c r="AI1279" s="141">
        <f t="shared" si="2288"/>
        <v>0</v>
      </c>
      <c r="AJ1279" s="142">
        <f t="shared" ref="AJ1279:AJ1280" si="2289">SUM(X1279:AI1279)</f>
        <v>0</v>
      </c>
      <c r="AK1279" s="96">
        <f t="shared" si="2285"/>
        <v>0</v>
      </c>
    </row>
    <row r="1280" spans="1:38" ht="15.6" hidden="1" thickBot="1">
      <c r="A1280" s="91"/>
      <c r="B1280" s="293"/>
      <c r="C1280" s="294"/>
      <c r="D1280" s="143">
        <v>2020</v>
      </c>
      <c r="E1280" s="144">
        <f>SUM(E1275,E1270,E1265,E1260,E1255,E1250,E1245,E1240,E1235,E1230,E1225,E1220,E1215,E1210)</f>
        <v>0</v>
      </c>
      <c r="F1280" s="144">
        <f t="shared" si="2286"/>
        <v>0</v>
      </c>
      <c r="G1280" s="144">
        <f t="shared" si="2286"/>
        <v>0</v>
      </c>
      <c r="H1280" s="144">
        <f t="shared" si="2286"/>
        <v>0</v>
      </c>
      <c r="I1280" s="144">
        <f t="shared" si="2286"/>
        <v>0</v>
      </c>
      <c r="J1280" s="144">
        <f t="shared" si="2286"/>
        <v>0</v>
      </c>
      <c r="K1280" s="144">
        <f t="shared" si="2286"/>
        <v>0</v>
      </c>
      <c r="L1280" s="144">
        <f t="shared" si="2286"/>
        <v>0</v>
      </c>
      <c r="M1280" s="144">
        <f t="shared" si="2286"/>
        <v>0</v>
      </c>
      <c r="N1280" s="144">
        <f t="shared" si="2286"/>
        <v>0</v>
      </c>
      <c r="O1280" s="144">
        <f t="shared" si="2286"/>
        <v>0</v>
      </c>
      <c r="P1280" s="144">
        <f t="shared" si="2286"/>
        <v>0</v>
      </c>
      <c r="Q1280" s="145">
        <f t="shared" si="2287"/>
        <v>0</v>
      </c>
      <c r="R1280" s="104">
        <f t="shared" si="2220"/>
        <v>0</v>
      </c>
      <c r="S1280" s="105"/>
      <c r="T1280" s="91"/>
      <c r="U1280" s="299"/>
      <c r="V1280" s="300"/>
      <c r="W1280" s="146">
        <v>2020</v>
      </c>
      <c r="X1280" s="147">
        <f>SUM(X1275,X1270,X1265,X1260,X1255,X1250,X1245,X1240,X1235,X1230,X1225,X1220,X1215,X1210)</f>
        <v>0</v>
      </c>
      <c r="Y1280" s="147">
        <f t="shared" si="2288"/>
        <v>0</v>
      </c>
      <c r="Z1280" s="147">
        <f t="shared" si="2288"/>
        <v>0</v>
      </c>
      <c r="AA1280" s="147">
        <f t="shared" si="2288"/>
        <v>0</v>
      </c>
      <c r="AB1280" s="147">
        <f t="shared" si="2288"/>
        <v>0</v>
      </c>
      <c r="AC1280" s="147">
        <f t="shared" si="2288"/>
        <v>0</v>
      </c>
      <c r="AD1280" s="147">
        <f t="shared" si="2288"/>
        <v>0</v>
      </c>
      <c r="AE1280" s="147">
        <f t="shared" si="2288"/>
        <v>0</v>
      </c>
      <c r="AF1280" s="147">
        <f t="shared" si="2288"/>
        <v>0</v>
      </c>
      <c r="AG1280" s="147">
        <f t="shared" si="2288"/>
        <v>0</v>
      </c>
      <c r="AH1280" s="147">
        <f t="shared" si="2288"/>
        <v>0</v>
      </c>
      <c r="AI1280" s="147">
        <f t="shared" si="2288"/>
        <v>0</v>
      </c>
      <c r="AJ1280" s="148">
        <f t="shared" si="2289"/>
        <v>0</v>
      </c>
      <c r="AK1280" s="104">
        <f t="shared" si="2285"/>
        <v>0</v>
      </c>
      <c r="AL1280" s="105"/>
    </row>
    <row r="1281" spans="1:38" ht="15.6" hidden="1" thickBot="1">
      <c r="A1281" s="91"/>
      <c r="B1281" s="293"/>
      <c r="C1281" s="294"/>
      <c r="D1281" s="143" t="s">
        <v>102</v>
      </c>
      <c r="E1281" s="149" t="e">
        <f t="shared" ref="E1281:R1281" si="2290">E1280/E1279</f>
        <v>#DIV/0!</v>
      </c>
      <c r="F1281" s="149" t="e">
        <f t="shared" si="2290"/>
        <v>#DIV/0!</v>
      </c>
      <c r="G1281" s="149" t="e">
        <f t="shared" si="2290"/>
        <v>#DIV/0!</v>
      </c>
      <c r="H1281" s="149" t="e">
        <f t="shared" si="2290"/>
        <v>#DIV/0!</v>
      </c>
      <c r="I1281" s="149" t="e">
        <f t="shared" si="2290"/>
        <v>#DIV/0!</v>
      </c>
      <c r="J1281" s="149" t="e">
        <f t="shared" si="2290"/>
        <v>#DIV/0!</v>
      </c>
      <c r="K1281" s="149" t="e">
        <f t="shared" si="2290"/>
        <v>#DIV/0!</v>
      </c>
      <c r="L1281" s="149" t="e">
        <f t="shared" si="2290"/>
        <v>#DIV/0!</v>
      </c>
      <c r="M1281" s="149" t="e">
        <f t="shared" si="2290"/>
        <v>#DIV/0!</v>
      </c>
      <c r="N1281" s="149" t="e">
        <f t="shared" si="2290"/>
        <v>#DIV/0!</v>
      </c>
      <c r="O1281" s="149" t="e">
        <f t="shared" si="2290"/>
        <v>#DIV/0!</v>
      </c>
      <c r="P1281" s="150" t="e">
        <f t="shared" si="2290"/>
        <v>#DIV/0!</v>
      </c>
      <c r="Q1281" s="151" t="e">
        <f t="shared" si="2290"/>
        <v>#DIV/0!</v>
      </c>
      <c r="R1281" s="104" t="e">
        <f t="shared" si="2290"/>
        <v>#DIV/0!</v>
      </c>
      <c r="S1281" s="105"/>
      <c r="T1281" s="91"/>
      <c r="U1281" s="299"/>
      <c r="V1281" s="300"/>
      <c r="W1281" s="146" t="s">
        <v>102</v>
      </c>
      <c r="X1281" s="152" t="e">
        <f t="shared" ref="X1281:AK1281" si="2291">X1280/X1279</f>
        <v>#DIV/0!</v>
      </c>
      <c r="Y1281" s="152" t="e">
        <f t="shared" si="2291"/>
        <v>#DIV/0!</v>
      </c>
      <c r="Z1281" s="152" t="e">
        <f t="shared" si="2291"/>
        <v>#DIV/0!</v>
      </c>
      <c r="AA1281" s="152" t="e">
        <f t="shared" si="2291"/>
        <v>#DIV/0!</v>
      </c>
      <c r="AB1281" s="152" t="e">
        <f t="shared" si="2291"/>
        <v>#DIV/0!</v>
      </c>
      <c r="AC1281" s="152" t="e">
        <f t="shared" si="2291"/>
        <v>#DIV/0!</v>
      </c>
      <c r="AD1281" s="152" t="e">
        <f t="shared" si="2291"/>
        <v>#DIV/0!</v>
      </c>
      <c r="AE1281" s="152" t="e">
        <f t="shared" si="2291"/>
        <v>#DIV/0!</v>
      </c>
      <c r="AF1281" s="152" t="e">
        <f t="shared" si="2291"/>
        <v>#DIV/0!</v>
      </c>
      <c r="AG1281" s="152" t="e">
        <f t="shared" si="2291"/>
        <v>#DIV/0!</v>
      </c>
      <c r="AH1281" s="152" t="e">
        <f t="shared" si="2291"/>
        <v>#DIV/0!</v>
      </c>
      <c r="AI1281" s="153" t="e">
        <f t="shared" si="2291"/>
        <v>#DIV/0!</v>
      </c>
      <c r="AJ1281" s="154" t="e">
        <f t="shared" si="2291"/>
        <v>#DIV/0!</v>
      </c>
      <c r="AK1281" s="104" t="e">
        <f t="shared" si="2291"/>
        <v>#DIV/0!</v>
      </c>
      <c r="AL1281" s="105"/>
    </row>
    <row r="1282" spans="1:38" ht="15.6" hidden="1" thickBot="1">
      <c r="A1282" s="155"/>
      <c r="B1282" s="295"/>
      <c r="C1282" s="296"/>
      <c r="D1282" s="156" t="s">
        <v>103</v>
      </c>
      <c r="E1282" s="165" t="e">
        <f t="shared" ref="E1282:R1282" si="2292">E1280/E1278</f>
        <v>#DIV/0!</v>
      </c>
      <c r="F1282" s="165" t="e">
        <f t="shared" si="2292"/>
        <v>#DIV/0!</v>
      </c>
      <c r="G1282" s="165" t="e">
        <f t="shared" si="2292"/>
        <v>#DIV/0!</v>
      </c>
      <c r="H1282" s="165" t="e">
        <f t="shared" si="2292"/>
        <v>#DIV/0!</v>
      </c>
      <c r="I1282" s="165" t="e">
        <f t="shared" si="2292"/>
        <v>#DIV/0!</v>
      </c>
      <c r="J1282" s="165" t="e">
        <f t="shared" si="2292"/>
        <v>#DIV/0!</v>
      </c>
      <c r="K1282" s="165" t="e">
        <f t="shared" si="2292"/>
        <v>#DIV/0!</v>
      </c>
      <c r="L1282" s="165" t="e">
        <f t="shared" si="2292"/>
        <v>#DIV/0!</v>
      </c>
      <c r="M1282" s="165" t="e">
        <f t="shared" si="2292"/>
        <v>#DIV/0!</v>
      </c>
      <c r="N1282" s="165" t="e">
        <f t="shared" si="2292"/>
        <v>#DIV/0!</v>
      </c>
      <c r="O1282" s="165" t="e">
        <f t="shared" si="2292"/>
        <v>#DIV/0!</v>
      </c>
      <c r="P1282" s="166" t="e">
        <f t="shared" si="2292"/>
        <v>#DIV/0!</v>
      </c>
      <c r="Q1282" s="167" t="e">
        <f t="shared" si="2292"/>
        <v>#DIV/0!</v>
      </c>
      <c r="R1282" s="168" t="e">
        <f t="shared" si="2292"/>
        <v>#DIV/0!</v>
      </c>
      <c r="T1282" s="155"/>
      <c r="U1282" s="301"/>
      <c r="V1282" s="302"/>
      <c r="W1282" s="160" t="s">
        <v>103</v>
      </c>
      <c r="X1282" s="169" t="e">
        <f t="shared" ref="X1282:AK1282" si="2293">X1280/X1278</f>
        <v>#DIV/0!</v>
      </c>
      <c r="Y1282" s="169" t="e">
        <f t="shared" si="2293"/>
        <v>#DIV/0!</v>
      </c>
      <c r="Z1282" s="169" t="e">
        <f t="shared" si="2293"/>
        <v>#DIV/0!</v>
      </c>
      <c r="AA1282" s="169" t="e">
        <f t="shared" si="2293"/>
        <v>#DIV/0!</v>
      </c>
      <c r="AB1282" s="169" t="e">
        <f t="shared" si="2293"/>
        <v>#DIV/0!</v>
      </c>
      <c r="AC1282" s="169" t="e">
        <f t="shared" si="2293"/>
        <v>#DIV/0!</v>
      </c>
      <c r="AD1282" s="169" t="e">
        <f t="shared" si="2293"/>
        <v>#DIV/0!</v>
      </c>
      <c r="AE1282" s="169" t="e">
        <f t="shared" si="2293"/>
        <v>#DIV/0!</v>
      </c>
      <c r="AF1282" s="169" t="e">
        <f t="shared" si="2293"/>
        <v>#DIV/0!</v>
      </c>
      <c r="AG1282" s="169" t="e">
        <f t="shared" si="2293"/>
        <v>#DIV/0!</v>
      </c>
      <c r="AH1282" s="169" t="e">
        <f t="shared" si="2293"/>
        <v>#DIV/0!</v>
      </c>
      <c r="AI1282" s="170" t="e">
        <f t="shared" si="2293"/>
        <v>#DIV/0!</v>
      </c>
      <c r="AJ1282" s="171" t="e">
        <f t="shared" si="2293"/>
        <v>#DIV/0!</v>
      </c>
      <c r="AK1282" s="168" t="e">
        <f t="shared" si="2293"/>
        <v>#DIV/0!</v>
      </c>
    </row>
    <row r="1283" spans="1:38" ht="15.6" hidden="1" thickBot="1">
      <c r="A1283" s="84" t="s">
        <v>172</v>
      </c>
      <c r="B1283" s="85" t="s">
        <v>156</v>
      </c>
      <c r="C1283" s="86" t="s">
        <v>122</v>
      </c>
      <c r="D1283" s="87">
        <v>2019</v>
      </c>
      <c r="E1283" s="88"/>
      <c r="F1283" s="121"/>
      <c r="G1283" s="121"/>
      <c r="H1283" s="121"/>
      <c r="I1283" s="121"/>
      <c r="J1283" s="121"/>
      <c r="K1283" s="121"/>
      <c r="L1283" s="121"/>
      <c r="M1283" s="122"/>
      <c r="N1283" s="122"/>
      <c r="O1283" s="122"/>
      <c r="P1283" s="123"/>
      <c r="Q1283" s="89">
        <f>SUM(E1283:P1283)</f>
        <v>0</v>
      </c>
      <c r="R1283" s="90">
        <f t="shared" ref="R1283" si="2294">SUM(E1283:M1283)</f>
        <v>0</v>
      </c>
      <c r="T1283" s="84" t="s">
        <v>172</v>
      </c>
      <c r="U1283" s="85" t="s">
        <v>156</v>
      </c>
      <c r="V1283" s="86" t="str">
        <f>C1283</f>
        <v>得意先名</v>
      </c>
      <c r="W1283" s="87">
        <v>2019</v>
      </c>
      <c r="X1283" s="88"/>
      <c r="Y1283" s="121"/>
      <c r="Z1283" s="121"/>
      <c r="AA1283" s="121"/>
      <c r="AB1283" s="121"/>
      <c r="AC1283" s="121"/>
      <c r="AD1283" s="121"/>
      <c r="AE1283" s="121"/>
      <c r="AF1283" s="122"/>
      <c r="AG1283" s="122"/>
      <c r="AH1283" s="122"/>
      <c r="AI1283" s="123"/>
      <c r="AJ1283" s="89">
        <f>SUM(X1283:AI1283)</f>
        <v>0</v>
      </c>
      <c r="AK1283" s="90">
        <f t="shared" ref="AK1283:AK1285" si="2295">SUM(X1283:AF1283)</f>
        <v>0</v>
      </c>
    </row>
    <row r="1284" spans="1:38" ht="15.6" hidden="1" thickBot="1">
      <c r="A1284" s="91"/>
      <c r="B1284" s="175" t="s">
        <v>157</v>
      </c>
      <c r="C1284" s="92" t="s">
        <v>124</v>
      </c>
      <c r="D1284" s="93" t="s">
        <v>92</v>
      </c>
      <c r="E1284" s="94"/>
      <c r="F1284" s="97"/>
      <c r="G1284" s="97"/>
      <c r="H1284" s="97"/>
      <c r="I1284" s="97"/>
      <c r="J1284" s="97"/>
      <c r="K1284" s="97"/>
      <c r="L1284" s="97"/>
      <c r="M1284" s="98"/>
      <c r="N1284" s="98"/>
      <c r="O1284" s="98"/>
      <c r="P1284" s="99"/>
      <c r="Q1284" s="95">
        <f>SUM(E1284:P1284)</f>
        <v>0</v>
      </c>
      <c r="R1284" s="96">
        <f t="shared" si="2220"/>
        <v>0</v>
      </c>
      <c r="T1284" s="91"/>
      <c r="U1284" s="175" t="s">
        <v>157</v>
      </c>
      <c r="V1284" s="92" t="str">
        <f>C1284</f>
        <v>得意先名（英語）</v>
      </c>
      <c r="W1284" s="93" t="s">
        <v>92</v>
      </c>
      <c r="X1284" s="94"/>
      <c r="Y1284" s="97"/>
      <c r="Z1284" s="97"/>
      <c r="AA1284" s="97"/>
      <c r="AB1284" s="97"/>
      <c r="AC1284" s="97"/>
      <c r="AD1284" s="97"/>
      <c r="AE1284" s="97"/>
      <c r="AF1284" s="98"/>
      <c r="AG1284" s="98"/>
      <c r="AH1284" s="98"/>
      <c r="AI1284" s="99"/>
      <c r="AJ1284" s="95">
        <f>SUM(X1284:AI1284)</f>
        <v>0</v>
      </c>
      <c r="AK1284" s="96">
        <f t="shared" si="2295"/>
        <v>0</v>
      </c>
    </row>
    <row r="1285" spans="1:38" ht="15.6" hidden="1" thickBot="1">
      <c r="A1285" s="91"/>
      <c r="B1285" s="100"/>
      <c r="C1285" s="92"/>
      <c r="D1285" s="101">
        <v>2020</v>
      </c>
      <c r="E1285" s="102"/>
      <c r="F1285" s="124"/>
      <c r="G1285" s="124"/>
      <c r="H1285" s="124"/>
      <c r="I1285" s="124"/>
      <c r="J1285" s="124"/>
      <c r="K1285" s="124"/>
      <c r="L1285" s="124"/>
      <c r="M1285" s="125"/>
      <c r="N1285" s="125"/>
      <c r="O1285" s="125"/>
      <c r="P1285" s="126"/>
      <c r="Q1285" s="103">
        <f>SUM(E1285:P1285)</f>
        <v>0</v>
      </c>
      <c r="R1285" s="104">
        <f t="shared" si="2220"/>
        <v>0</v>
      </c>
      <c r="S1285" s="105"/>
      <c r="T1285" s="91"/>
      <c r="U1285" s="100"/>
      <c r="V1285" s="92"/>
      <c r="W1285" s="101">
        <v>2020</v>
      </c>
      <c r="X1285" s="102"/>
      <c r="Y1285" s="124"/>
      <c r="Z1285" s="124"/>
      <c r="AA1285" s="124"/>
      <c r="AB1285" s="124"/>
      <c r="AC1285" s="124"/>
      <c r="AD1285" s="124"/>
      <c r="AE1285" s="124"/>
      <c r="AF1285" s="125"/>
      <c r="AG1285" s="125"/>
      <c r="AH1285" s="125"/>
      <c r="AI1285" s="126"/>
      <c r="AJ1285" s="103">
        <f>SUM(X1285:AI1285)</f>
        <v>0</v>
      </c>
      <c r="AK1285" s="104">
        <f t="shared" si="2295"/>
        <v>0</v>
      </c>
      <c r="AL1285" s="105"/>
    </row>
    <row r="1286" spans="1:38" ht="15.6" hidden="1" thickBot="1">
      <c r="A1286" s="91"/>
      <c r="B1286" s="100"/>
      <c r="C1286" s="92"/>
      <c r="D1286" s="101" t="s">
        <v>102</v>
      </c>
      <c r="E1286" s="106" t="e">
        <f>E1285/E1284</f>
        <v>#DIV/0!</v>
      </c>
      <c r="F1286" s="106" t="e">
        <f t="shared" ref="F1286:R1286" si="2296">F1285/F1284</f>
        <v>#DIV/0!</v>
      </c>
      <c r="G1286" s="106" t="e">
        <f t="shared" si="2296"/>
        <v>#DIV/0!</v>
      </c>
      <c r="H1286" s="106" t="e">
        <f t="shared" si="2296"/>
        <v>#DIV/0!</v>
      </c>
      <c r="I1286" s="106" t="e">
        <f t="shared" si="2296"/>
        <v>#DIV/0!</v>
      </c>
      <c r="J1286" s="106" t="e">
        <f t="shared" si="2296"/>
        <v>#DIV/0!</v>
      </c>
      <c r="K1286" s="106" t="e">
        <f t="shared" si="2296"/>
        <v>#DIV/0!</v>
      </c>
      <c r="L1286" s="106" t="e">
        <f t="shared" si="2296"/>
        <v>#DIV/0!</v>
      </c>
      <c r="M1286" s="107" t="e">
        <f t="shared" si="2296"/>
        <v>#DIV/0!</v>
      </c>
      <c r="N1286" s="107" t="e">
        <f t="shared" si="2296"/>
        <v>#DIV/0!</v>
      </c>
      <c r="O1286" s="107" t="e">
        <f t="shared" si="2296"/>
        <v>#DIV/0!</v>
      </c>
      <c r="P1286" s="108" t="e">
        <f t="shared" si="2296"/>
        <v>#DIV/0!</v>
      </c>
      <c r="Q1286" s="109" t="e">
        <f t="shared" si="2296"/>
        <v>#DIV/0!</v>
      </c>
      <c r="R1286" s="110" t="e">
        <f t="shared" si="2296"/>
        <v>#DIV/0!</v>
      </c>
      <c r="S1286" s="105"/>
      <c r="T1286" s="91"/>
      <c r="U1286" s="100"/>
      <c r="V1286" s="92"/>
      <c r="W1286" s="101" t="s">
        <v>102</v>
      </c>
      <c r="X1286" s="106" t="e">
        <f>X1285/X1284</f>
        <v>#DIV/0!</v>
      </c>
      <c r="Y1286" s="106" t="e">
        <f t="shared" ref="Y1286:AK1286" si="2297">Y1285/Y1284</f>
        <v>#DIV/0!</v>
      </c>
      <c r="Z1286" s="106" t="e">
        <f t="shared" si="2297"/>
        <v>#DIV/0!</v>
      </c>
      <c r="AA1286" s="106" t="e">
        <f t="shared" si="2297"/>
        <v>#DIV/0!</v>
      </c>
      <c r="AB1286" s="106" t="e">
        <f t="shared" si="2297"/>
        <v>#DIV/0!</v>
      </c>
      <c r="AC1286" s="106" t="e">
        <f t="shared" si="2297"/>
        <v>#DIV/0!</v>
      </c>
      <c r="AD1286" s="106" t="e">
        <f t="shared" si="2297"/>
        <v>#DIV/0!</v>
      </c>
      <c r="AE1286" s="106" t="e">
        <f t="shared" si="2297"/>
        <v>#DIV/0!</v>
      </c>
      <c r="AF1286" s="107" t="e">
        <f t="shared" si="2297"/>
        <v>#DIV/0!</v>
      </c>
      <c r="AG1286" s="107" t="e">
        <f t="shared" si="2297"/>
        <v>#DIV/0!</v>
      </c>
      <c r="AH1286" s="107" t="e">
        <f t="shared" si="2297"/>
        <v>#DIV/0!</v>
      </c>
      <c r="AI1286" s="108" t="e">
        <f t="shared" si="2297"/>
        <v>#DIV/0!</v>
      </c>
      <c r="AJ1286" s="109" t="e">
        <f t="shared" si="2297"/>
        <v>#DIV/0!</v>
      </c>
      <c r="AK1286" s="110" t="e">
        <f t="shared" si="2297"/>
        <v>#DIV/0!</v>
      </c>
      <c r="AL1286" s="105"/>
    </row>
    <row r="1287" spans="1:38" ht="15.6" hidden="1" thickBot="1">
      <c r="A1287" s="91"/>
      <c r="B1287" s="100"/>
      <c r="C1287" s="111"/>
      <c r="D1287" s="112" t="s">
        <v>103</v>
      </c>
      <c r="E1287" s="113" t="e">
        <f>E1285/E1283</f>
        <v>#DIV/0!</v>
      </c>
      <c r="F1287" s="113" t="e">
        <f t="shared" ref="F1287:R1287" si="2298">F1285/F1283</f>
        <v>#DIV/0!</v>
      </c>
      <c r="G1287" s="113" t="e">
        <f t="shared" si="2298"/>
        <v>#DIV/0!</v>
      </c>
      <c r="H1287" s="113" t="e">
        <f t="shared" si="2298"/>
        <v>#DIV/0!</v>
      </c>
      <c r="I1287" s="113" t="e">
        <f t="shared" si="2298"/>
        <v>#DIV/0!</v>
      </c>
      <c r="J1287" s="113" t="e">
        <f t="shared" si="2298"/>
        <v>#DIV/0!</v>
      </c>
      <c r="K1287" s="113" t="e">
        <f t="shared" si="2298"/>
        <v>#DIV/0!</v>
      </c>
      <c r="L1287" s="113" t="e">
        <f t="shared" si="2298"/>
        <v>#DIV/0!</v>
      </c>
      <c r="M1287" s="113" t="e">
        <f t="shared" si="2298"/>
        <v>#DIV/0!</v>
      </c>
      <c r="N1287" s="113" t="e">
        <f t="shared" si="2298"/>
        <v>#DIV/0!</v>
      </c>
      <c r="O1287" s="113" t="e">
        <f t="shared" si="2298"/>
        <v>#DIV/0!</v>
      </c>
      <c r="P1287" s="114" t="e">
        <f t="shared" si="2298"/>
        <v>#DIV/0!</v>
      </c>
      <c r="Q1287" s="115" t="e">
        <f t="shared" si="2298"/>
        <v>#DIV/0!</v>
      </c>
      <c r="R1287" s="116" t="e">
        <f t="shared" si="2298"/>
        <v>#DIV/0!</v>
      </c>
      <c r="T1287" s="91"/>
      <c r="U1287" s="100"/>
      <c r="V1287" s="111"/>
      <c r="W1287" s="112" t="s">
        <v>103</v>
      </c>
      <c r="X1287" s="113" t="e">
        <f>X1285/X1283</f>
        <v>#DIV/0!</v>
      </c>
      <c r="Y1287" s="113" t="e">
        <f t="shared" ref="Y1287:AK1287" si="2299">Y1285/Y1283</f>
        <v>#DIV/0!</v>
      </c>
      <c r="Z1287" s="113" t="e">
        <f t="shared" si="2299"/>
        <v>#DIV/0!</v>
      </c>
      <c r="AA1287" s="113" t="e">
        <f t="shared" si="2299"/>
        <v>#DIV/0!</v>
      </c>
      <c r="AB1287" s="113" t="e">
        <f t="shared" si="2299"/>
        <v>#DIV/0!</v>
      </c>
      <c r="AC1287" s="113" t="e">
        <f t="shared" si="2299"/>
        <v>#DIV/0!</v>
      </c>
      <c r="AD1287" s="113" t="e">
        <f t="shared" si="2299"/>
        <v>#DIV/0!</v>
      </c>
      <c r="AE1287" s="113" t="e">
        <f t="shared" si="2299"/>
        <v>#DIV/0!</v>
      </c>
      <c r="AF1287" s="113" t="e">
        <f t="shared" si="2299"/>
        <v>#DIV/0!</v>
      </c>
      <c r="AG1287" s="113" t="e">
        <f t="shared" si="2299"/>
        <v>#DIV/0!</v>
      </c>
      <c r="AH1287" s="113" t="e">
        <f t="shared" si="2299"/>
        <v>#DIV/0!</v>
      </c>
      <c r="AI1287" s="114" t="e">
        <f t="shared" si="2299"/>
        <v>#DIV/0!</v>
      </c>
      <c r="AJ1287" s="115" t="e">
        <f t="shared" si="2299"/>
        <v>#DIV/0!</v>
      </c>
      <c r="AK1287" s="116" t="e">
        <f t="shared" si="2299"/>
        <v>#DIV/0!</v>
      </c>
    </row>
    <row r="1288" spans="1:38" ht="15.6" hidden="1" thickBot="1">
      <c r="A1288" s="91"/>
      <c r="B1288" s="100"/>
      <c r="C1288" s="86"/>
      <c r="D1288" s="87">
        <v>2019</v>
      </c>
      <c r="E1288" s="88"/>
      <c r="F1288" s="121"/>
      <c r="G1288" s="121"/>
      <c r="H1288" s="121"/>
      <c r="I1288" s="121"/>
      <c r="J1288" s="121"/>
      <c r="K1288" s="121"/>
      <c r="L1288" s="121"/>
      <c r="M1288" s="122"/>
      <c r="N1288" s="122"/>
      <c r="O1288" s="122"/>
      <c r="P1288" s="123"/>
      <c r="Q1288" s="89">
        <f t="shared" ref="Q1288:Q1290" si="2300">SUM(E1288:P1288)</f>
        <v>0</v>
      </c>
      <c r="R1288" s="90">
        <f t="shared" ref="R1288" si="2301">SUM(E1288:M1288)</f>
        <v>0</v>
      </c>
      <c r="T1288" s="91"/>
      <c r="U1288" s="100"/>
      <c r="V1288" s="86">
        <f t="shared" ref="V1288:V1289" si="2302">C1288</f>
        <v>0</v>
      </c>
      <c r="W1288" s="87">
        <v>2019</v>
      </c>
      <c r="X1288" s="88"/>
      <c r="Y1288" s="121"/>
      <c r="Z1288" s="121"/>
      <c r="AA1288" s="121"/>
      <c r="AB1288" s="121"/>
      <c r="AC1288" s="121"/>
      <c r="AD1288" s="121"/>
      <c r="AE1288" s="121"/>
      <c r="AF1288" s="122"/>
      <c r="AG1288" s="122"/>
      <c r="AH1288" s="122"/>
      <c r="AI1288" s="123"/>
      <c r="AJ1288" s="89">
        <f t="shared" ref="AJ1288:AJ1290" si="2303">SUM(X1288:AI1288)</f>
        <v>0</v>
      </c>
      <c r="AK1288" s="90">
        <f t="shared" ref="AK1288:AK1290" si="2304">SUM(X1288:AF1288)</f>
        <v>0</v>
      </c>
    </row>
    <row r="1289" spans="1:38" ht="15.6" hidden="1" thickBot="1">
      <c r="A1289" s="91"/>
      <c r="B1289" s="100"/>
      <c r="C1289" s="92"/>
      <c r="D1289" s="93" t="s">
        <v>92</v>
      </c>
      <c r="E1289" s="94"/>
      <c r="F1289" s="97"/>
      <c r="G1289" s="97"/>
      <c r="H1289" s="97"/>
      <c r="I1289" s="97"/>
      <c r="J1289" s="97"/>
      <c r="K1289" s="97"/>
      <c r="L1289" s="97"/>
      <c r="M1289" s="98"/>
      <c r="N1289" s="98"/>
      <c r="O1289" s="98"/>
      <c r="P1289" s="99"/>
      <c r="Q1289" s="95">
        <f t="shared" si="2300"/>
        <v>0</v>
      </c>
      <c r="R1289" s="96">
        <f t="shared" si="2220"/>
        <v>0</v>
      </c>
      <c r="T1289" s="91"/>
      <c r="U1289" s="100"/>
      <c r="V1289" s="92">
        <f t="shared" si="2302"/>
        <v>0</v>
      </c>
      <c r="W1289" s="93" t="s">
        <v>92</v>
      </c>
      <c r="X1289" s="94"/>
      <c r="Y1289" s="97"/>
      <c r="Z1289" s="97"/>
      <c r="AA1289" s="97"/>
      <c r="AB1289" s="97"/>
      <c r="AC1289" s="97"/>
      <c r="AD1289" s="97"/>
      <c r="AE1289" s="97"/>
      <c r="AF1289" s="98"/>
      <c r="AG1289" s="98"/>
      <c r="AH1289" s="98"/>
      <c r="AI1289" s="99"/>
      <c r="AJ1289" s="95">
        <f t="shared" si="2303"/>
        <v>0</v>
      </c>
      <c r="AK1289" s="96">
        <f t="shared" si="2304"/>
        <v>0</v>
      </c>
    </row>
    <row r="1290" spans="1:38" ht="15.6" hidden="1" thickBot="1">
      <c r="A1290" s="91"/>
      <c r="B1290" s="100"/>
      <c r="C1290" s="92"/>
      <c r="D1290" s="101">
        <v>2020</v>
      </c>
      <c r="E1290" s="102"/>
      <c r="F1290" s="124"/>
      <c r="G1290" s="124"/>
      <c r="H1290" s="124"/>
      <c r="I1290" s="124"/>
      <c r="J1290" s="124"/>
      <c r="K1290" s="124"/>
      <c r="L1290" s="124"/>
      <c r="M1290" s="125"/>
      <c r="N1290" s="125"/>
      <c r="O1290" s="125"/>
      <c r="P1290" s="126"/>
      <c r="Q1290" s="103">
        <f t="shared" si="2300"/>
        <v>0</v>
      </c>
      <c r="R1290" s="104">
        <f t="shared" si="2220"/>
        <v>0</v>
      </c>
      <c r="S1290" s="105"/>
      <c r="T1290" s="91"/>
      <c r="U1290" s="100"/>
      <c r="V1290" s="92"/>
      <c r="W1290" s="101">
        <v>2020</v>
      </c>
      <c r="X1290" s="102"/>
      <c r="Y1290" s="124"/>
      <c r="Z1290" s="124"/>
      <c r="AA1290" s="124"/>
      <c r="AB1290" s="124"/>
      <c r="AC1290" s="124"/>
      <c r="AD1290" s="124"/>
      <c r="AE1290" s="124"/>
      <c r="AF1290" s="125"/>
      <c r="AG1290" s="125"/>
      <c r="AH1290" s="125"/>
      <c r="AI1290" s="126"/>
      <c r="AJ1290" s="103">
        <f t="shared" si="2303"/>
        <v>0</v>
      </c>
      <c r="AK1290" s="104">
        <f t="shared" si="2304"/>
        <v>0</v>
      </c>
      <c r="AL1290" s="105"/>
    </row>
    <row r="1291" spans="1:38" ht="15.6" hidden="1" thickBot="1">
      <c r="A1291" s="91"/>
      <c r="B1291" s="100"/>
      <c r="C1291" s="92"/>
      <c r="D1291" s="101" t="s">
        <v>102</v>
      </c>
      <c r="E1291" s="106" t="e">
        <f t="shared" ref="E1291:R1291" si="2305">E1290/E1289</f>
        <v>#DIV/0!</v>
      </c>
      <c r="F1291" s="106" t="e">
        <f t="shared" si="2305"/>
        <v>#DIV/0!</v>
      </c>
      <c r="G1291" s="106" t="e">
        <f t="shared" si="2305"/>
        <v>#DIV/0!</v>
      </c>
      <c r="H1291" s="106" t="e">
        <f t="shared" si="2305"/>
        <v>#DIV/0!</v>
      </c>
      <c r="I1291" s="106" t="e">
        <f t="shared" si="2305"/>
        <v>#DIV/0!</v>
      </c>
      <c r="J1291" s="106" t="e">
        <f t="shared" si="2305"/>
        <v>#DIV/0!</v>
      </c>
      <c r="K1291" s="106" t="e">
        <f t="shared" si="2305"/>
        <v>#DIV/0!</v>
      </c>
      <c r="L1291" s="106" t="e">
        <f t="shared" si="2305"/>
        <v>#DIV/0!</v>
      </c>
      <c r="M1291" s="107" t="e">
        <f t="shared" si="2305"/>
        <v>#DIV/0!</v>
      </c>
      <c r="N1291" s="107" t="e">
        <f t="shared" si="2305"/>
        <v>#DIV/0!</v>
      </c>
      <c r="O1291" s="107" t="e">
        <f t="shared" si="2305"/>
        <v>#DIV/0!</v>
      </c>
      <c r="P1291" s="108" t="e">
        <f t="shared" si="2305"/>
        <v>#DIV/0!</v>
      </c>
      <c r="Q1291" s="109" t="e">
        <f t="shared" si="2305"/>
        <v>#DIV/0!</v>
      </c>
      <c r="R1291" s="110" t="e">
        <f t="shared" si="2305"/>
        <v>#DIV/0!</v>
      </c>
      <c r="S1291" s="105"/>
      <c r="T1291" s="91"/>
      <c r="U1291" s="100"/>
      <c r="V1291" s="92"/>
      <c r="W1291" s="101" t="s">
        <v>102</v>
      </c>
      <c r="X1291" s="106" t="e">
        <f t="shared" ref="X1291:AK1291" si="2306">X1290/X1289</f>
        <v>#DIV/0!</v>
      </c>
      <c r="Y1291" s="106" t="e">
        <f t="shared" si="2306"/>
        <v>#DIV/0!</v>
      </c>
      <c r="Z1291" s="106" t="e">
        <f t="shared" si="2306"/>
        <v>#DIV/0!</v>
      </c>
      <c r="AA1291" s="106" t="e">
        <f t="shared" si="2306"/>
        <v>#DIV/0!</v>
      </c>
      <c r="AB1291" s="106" t="e">
        <f t="shared" si="2306"/>
        <v>#DIV/0!</v>
      </c>
      <c r="AC1291" s="106" t="e">
        <f t="shared" si="2306"/>
        <v>#DIV/0!</v>
      </c>
      <c r="AD1291" s="106" t="e">
        <f t="shared" si="2306"/>
        <v>#DIV/0!</v>
      </c>
      <c r="AE1291" s="106" t="e">
        <f t="shared" si="2306"/>
        <v>#DIV/0!</v>
      </c>
      <c r="AF1291" s="107" t="e">
        <f t="shared" si="2306"/>
        <v>#DIV/0!</v>
      </c>
      <c r="AG1291" s="107" t="e">
        <f t="shared" si="2306"/>
        <v>#DIV/0!</v>
      </c>
      <c r="AH1291" s="107" t="e">
        <f t="shared" si="2306"/>
        <v>#DIV/0!</v>
      </c>
      <c r="AI1291" s="108" t="e">
        <f t="shared" si="2306"/>
        <v>#DIV/0!</v>
      </c>
      <c r="AJ1291" s="109" t="e">
        <f t="shared" si="2306"/>
        <v>#DIV/0!</v>
      </c>
      <c r="AK1291" s="110" t="e">
        <f t="shared" si="2306"/>
        <v>#DIV/0!</v>
      </c>
      <c r="AL1291" s="105"/>
    </row>
    <row r="1292" spans="1:38" ht="15.6" hidden="1" thickBot="1">
      <c r="A1292" s="91"/>
      <c r="B1292" s="100"/>
      <c r="C1292" s="111"/>
      <c r="D1292" s="112" t="s">
        <v>103</v>
      </c>
      <c r="E1292" s="113" t="e">
        <f t="shared" ref="E1292:R1292" si="2307">E1290/E1288</f>
        <v>#DIV/0!</v>
      </c>
      <c r="F1292" s="113" t="e">
        <f t="shared" si="2307"/>
        <v>#DIV/0!</v>
      </c>
      <c r="G1292" s="113" t="e">
        <f t="shared" si="2307"/>
        <v>#DIV/0!</v>
      </c>
      <c r="H1292" s="113" t="e">
        <f t="shared" si="2307"/>
        <v>#DIV/0!</v>
      </c>
      <c r="I1292" s="113" t="e">
        <f t="shared" si="2307"/>
        <v>#DIV/0!</v>
      </c>
      <c r="J1292" s="113" t="e">
        <f t="shared" si="2307"/>
        <v>#DIV/0!</v>
      </c>
      <c r="K1292" s="113" t="e">
        <f t="shared" si="2307"/>
        <v>#DIV/0!</v>
      </c>
      <c r="L1292" s="113" t="e">
        <f t="shared" si="2307"/>
        <v>#DIV/0!</v>
      </c>
      <c r="M1292" s="113" t="e">
        <f t="shared" si="2307"/>
        <v>#DIV/0!</v>
      </c>
      <c r="N1292" s="113" t="e">
        <f t="shared" si="2307"/>
        <v>#DIV/0!</v>
      </c>
      <c r="O1292" s="113" t="e">
        <f t="shared" si="2307"/>
        <v>#DIV/0!</v>
      </c>
      <c r="P1292" s="114" t="e">
        <f t="shared" si="2307"/>
        <v>#DIV/0!</v>
      </c>
      <c r="Q1292" s="115" t="e">
        <f t="shared" si="2307"/>
        <v>#DIV/0!</v>
      </c>
      <c r="R1292" s="116" t="e">
        <f t="shared" si="2307"/>
        <v>#DIV/0!</v>
      </c>
      <c r="T1292" s="91"/>
      <c r="U1292" s="100"/>
      <c r="V1292" s="111"/>
      <c r="W1292" s="112" t="s">
        <v>103</v>
      </c>
      <c r="X1292" s="113" t="e">
        <f t="shared" ref="X1292:AK1292" si="2308">X1290/X1288</f>
        <v>#DIV/0!</v>
      </c>
      <c r="Y1292" s="113" t="e">
        <f t="shared" si="2308"/>
        <v>#DIV/0!</v>
      </c>
      <c r="Z1292" s="113" t="e">
        <f t="shared" si="2308"/>
        <v>#DIV/0!</v>
      </c>
      <c r="AA1292" s="113" t="e">
        <f t="shared" si="2308"/>
        <v>#DIV/0!</v>
      </c>
      <c r="AB1292" s="113" t="e">
        <f t="shared" si="2308"/>
        <v>#DIV/0!</v>
      </c>
      <c r="AC1292" s="113" t="e">
        <f t="shared" si="2308"/>
        <v>#DIV/0!</v>
      </c>
      <c r="AD1292" s="113" t="e">
        <f t="shared" si="2308"/>
        <v>#DIV/0!</v>
      </c>
      <c r="AE1292" s="113" t="e">
        <f t="shared" si="2308"/>
        <v>#DIV/0!</v>
      </c>
      <c r="AF1292" s="113" t="e">
        <f t="shared" si="2308"/>
        <v>#DIV/0!</v>
      </c>
      <c r="AG1292" s="113" t="e">
        <f t="shared" si="2308"/>
        <v>#DIV/0!</v>
      </c>
      <c r="AH1292" s="113" t="e">
        <f t="shared" si="2308"/>
        <v>#DIV/0!</v>
      </c>
      <c r="AI1292" s="114" t="e">
        <f t="shared" si="2308"/>
        <v>#DIV/0!</v>
      </c>
      <c r="AJ1292" s="115" t="e">
        <f t="shared" si="2308"/>
        <v>#DIV/0!</v>
      </c>
      <c r="AK1292" s="116" t="e">
        <f t="shared" si="2308"/>
        <v>#DIV/0!</v>
      </c>
    </row>
    <row r="1293" spans="1:38" ht="15.6" hidden="1" thickBot="1">
      <c r="A1293" s="91"/>
      <c r="B1293" s="100"/>
      <c r="C1293" s="86"/>
      <c r="D1293" s="87">
        <v>2019</v>
      </c>
      <c r="E1293" s="88"/>
      <c r="F1293" s="121"/>
      <c r="G1293" s="121"/>
      <c r="H1293" s="121"/>
      <c r="I1293" s="121"/>
      <c r="J1293" s="121"/>
      <c r="K1293" s="121"/>
      <c r="L1293" s="121"/>
      <c r="M1293" s="122"/>
      <c r="N1293" s="122"/>
      <c r="O1293" s="122"/>
      <c r="P1293" s="123"/>
      <c r="Q1293" s="89">
        <f t="shared" ref="Q1293:Q1295" si="2309">SUM(E1293:P1293)</f>
        <v>0</v>
      </c>
      <c r="R1293" s="90">
        <f t="shared" ref="R1293" si="2310">SUM(E1293:M1293)</f>
        <v>0</v>
      </c>
      <c r="T1293" s="91"/>
      <c r="U1293" s="100"/>
      <c r="V1293" s="86">
        <f t="shared" ref="V1293:V1294" si="2311">C1293</f>
        <v>0</v>
      </c>
      <c r="W1293" s="87">
        <v>2019</v>
      </c>
      <c r="X1293" s="88"/>
      <c r="Y1293" s="121"/>
      <c r="Z1293" s="121"/>
      <c r="AA1293" s="121"/>
      <c r="AB1293" s="121"/>
      <c r="AC1293" s="121"/>
      <c r="AD1293" s="121"/>
      <c r="AE1293" s="121"/>
      <c r="AF1293" s="122"/>
      <c r="AG1293" s="122"/>
      <c r="AH1293" s="122"/>
      <c r="AI1293" s="123"/>
      <c r="AJ1293" s="89">
        <f t="shared" ref="AJ1293:AJ1295" si="2312">SUM(X1293:AI1293)</f>
        <v>0</v>
      </c>
      <c r="AK1293" s="90">
        <f t="shared" ref="AK1293:AK1295" si="2313">SUM(X1293:AF1293)</f>
        <v>0</v>
      </c>
    </row>
    <row r="1294" spans="1:38" ht="15.6" hidden="1" thickBot="1">
      <c r="A1294" s="91"/>
      <c r="B1294" s="100"/>
      <c r="C1294" s="92"/>
      <c r="D1294" s="93" t="s">
        <v>92</v>
      </c>
      <c r="E1294" s="94"/>
      <c r="F1294" s="97"/>
      <c r="G1294" s="97"/>
      <c r="H1294" s="97"/>
      <c r="I1294" s="97"/>
      <c r="J1294" s="97"/>
      <c r="K1294" s="97"/>
      <c r="L1294" s="97"/>
      <c r="M1294" s="98"/>
      <c r="N1294" s="98"/>
      <c r="O1294" s="98"/>
      <c r="P1294" s="99"/>
      <c r="Q1294" s="95">
        <f t="shared" si="2309"/>
        <v>0</v>
      </c>
      <c r="R1294" s="96">
        <f t="shared" si="2220"/>
        <v>0</v>
      </c>
      <c r="T1294" s="91"/>
      <c r="U1294" s="100"/>
      <c r="V1294" s="92">
        <f t="shared" si="2311"/>
        <v>0</v>
      </c>
      <c r="W1294" s="93" t="s">
        <v>92</v>
      </c>
      <c r="X1294" s="94"/>
      <c r="Y1294" s="97"/>
      <c r="Z1294" s="97"/>
      <c r="AA1294" s="97"/>
      <c r="AB1294" s="97"/>
      <c r="AC1294" s="97"/>
      <c r="AD1294" s="97"/>
      <c r="AE1294" s="97"/>
      <c r="AF1294" s="98"/>
      <c r="AG1294" s="98"/>
      <c r="AH1294" s="98"/>
      <c r="AI1294" s="99"/>
      <c r="AJ1294" s="95">
        <f t="shared" si="2312"/>
        <v>0</v>
      </c>
      <c r="AK1294" s="96">
        <f t="shared" si="2313"/>
        <v>0</v>
      </c>
    </row>
    <row r="1295" spans="1:38" ht="15.6" hidden="1" thickBot="1">
      <c r="A1295" s="91"/>
      <c r="B1295" s="100"/>
      <c r="C1295" s="92"/>
      <c r="D1295" s="101">
        <v>2020</v>
      </c>
      <c r="E1295" s="102"/>
      <c r="F1295" s="124"/>
      <c r="G1295" s="124"/>
      <c r="H1295" s="124"/>
      <c r="I1295" s="124"/>
      <c r="J1295" s="124"/>
      <c r="K1295" s="124"/>
      <c r="L1295" s="124"/>
      <c r="M1295" s="125"/>
      <c r="N1295" s="125"/>
      <c r="O1295" s="125"/>
      <c r="P1295" s="126"/>
      <c r="Q1295" s="103">
        <f t="shared" si="2309"/>
        <v>0</v>
      </c>
      <c r="R1295" s="104">
        <f t="shared" si="2220"/>
        <v>0</v>
      </c>
      <c r="S1295" s="105"/>
      <c r="T1295" s="91"/>
      <c r="U1295" s="100"/>
      <c r="V1295" s="92"/>
      <c r="W1295" s="101">
        <v>2020</v>
      </c>
      <c r="X1295" s="102"/>
      <c r="Y1295" s="124"/>
      <c r="Z1295" s="124"/>
      <c r="AA1295" s="124"/>
      <c r="AB1295" s="124"/>
      <c r="AC1295" s="124"/>
      <c r="AD1295" s="124"/>
      <c r="AE1295" s="124"/>
      <c r="AF1295" s="125"/>
      <c r="AG1295" s="125"/>
      <c r="AH1295" s="125"/>
      <c r="AI1295" s="126"/>
      <c r="AJ1295" s="103">
        <f t="shared" si="2312"/>
        <v>0</v>
      </c>
      <c r="AK1295" s="104">
        <f t="shared" si="2313"/>
        <v>0</v>
      </c>
      <c r="AL1295" s="105"/>
    </row>
    <row r="1296" spans="1:38" ht="15.6" hidden="1" thickBot="1">
      <c r="A1296" s="91"/>
      <c r="B1296" s="100"/>
      <c r="C1296" s="92"/>
      <c r="D1296" s="101" t="s">
        <v>102</v>
      </c>
      <c r="E1296" s="106" t="e">
        <f t="shared" ref="E1296:R1296" si="2314">E1295/E1294</f>
        <v>#DIV/0!</v>
      </c>
      <c r="F1296" s="106" t="e">
        <f t="shared" si="2314"/>
        <v>#DIV/0!</v>
      </c>
      <c r="G1296" s="106" t="e">
        <f t="shared" si="2314"/>
        <v>#DIV/0!</v>
      </c>
      <c r="H1296" s="106" t="e">
        <f t="shared" si="2314"/>
        <v>#DIV/0!</v>
      </c>
      <c r="I1296" s="106" t="e">
        <f t="shared" si="2314"/>
        <v>#DIV/0!</v>
      </c>
      <c r="J1296" s="106" t="e">
        <f t="shared" si="2314"/>
        <v>#DIV/0!</v>
      </c>
      <c r="K1296" s="106" t="e">
        <f t="shared" si="2314"/>
        <v>#DIV/0!</v>
      </c>
      <c r="L1296" s="106" t="e">
        <f t="shared" si="2314"/>
        <v>#DIV/0!</v>
      </c>
      <c r="M1296" s="107" t="e">
        <f t="shared" si="2314"/>
        <v>#DIV/0!</v>
      </c>
      <c r="N1296" s="107" t="e">
        <f t="shared" si="2314"/>
        <v>#DIV/0!</v>
      </c>
      <c r="O1296" s="107" t="e">
        <f t="shared" si="2314"/>
        <v>#DIV/0!</v>
      </c>
      <c r="P1296" s="108" t="e">
        <f t="shared" si="2314"/>
        <v>#DIV/0!</v>
      </c>
      <c r="Q1296" s="109" t="e">
        <f t="shared" si="2314"/>
        <v>#DIV/0!</v>
      </c>
      <c r="R1296" s="110" t="e">
        <f t="shared" si="2314"/>
        <v>#DIV/0!</v>
      </c>
      <c r="S1296" s="105"/>
      <c r="T1296" s="91"/>
      <c r="U1296" s="100"/>
      <c r="V1296" s="92"/>
      <c r="W1296" s="101" t="s">
        <v>102</v>
      </c>
      <c r="X1296" s="106" t="e">
        <f t="shared" ref="X1296:AK1296" si="2315">X1295/X1294</f>
        <v>#DIV/0!</v>
      </c>
      <c r="Y1296" s="106" t="e">
        <f t="shared" si="2315"/>
        <v>#DIV/0!</v>
      </c>
      <c r="Z1296" s="106" t="e">
        <f t="shared" si="2315"/>
        <v>#DIV/0!</v>
      </c>
      <c r="AA1296" s="106" t="e">
        <f t="shared" si="2315"/>
        <v>#DIV/0!</v>
      </c>
      <c r="AB1296" s="106" t="e">
        <f t="shared" si="2315"/>
        <v>#DIV/0!</v>
      </c>
      <c r="AC1296" s="106" t="e">
        <f t="shared" si="2315"/>
        <v>#DIV/0!</v>
      </c>
      <c r="AD1296" s="106" t="e">
        <f t="shared" si="2315"/>
        <v>#DIV/0!</v>
      </c>
      <c r="AE1296" s="106" t="e">
        <f t="shared" si="2315"/>
        <v>#DIV/0!</v>
      </c>
      <c r="AF1296" s="107" t="e">
        <f t="shared" si="2315"/>
        <v>#DIV/0!</v>
      </c>
      <c r="AG1296" s="107" t="e">
        <f t="shared" si="2315"/>
        <v>#DIV/0!</v>
      </c>
      <c r="AH1296" s="107" t="e">
        <f t="shared" si="2315"/>
        <v>#DIV/0!</v>
      </c>
      <c r="AI1296" s="108" t="e">
        <f t="shared" si="2315"/>
        <v>#DIV/0!</v>
      </c>
      <c r="AJ1296" s="109" t="e">
        <f t="shared" si="2315"/>
        <v>#DIV/0!</v>
      </c>
      <c r="AK1296" s="110" t="e">
        <f t="shared" si="2315"/>
        <v>#DIV/0!</v>
      </c>
      <c r="AL1296" s="105"/>
    </row>
    <row r="1297" spans="1:38" ht="15.6" hidden="1" thickBot="1">
      <c r="A1297" s="91"/>
      <c r="B1297" s="100"/>
      <c r="C1297" s="111"/>
      <c r="D1297" s="112" t="s">
        <v>103</v>
      </c>
      <c r="E1297" s="113" t="e">
        <f t="shared" ref="E1297:R1297" si="2316">E1295/E1293</f>
        <v>#DIV/0!</v>
      </c>
      <c r="F1297" s="113" t="e">
        <f t="shared" si="2316"/>
        <v>#DIV/0!</v>
      </c>
      <c r="G1297" s="113" t="e">
        <f t="shared" si="2316"/>
        <v>#DIV/0!</v>
      </c>
      <c r="H1297" s="113" t="e">
        <f t="shared" si="2316"/>
        <v>#DIV/0!</v>
      </c>
      <c r="I1297" s="113" t="e">
        <f t="shared" si="2316"/>
        <v>#DIV/0!</v>
      </c>
      <c r="J1297" s="113" t="e">
        <f t="shared" si="2316"/>
        <v>#DIV/0!</v>
      </c>
      <c r="K1297" s="113" t="e">
        <f t="shared" si="2316"/>
        <v>#DIV/0!</v>
      </c>
      <c r="L1297" s="113" t="e">
        <f t="shared" si="2316"/>
        <v>#DIV/0!</v>
      </c>
      <c r="M1297" s="113" t="e">
        <f t="shared" si="2316"/>
        <v>#DIV/0!</v>
      </c>
      <c r="N1297" s="113" t="e">
        <f t="shared" si="2316"/>
        <v>#DIV/0!</v>
      </c>
      <c r="O1297" s="113" t="e">
        <f t="shared" si="2316"/>
        <v>#DIV/0!</v>
      </c>
      <c r="P1297" s="114" t="e">
        <f t="shared" si="2316"/>
        <v>#DIV/0!</v>
      </c>
      <c r="Q1297" s="115" t="e">
        <f t="shared" si="2316"/>
        <v>#DIV/0!</v>
      </c>
      <c r="R1297" s="116" t="e">
        <f t="shared" si="2316"/>
        <v>#DIV/0!</v>
      </c>
      <c r="T1297" s="91"/>
      <c r="U1297" s="100"/>
      <c r="V1297" s="111"/>
      <c r="W1297" s="112" t="s">
        <v>103</v>
      </c>
      <c r="X1297" s="113" t="e">
        <f t="shared" ref="X1297:AK1297" si="2317">X1295/X1293</f>
        <v>#DIV/0!</v>
      </c>
      <c r="Y1297" s="113" t="e">
        <f t="shared" si="2317"/>
        <v>#DIV/0!</v>
      </c>
      <c r="Z1297" s="113" t="e">
        <f t="shared" si="2317"/>
        <v>#DIV/0!</v>
      </c>
      <c r="AA1297" s="113" t="e">
        <f t="shared" si="2317"/>
        <v>#DIV/0!</v>
      </c>
      <c r="AB1297" s="113" t="e">
        <f t="shared" si="2317"/>
        <v>#DIV/0!</v>
      </c>
      <c r="AC1297" s="113" t="e">
        <f t="shared" si="2317"/>
        <v>#DIV/0!</v>
      </c>
      <c r="AD1297" s="113" t="e">
        <f t="shared" si="2317"/>
        <v>#DIV/0!</v>
      </c>
      <c r="AE1297" s="113" t="e">
        <f t="shared" si="2317"/>
        <v>#DIV/0!</v>
      </c>
      <c r="AF1297" s="113" t="e">
        <f t="shared" si="2317"/>
        <v>#DIV/0!</v>
      </c>
      <c r="AG1297" s="113" t="e">
        <f t="shared" si="2317"/>
        <v>#DIV/0!</v>
      </c>
      <c r="AH1297" s="113" t="e">
        <f t="shared" si="2317"/>
        <v>#DIV/0!</v>
      </c>
      <c r="AI1297" s="114" t="e">
        <f t="shared" si="2317"/>
        <v>#DIV/0!</v>
      </c>
      <c r="AJ1297" s="115" t="e">
        <f t="shared" si="2317"/>
        <v>#DIV/0!</v>
      </c>
      <c r="AK1297" s="116" t="e">
        <f t="shared" si="2317"/>
        <v>#DIV/0!</v>
      </c>
    </row>
    <row r="1298" spans="1:38" ht="15.6" hidden="1" thickBot="1">
      <c r="A1298" s="91"/>
      <c r="B1298" s="100"/>
      <c r="C1298" s="86"/>
      <c r="D1298" s="87">
        <v>2019</v>
      </c>
      <c r="E1298" s="88"/>
      <c r="F1298" s="121"/>
      <c r="G1298" s="121"/>
      <c r="H1298" s="121"/>
      <c r="I1298" s="121"/>
      <c r="J1298" s="121"/>
      <c r="K1298" s="121"/>
      <c r="L1298" s="121"/>
      <c r="M1298" s="122"/>
      <c r="N1298" s="122"/>
      <c r="O1298" s="122"/>
      <c r="P1298" s="123"/>
      <c r="Q1298" s="89">
        <f t="shared" ref="Q1298:Q1300" si="2318">SUM(E1298:P1298)</f>
        <v>0</v>
      </c>
      <c r="R1298" s="90">
        <f t="shared" ref="R1298" si="2319">SUM(E1298:M1298)</f>
        <v>0</v>
      </c>
      <c r="T1298" s="91"/>
      <c r="U1298" s="100"/>
      <c r="V1298" s="86">
        <f t="shared" ref="V1298:V1299" si="2320">C1298</f>
        <v>0</v>
      </c>
      <c r="W1298" s="87">
        <v>2019</v>
      </c>
      <c r="X1298" s="88"/>
      <c r="Y1298" s="121"/>
      <c r="Z1298" s="121"/>
      <c r="AA1298" s="121"/>
      <c r="AB1298" s="121"/>
      <c r="AC1298" s="121"/>
      <c r="AD1298" s="121"/>
      <c r="AE1298" s="121"/>
      <c r="AF1298" s="122"/>
      <c r="AG1298" s="122"/>
      <c r="AH1298" s="122"/>
      <c r="AI1298" s="123"/>
      <c r="AJ1298" s="89">
        <f t="shared" ref="AJ1298:AJ1300" si="2321">SUM(X1298:AI1298)</f>
        <v>0</v>
      </c>
      <c r="AK1298" s="90">
        <f t="shared" ref="AK1298:AK1300" si="2322">SUM(X1298:AF1298)</f>
        <v>0</v>
      </c>
    </row>
    <row r="1299" spans="1:38" ht="15.6" hidden="1" thickBot="1">
      <c r="A1299" s="91"/>
      <c r="B1299" s="100"/>
      <c r="C1299" s="92"/>
      <c r="D1299" s="93" t="s">
        <v>92</v>
      </c>
      <c r="E1299" s="94"/>
      <c r="F1299" s="97"/>
      <c r="G1299" s="97"/>
      <c r="H1299" s="97"/>
      <c r="I1299" s="97"/>
      <c r="J1299" s="97"/>
      <c r="K1299" s="97"/>
      <c r="L1299" s="97"/>
      <c r="M1299" s="98"/>
      <c r="N1299" s="98"/>
      <c r="O1299" s="98"/>
      <c r="P1299" s="99"/>
      <c r="Q1299" s="95">
        <f t="shared" si="2318"/>
        <v>0</v>
      </c>
      <c r="R1299" s="96">
        <f t="shared" si="2220"/>
        <v>0</v>
      </c>
      <c r="T1299" s="91"/>
      <c r="U1299" s="100"/>
      <c r="V1299" s="92">
        <f t="shared" si="2320"/>
        <v>0</v>
      </c>
      <c r="W1299" s="93" t="s">
        <v>92</v>
      </c>
      <c r="X1299" s="94"/>
      <c r="Y1299" s="97"/>
      <c r="Z1299" s="97"/>
      <c r="AA1299" s="97"/>
      <c r="AB1299" s="97"/>
      <c r="AC1299" s="97"/>
      <c r="AD1299" s="97"/>
      <c r="AE1299" s="97"/>
      <c r="AF1299" s="98"/>
      <c r="AG1299" s="98"/>
      <c r="AH1299" s="98"/>
      <c r="AI1299" s="99"/>
      <c r="AJ1299" s="95">
        <f t="shared" si="2321"/>
        <v>0</v>
      </c>
      <c r="AK1299" s="96">
        <f t="shared" si="2322"/>
        <v>0</v>
      </c>
    </row>
    <row r="1300" spans="1:38" ht="15.6" hidden="1" thickBot="1">
      <c r="A1300" s="91"/>
      <c r="B1300" s="100"/>
      <c r="C1300" s="92"/>
      <c r="D1300" s="101">
        <v>2020</v>
      </c>
      <c r="E1300" s="102"/>
      <c r="F1300" s="124"/>
      <c r="G1300" s="124"/>
      <c r="H1300" s="124"/>
      <c r="I1300" s="124"/>
      <c r="J1300" s="124"/>
      <c r="K1300" s="124"/>
      <c r="L1300" s="124"/>
      <c r="M1300" s="125"/>
      <c r="N1300" s="125"/>
      <c r="O1300" s="125"/>
      <c r="P1300" s="126"/>
      <c r="Q1300" s="103">
        <f t="shared" si="2318"/>
        <v>0</v>
      </c>
      <c r="R1300" s="104">
        <f t="shared" si="2220"/>
        <v>0</v>
      </c>
      <c r="S1300" s="105"/>
      <c r="T1300" s="91"/>
      <c r="U1300" s="100"/>
      <c r="V1300" s="92"/>
      <c r="W1300" s="101">
        <v>2020</v>
      </c>
      <c r="X1300" s="102"/>
      <c r="Y1300" s="124"/>
      <c r="Z1300" s="124"/>
      <c r="AA1300" s="124"/>
      <c r="AB1300" s="124"/>
      <c r="AC1300" s="124"/>
      <c r="AD1300" s="124"/>
      <c r="AE1300" s="124"/>
      <c r="AF1300" s="125"/>
      <c r="AG1300" s="125"/>
      <c r="AH1300" s="125"/>
      <c r="AI1300" s="126"/>
      <c r="AJ1300" s="103">
        <f t="shared" si="2321"/>
        <v>0</v>
      </c>
      <c r="AK1300" s="104">
        <f t="shared" si="2322"/>
        <v>0</v>
      </c>
      <c r="AL1300" s="105"/>
    </row>
    <row r="1301" spans="1:38" ht="15.6" hidden="1" thickBot="1">
      <c r="A1301" s="91"/>
      <c r="B1301" s="100"/>
      <c r="C1301" s="92"/>
      <c r="D1301" s="101" t="s">
        <v>102</v>
      </c>
      <c r="E1301" s="106" t="e">
        <f t="shared" ref="E1301:R1301" si="2323">E1300/E1299</f>
        <v>#DIV/0!</v>
      </c>
      <c r="F1301" s="106" t="e">
        <f t="shared" si="2323"/>
        <v>#DIV/0!</v>
      </c>
      <c r="G1301" s="106" t="e">
        <f t="shared" si="2323"/>
        <v>#DIV/0!</v>
      </c>
      <c r="H1301" s="106" t="e">
        <f t="shared" si="2323"/>
        <v>#DIV/0!</v>
      </c>
      <c r="I1301" s="106" t="e">
        <f t="shared" si="2323"/>
        <v>#DIV/0!</v>
      </c>
      <c r="J1301" s="106" t="e">
        <f t="shared" si="2323"/>
        <v>#DIV/0!</v>
      </c>
      <c r="K1301" s="106" t="e">
        <f t="shared" si="2323"/>
        <v>#DIV/0!</v>
      </c>
      <c r="L1301" s="106" t="e">
        <f t="shared" si="2323"/>
        <v>#DIV/0!</v>
      </c>
      <c r="M1301" s="107" t="e">
        <f t="shared" si="2323"/>
        <v>#DIV/0!</v>
      </c>
      <c r="N1301" s="107" t="e">
        <f t="shared" si="2323"/>
        <v>#DIV/0!</v>
      </c>
      <c r="O1301" s="107" t="e">
        <f t="shared" si="2323"/>
        <v>#DIV/0!</v>
      </c>
      <c r="P1301" s="108" t="e">
        <f t="shared" si="2323"/>
        <v>#DIV/0!</v>
      </c>
      <c r="Q1301" s="109" t="e">
        <f t="shared" si="2323"/>
        <v>#DIV/0!</v>
      </c>
      <c r="R1301" s="110" t="e">
        <f t="shared" si="2323"/>
        <v>#DIV/0!</v>
      </c>
      <c r="S1301" s="105"/>
      <c r="T1301" s="91"/>
      <c r="U1301" s="100"/>
      <c r="V1301" s="92"/>
      <c r="W1301" s="101" t="s">
        <v>102</v>
      </c>
      <c r="X1301" s="106" t="e">
        <f t="shared" ref="X1301:AK1301" si="2324">X1300/X1299</f>
        <v>#DIV/0!</v>
      </c>
      <c r="Y1301" s="106" t="e">
        <f t="shared" si="2324"/>
        <v>#DIV/0!</v>
      </c>
      <c r="Z1301" s="106" t="e">
        <f t="shared" si="2324"/>
        <v>#DIV/0!</v>
      </c>
      <c r="AA1301" s="106" t="e">
        <f t="shared" si="2324"/>
        <v>#DIV/0!</v>
      </c>
      <c r="AB1301" s="106" t="e">
        <f t="shared" si="2324"/>
        <v>#DIV/0!</v>
      </c>
      <c r="AC1301" s="106" t="e">
        <f t="shared" si="2324"/>
        <v>#DIV/0!</v>
      </c>
      <c r="AD1301" s="106" t="e">
        <f t="shared" si="2324"/>
        <v>#DIV/0!</v>
      </c>
      <c r="AE1301" s="106" t="e">
        <f t="shared" si="2324"/>
        <v>#DIV/0!</v>
      </c>
      <c r="AF1301" s="107" t="e">
        <f t="shared" si="2324"/>
        <v>#DIV/0!</v>
      </c>
      <c r="AG1301" s="107" t="e">
        <f t="shared" si="2324"/>
        <v>#DIV/0!</v>
      </c>
      <c r="AH1301" s="107" t="e">
        <f t="shared" si="2324"/>
        <v>#DIV/0!</v>
      </c>
      <c r="AI1301" s="108" t="e">
        <f t="shared" si="2324"/>
        <v>#DIV/0!</v>
      </c>
      <c r="AJ1301" s="109" t="e">
        <f t="shared" si="2324"/>
        <v>#DIV/0!</v>
      </c>
      <c r="AK1301" s="110" t="e">
        <f t="shared" si="2324"/>
        <v>#DIV/0!</v>
      </c>
      <c r="AL1301" s="105"/>
    </row>
    <row r="1302" spans="1:38" ht="15.6" hidden="1" thickBot="1">
      <c r="A1302" s="91"/>
      <c r="B1302" s="100"/>
      <c r="C1302" s="111"/>
      <c r="D1302" s="112" t="s">
        <v>103</v>
      </c>
      <c r="E1302" s="113" t="e">
        <f t="shared" ref="E1302:R1302" si="2325">E1300/E1298</f>
        <v>#DIV/0!</v>
      </c>
      <c r="F1302" s="113" t="e">
        <f t="shared" si="2325"/>
        <v>#DIV/0!</v>
      </c>
      <c r="G1302" s="113" t="e">
        <f t="shared" si="2325"/>
        <v>#DIV/0!</v>
      </c>
      <c r="H1302" s="113" t="e">
        <f t="shared" si="2325"/>
        <v>#DIV/0!</v>
      </c>
      <c r="I1302" s="113" t="e">
        <f t="shared" si="2325"/>
        <v>#DIV/0!</v>
      </c>
      <c r="J1302" s="113" t="e">
        <f t="shared" si="2325"/>
        <v>#DIV/0!</v>
      </c>
      <c r="K1302" s="113" t="e">
        <f t="shared" si="2325"/>
        <v>#DIV/0!</v>
      </c>
      <c r="L1302" s="113" t="e">
        <f t="shared" si="2325"/>
        <v>#DIV/0!</v>
      </c>
      <c r="M1302" s="113" t="e">
        <f t="shared" si="2325"/>
        <v>#DIV/0!</v>
      </c>
      <c r="N1302" s="113" t="e">
        <f t="shared" si="2325"/>
        <v>#DIV/0!</v>
      </c>
      <c r="O1302" s="113" t="e">
        <f t="shared" si="2325"/>
        <v>#DIV/0!</v>
      </c>
      <c r="P1302" s="114" t="e">
        <f t="shared" si="2325"/>
        <v>#DIV/0!</v>
      </c>
      <c r="Q1302" s="115" t="e">
        <f t="shared" si="2325"/>
        <v>#DIV/0!</v>
      </c>
      <c r="R1302" s="116" t="e">
        <f t="shared" si="2325"/>
        <v>#DIV/0!</v>
      </c>
      <c r="T1302" s="91"/>
      <c r="U1302" s="100"/>
      <c r="V1302" s="111"/>
      <c r="W1302" s="112" t="s">
        <v>103</v>
      </c>
      <c r="X1302" s="113" t="e">
        <f t="shared" ref="X1302:AK1302" si="2326">X1300/X1298</f>
        <v>#DIV/0!</v>
      </c>
      <c r="Y1302" s="113" t="e">
        <f t="shared" si="2326"/>
        <v>#DIV/0!</v>
      </c>
      <c r="Z1302" s="113" t="e">
        <f t="shared" si="2326"/>
        <v>#DIV/0!</v>
      </c>
      <c r="AA1302" s="113" t="e">
        <f t="shared" si="2326"/>
        <v>#DIV/0!</v>
      </c>
      <c r="AB1302" s="113" t="e">
        <f t="shared" si="2326"/>
        <v>#DIV/0!</v>
      </c>
      <c r="AC1302" s="113" t="e">
        <f t="shared" si="2326"/>
        <v>#DIV/0!</v>
      </c>
      <c r="AD1302" s="113" t="e">
        <f t="shared" si="2326"/>
        <v>#DIV/0!</v>
      </c>
      <c r="AE1302" s="113" t="e">
        <f t="shared" si="2326"/>
        <v>#DIV/0!</v>
      </c>
      <c r="AF1302" s="113" t="e">
        <f t="shared" si="2326"/>
        <v>#DIV/0!</v>
      </c>
      <c r="AG1302" s="113" t="e">
        <f t="shared" si="2326"/>
        <v>#DIV/0!</v>
      </c>
      <c r="AH1302" s="113" t="e">
        <f t="shared" si="2326"/>
        <v>#DIV/0!</v>
      </c>
      <c r="AI1302" s="114" t="e">
        <f t="shared" si="2326"/>
        <v>#DIV/0!</v>
      </c>
      <c r="AJ1302" s="115" t="e">
        <f t="shared" si="2326"/>
        <v>#DIV/0!</v>
      </c>
      <c r="AK1302" s="116" t="e">
        <f t="shared" si="2326"/>
        <v>#DIV/0!</v>
      </c>
    </row>
    <row r="1303" spans="1:38" ht="15.6" hidden="1" thickBot="1">
      <c r="A1303" s="91"/>
      <c r="B1303" s="100"/>
      <c r="C1303" s="86"/>
      <c r="D1303" s="87">
        <v>2019</v>
      </c>
      <c r="E1303" s="88"/>
      <c r="F1303" s="121"/>
      <c r="G1303" s="121"/>
      <c r="H1303" s="121"/>
      <c r="I1303" s="121"/>
      <c r="J1303" s="121"/>
      <c r="K1303" s="121"/>
      <c r="L1303" s="121"/>
      <c r="M1303" s="122"/>
      <c r="N1303" s="122"/>
      <c r="O1303" s="122"/>
      <c r="P1303" s="123"/>
      <c r="Q1303" s="89">
        <f t="shared" ref="Q1303:Q1305" si="2327">SUM(E1303:P1303)</f>
        <v>0</v>
      </c>
      <c r="R1303" s="90">
        <f t="shared" ref="R1303" si="2328">SUM(E1303:M1303)</f>
        <v>0</v>
      </c>
      <c r="T1303" s="91"/>
      <c r="U1303" s="100"/>
      <c r="V1303" s="86">
        <f t="shared" ref="V1303:V1304" si="2329">C1303</f>
        <v>0</v>
      </c>
      <c r="W1303" s="87">
        <v>2019</v>
      </c>
      <c r="X1303" s="88"/>
      <c r="Y1303" s="121"/>
      <c r="Z1303" s="121"/>
      <c r="AA1303" s="121"/>
      <c r="AB1303" s="121"/>
      <c r="AC1303" s="121"/>
      <c r="AD1303" s="121"/>
      <c r="AE1303" s="121"/>
      <c r="AF1303" s="122"/>
      <c r="AG1303" s="122"/>
      <c r="AH1303" s="122"/>
      <c r="AI1303" s="123"/>
      <c r="AJ1303" s="89">
        <f t="shared" ref="AJ1303:AJ1305" si="2330">SUM(X1303:AI1303)</f>
        <v>0</v>
      </c>
      <c r="AK1303" s="90">
        <f t="shared" ref="AK1303:AK1305" si="2331">SUM(X1303:AF1303)</f>
        <v>0</v>
      </c>
    </row>
    <row r="1304" spans="1:38" ht="15.6" hidden="1" thickBot="1">
      <c r="A1304" s="91"/>
      <c r="B1304" s="100"/>
      <c r="C1304" s="92"/>
      <c r="D1304" s="93" t="s">
        <v>92</v>
      </c>
      <c r="E1304" s="94"/>
      <c r="F1304" s="97"/>
      <c r="G1304" s="97"/>
      <c r="H1304" s="97"/>
      <c r="I1304" s="97"/>
      <c r="J1304" s="97"/>
      <c r="K1304" s="97"/>
      <c r="L1304" s="97"/>
      <c r="M1304" s="98"/>
      <c r="N1304" s="98"/>
      <c r="O1304" s="98"/>
      <c r="P1304" s="99"/>
      <c r="Q1304" s="95">
        <f t="shared" si="2327"/>
        <v>0</v>
      </c>
      <c r="R1304" s="96">
        <f t="shared" si="2220"/>
        <v>0</v>
      </c>
      <c r="T1304" s="91"/>
      <c r="U1304" s="100"/>
      <c r="V1304" s="92">
        <f t="shared" si="2329"/>
        <v>0</v>
      </c>
      <c r="W1304" s="93" t="s">
        <v>92</v>
      </c>
      <c r="X1304" s="94"/>
      <c r="Y1304" s="97"/>
      <c r="Z1304" s="97"/>
      <c r="AA1304" s="97"/>
      <c r="AB1304" s="97"/>
      <c r="AC1304" s="97"/>
      <c r="AD1304" s="97"/>
      <c r="AE1304" s="97"/>
      <c r="AF1304" s="98"/>
      <c r="AG1304" s="98"/>
      <c r="AH1304" s="98"/>
      <c r="AI1304" s="99"/>
      <c r="AJ1304" s="95">
        <f t="shared" si="2330"/>
        <v>0</v>
      </c>
      <c r="AK1304" s="96">
        <f t="shared" si="2331"/>
        <v>0</v>
      </c>
    </row>
    <row r="1305" spans="1:38" ht="15.6" hidden="1" thickBot="1">
      <c r="A1305" s="91"/>
      <c r="B1305" s="100"/>
      <c r="C1305" s="92"/>
      <c r="D1305" s="101">
        <v>2020</v>
      </c>
      <c r="E1305" s="102"/>
      <c r="F1305" s="124"/>
      <c r="G1305" s="124"/>
      <c r="H1305" s="124"/>
      <c r="I1305" s="124"/>
      <c r="J1305" s="124"/>
      <c r="K1305" s="124"/>
      <c r="L1305" s="124"/>
      <c r="M1305" s="125"/>
      <c r="N1305" s="125"/>
      <c r="O1305" s="125"/>
      <c r="P1305" s="126"/>
      <c r="Q1305" s="103">
        <f t="shared" si="2327"/>
        <v>0</v>
      </c>
      <c r="R1305" s="104">
        <f t="shared" si="2220"/>
        <v>0</v>
      </c>
      <c r="S1305" s="105"/>
      <c r="T1305" s="91"/>
      <c r="U1305" s="100"/>
      <c r="V1305" s="92"/>
      <c r="W1305" s="101">
        <v>2020</v>
      </c>
      <c r="X1305" s="102"/>
      <c r="Y1305" s="124"/>
      <c r="Z1305" s="124"/>
      <c r="AA1305" s="124"/>
      <c r="AB1305" s="124"/>
      <c r="AC1305" s="124"/>
      <c r="AD1305" s="124"/>
      <c r="AE1305" s="124"/>
      <c r="AF1305" s="125"/>
      <c r="AG1305" s="125"/>
      <c r="AH1305" s="125"/>
      <c r="AI1305" s="126"/>
      <c r="AJ1305" s="103">
        <f t="shared" si="2330"/>
        <v>0</v>
      </c>
      <c r="AK1305" s="104">
        <f t="shared" si="2331"/>
        <v>0</v>
      </c>
      <c r="AL1305" s="105"/>
    </row>
    <row r="1306" spans="1:38" ht="15.6" hidden="1" thickBot="1">
      <c r="A1306" s="91"/>
      <c r="B1306" s="100"/>
      <c r="C1306" s="92"/>
      <c r="D1306" s="101" t="s">
        <v>102</v>
      </c>
      <c r="E1306" s="106" t="e">
        <f t="shared" ref="E1306:R1306" si="2332">E1305/E1304</f>
        <v>#DIV/0!</v>
      </c>
      <c r="F1306" s="106" t="e">
        <f t="shared" si="2332"/>
        <v>#DIV/0!</v>
      </c>
      <c r="G1306" s="106" t="e">
        <f t="shared" si="2332"/>
        <v>#DIV/0!</v>
      </c>
      <c r="H1306" s="106" t="e">
        <f t="shared" si="2332"/>
        <v>#DIV/0!</v>
      </c>
      <c r="I1306" s="106" t="e">
        <f t="shared" si="2332"/>
        <v>#DIV/0!</v>
      </c>
      <c r="J1306" s="106" t="e">
        <f t="shared" si="2332"/>
        <v>#DIV/0!</v>
      </c>
      <c r="K1306" s="106" t="e">
        <f t="shared" si="2332"/>
        <v>#DIV/0!</v>
      </c>
      <c r="L1306" s="106" t="e">
        <f t="shared" si="2332"/>
        <v>#DIV/0!</v>
      </c>
      <c r="M1306" s="107" t="e">
        <f t="shared" si="2332"/>
        <v>#DIV/0!</v>
      </c>
      <c r="N1306" s="107" t="e">
        <f t="shared" si="2332"/>
        <v>#DIV/0!</v>
      </c>
      <c r="O1306" s="107" t="e">
        <f t="shared" si="2332"/>
        <v>#DIV/0!</v>
      </c>
      <c r="P1306" s="108" t="e">
        <f t="shared" si="2332"/>
        <v>#DIV/0!</v>
      </c>
      <c r="Q1306" s="109" t="e">
        <f t="shared" si="2332"/>
        <v>#DIV/0!</v>
      </c>
      <c r="R1306" s="110" t="e">
        <f t="shared" si="2332"/>
        <v>#DIV/0!</v>
      </c>
      <c r="S1306" s="105"/>
      <c r="T1306" s="91"/>
      <c r="U1306" s="100"/>
      <c r="V1306" s="92"/>
      <c r="W1306" s="101" t="s">
        <v>102</v>
      </c>
      <c r="X1306" s="106" t="e">
        <f t="shared" ref="X1306:AK1306" si="2333">X1305/X1304</f>
        <v>#DIV/0!</v>
      </c>
      <c r="Y1306" s="106" t="e">
        <f t="shared" si="2333"/>
        <v>#DIV/0!</v>
      </c>
      <c r="Z1306" s="106" t="e">
        <f t="shared" si="2333"/>
        <v>#DIV/0!</v>
      </c>
      <c r="AA1306" s="106" t="e">
        <f t="shared" si="2333"/>
        <v>#DIV/0!</v>
      </c>
      <c r="AB1306" s="106" t="e">
        <f t="shared" si="2333"/>
        <v>#DIV/0!</v>
      </c>
      <c r="AC1306" s="106" t="e">
        <f t="shared" si="2333"/>
        <v>#DIV/0!</v>
      </c>
      <c r="AD1306" s="106" t="e">
        <f t="shared" si="2333"/>
        <v>#DIV/0!</v>
      </c>
      <c r="AE1306" s="106" t="e">
        <f t="shared" si="2333"/>
        <v>#DIV/0!</v>
      </c>
      <c r="AF1306" s="107" t="e">
        <f t="shared" si="2333"/>
        <v>#DIV/0!</v>
      </c>
      <c r="AG1306" s="107" t="e">
        <f t="shared" si="2333"/>
        <v>#DIV/0!</v>
      </c>
      <c r="AH1306" s="107" t="e">
        <f t="shared" si="2333"/>
        <v>#DIV/0!</v>
      </c>
      <c r="AI1306" s="108" t="e">
        <f t="shared" si="2333"/>
        <v>#DIV/0!</v>
      </c>
      <c r="AJ1306" s="109" t="e">
        <f t="shared" si="2333"/>
        <v>#DIV/0!</v>
      </c>
      <c r="AK1306" s="110" t="e">
        <f t="shared" si="2333"/>
        <v>#DIV/0!</v>
      </c>
      <c r="AL1306" s="105"/>
    </row>
    <row r="1307" spans="1:38" ht="15.6" hidden="1" thickBot="1">
      <c r="A1307" s="91"/>
      <c r="B1307" s="100"/>
      <c r="C1307" s="111"/>
      <c r="D1307" s="112" t="s">
        <v>103</v>
      </c>
      <c r="E1307" s="113" t="e">
        <f t="shared" ref="E1307:R1307" si="2334">E1305/E1303</f>
        <v>#DIV/0!</v>
      </c>
      <c r="F1307" s="113" t="e">
        <f t="shared" si="2334"/>
        <v>#DIV/0!</v>
      </c>
      <c r="G1307" s="113" t="e">
        <f t="shared" si="2334"/>
        <v>#DIV/0!</v>
      </c>
      <c r="H1307" s="113" t="e">
        <f t="shared" si="2334"/>
        <v>#DIV/0!</v>
      </c>
      <c r="I1307" s="113" t="e">
        <f t="shared" si="2334"/>
        <v>#DIV/0!</v>
      </c>
      <c r="J1307" s="113" t="e">
        <f t="shared" si="2334"/>
        <v>#DIV/0!</v>
      </c>
      <c r="K1307" s="113" t="e">
        <f t="shared" si="2334"/>
        <v>#DIV/0!</v>
      </c>
      <c r="L1307" s="113" t="e">
        <f t="shared" si="2334"/>
        <v>#DIV/0!</v>
      </c>
      <c r="M1307" s="113" t="e">
        <f t="shared" si="2334"/>
        <v>#DIV/0!</v>
      </c>
      <c r="N1307" s="113" t="e">
        <f t="shared" si="2334"/>
        <v>#DIV/0!</v>
      </c>
      <c r="O1307" s="113" t="e">
        <f t="shared" si="2334"/>
        <v>#DIV/0!</v>
      </c>
      <c r="P1307" s="114" t="e">
        <f t="shared" si="2334"/>
        <v>#DIV/0!</v>
      </c>
      <c r="Q1307" s="115" t="e">
        <f t="shared" si="2334"/>
        <v>#DIV/0!</v>
      </c>
      <c r="R1307" s="116" t="e">
        <f t="shared" si="2334"/>
        <v>#DIV/0!</v>
      </c>
      <c r="T1307" s="91"/>
      <c r="U1307" s="100"/>
      <c r="V1307" s="111"/>
      <c r="W1307" s="112" t="s">
        <v>103</v>
      </c>
      <c r="X1307" s="113" t="e">
        <f t="shared" ref="X1307:AK1307" si="2335">X1305/X1303</f>
        <v>#DIV/0!</v>
      </c>
      <c r="Y1307" s="113" t="e">
        <f t="shared" si="2335"/>
        <v>#DIV/0!</v>
      </c>
      <c r="Z1307" s="113" t="e">
        <f t="shared" si="2335"/>
        <v>#DIV/0!</v>
      </c>
      <c r="AA1307" s="113" t="e">
        <f t="shared" si="2335"/>
        <v>#DIV/0!</v>
      </c>
      <c r="AB1307" s="113" t="e">
        <f t="shared" si="2335"/>
        <v>#DIV/0!</v>
      </c>
      <c r="AC1307" s="113" t="e">
        <f t="shared" si="2335"/>
        <v>#DIV/0!</v>
      </c>
      <c r="AD1307" s="113" t="e">
        <f t="shared" si="2335"/>
        <v>#DIV/0!</v>
      </c>
      <c r="AE1307" s="113" t="e">
        <f t="shared" si="2335"/>
        <v>#DIV/0!</v>
      </c>
      <c r="AF1307" s="113" t="e">
        <f t="shared" si="2335"/>
        <v>#DIV/0!</v>
      </c>
      <c r="AG1307" s="113" t="e">
        <f t="shared" si="2335"/>
        <v>#DIV/0!</v>
      </c>
      <c r="AH1307" s="113" t="e">
        <f t="shared" si="2335"/>
        <v>#DIV/0!</v>
      </c>
      <c r="AI1307" s="114" t="e">
        <f t="shared" si="2335"/>
        <v>#DIV/0!</v>
      </c>
      <c r="AJ1307" s="115" t="e">
        <f t="shared" si="2335"/>
        <v>#DIV/0!</v>
      </c>
      <c r="AK1307" s="116" t="e">
        <f t="shared" si="2335"/>
        <v>#DIV/0!</v>
      </c>
    </row>
    <row r="1308" spans="1:38" ht="15.6" hidden="1" thickBot="1">
      <c r="A1308" s="91"/>
      <c r="B1308" s="100"/>
      <c r="C1308" s="86"/>
      <c r="D1308" s="87">
        <v>2019</v>
      </c>
      <c r="E1308" s="88"/>
      <c r="F1308" s="121"/>
      <c r="G1308" s="121"/>
      <c r="H1308" s="121"/>
      <c r="I1308" s="121"/>
      <c r="J1308" s="121"/>
      <c r="K1308" s="121"/>
      <c r="L1308" s="121"/>
      <c r="M1308" s="122"/>
      <c r="N1308" s="122"/>
      <c r="O1308" s="122"/>
      <c r="P1308" s="123"/>
      <c r="Q1308" s="89">
        <f t="shared" ref="Q1308:Q1310" si="2336">SUM(E1308:P1308)</f>
        <v>0</v>
      </c>
      <c r="R1308" s="90">
        <f t="shared" ref="R1308:R1365" si="2337">SUM(E1308:M1308)</f>
        <v>0</v>
      </c>
      <c r="T1308" s="91"/>
      <c r="U1308" s="100"/>
      <c r="V1308" s="86">
        <f t="shared" ref="V1308:V1309" si="2338">C1308</f>
        <v>0</v>
      </c>
      <c r="W1308" s="87">
        <v>2019</v>
      </c>
      <c r="X1308" s="88"/>
      <c r="Y1308" s="121"/>
      <c r="Z1308" s="121"/>
      <c r="AA1308" s="121"/>
      <c r="AB1308" s="121"/>
      <c r="AC1308" s="121"/>
      <c r="AD1308" s="121"/>
      <c r="AE1308" s="121"/>
      <c r="AF1308" s="122"/>
      <c r="AG1308" s="122"/>
      <c r="AH1308" s="122"/>
      <c r="AI1308" s="123"/>
      <c r="AJ1308" s="89">
        <f t="shared" ref="AJ1308:AJ1310" si="2339">SUM(X1308:AI1308)</f>
        <v>0</v>
      </c>
      <c r="AK1308" s="90">
        <f t="shared" ref="AK1308:AK1310" si="2340">SUM(X1308:AF1308)</f>
        <v>0</v>
      </c>
    </row>
    <row r="1309" spans="1:38" ht="15.6" hidden="1" thickBot="1">
      <c r="A1309" s="91"/>
      <c r="B1309" s="100"/>
      <c r="C1309" s="92"/>
      <c r="D1309" s="93" t="s">
        <v>92</v>
      </c>
      <c r="E1309" s="94"/>
      <c r="F1309" s="97"/>
      <c r="G1309" s="97"/>
      <c r="H1309" s="97"/>
      <c r="I1309" s="97"/>
      <c r="J1309" s="97"/>
      <c r="K1309" s="97"/>
      <c r="L1309" s="97"/>
      <c r="M1309" s="98"/>
      <c r="N1309" s="98"/>
      <c r="O1309" s="98"/>
      <c r="P1309" s="99"/>
      <c r="Q1309" s="95">
        <f t="shared" si="2336"/>
        <v>0</v>
      </c>
      <c r="R1309" s="96">
        <f t="shared" si="2337"/>
        <v>0</v>
      </c>
      <c r="T1309" s="91"/>
      <c r="U1309" s="100"/>
      <c r="V1309" s="92">
        <f t="shared" si="2338"/>
        <v>0</v>
      </c>
      <c r="W1309" s="93" t="s">
        <v>92</v>
      </c>
      <c r="X1309" s="94"/>
      <c r="Y1309" s="97"/>
      <c r="Z1309" s="97"/>
      <c r="AA1309" s="97"/>
      <c r="AB1309" s="97"/>
      <c r="AC1309" s="97"/>
      <c r="AD1309" s="97"/>
      <c r="AE1309" s="97"/>
      <c r="AF1309" s="98"/>
      <c r="AG1309" s="98"/>
      <c r="AH1309" s="98"/>
      <c r="AI1309" s="99"/>
      <c r="AJ1309" s="95">
        <f t="shared" si="2339"/>
        <v>0</v>
      </c>
      <c r="AK1309" s="96">
        <f t="shared" si="2340"/>
        <v>0</v>
      </c>
    </row>
    <row r="1310" spans="1:38" ht="15.6" hidden="1" thickBot="1">
      <c r="A1310" s="91"/>
      <c r="B1310" s="100"/>
      <c r="C1310" s="92"/>
      <c r="D1310" s="101">
        <v>2020</v>
      </c>
      <c r="E1310" s="102"/>
      <c r="F1310" s="124"/>
      <c r="G1310" s="124"/>
      <c r="H1310" s="124"/>
      <c r="I1310" s="124"/>
      <c r="J1310" s="124"/>
      <c r="K1310" s="124"/>
      <c r="L1310" s="124"/>
      <c r="M1310" s="125"/>
      <c r="N1310" s="125"/>
      <c r="O1310" s="125"/>
      <c r="P1310" s="126"/>
      <c r="Q1310" s="103">
        <f t="shared" si="2336"/>
        <v>0</v>
      </c>
      <c r="R1310" s="104">
        <f t="shared" si="2337"/>
        <v>0</v>
      </c>
      <c r="S1310" s="105"/>
      <c r="T1310" s="91"/>
      <c r="U1310" s="100"/>
      <c r="V1310" s="92"/>
      <c r="W1310" s="101">
        <v>2020</v>
      </c>
      <c r="X1310" s="102"/>
      <c r="Y1310" s="124"/>
      <c r="Z1310" s="124"/>
      <c r="AA1310" s="124"/>
      <c r="AB1310" s="124"/>
      <c r="AC1310" s="124"/>
      <c r="AD1310" s="124"/>
      <c r="AE1310" s="124"/>
      <c r="AF1310" s="125"/>
      <c r="AG1310" s="125"/>
      <c r="AH1310" s="125"/>
      <c r="AI1310" s="126"/>
      <c r="AJ1310" s="103">
        <f t="shared" si="2339"/>
        <v>0</v>
      </c>
      <c r="AK1310" s="104">
        <f t="shared" si="2340"/>
        <v>0</v>
      </c>
      <c r="AL1310" s="105"/>
    </row>
    <row r="1311" spans="1:38" ht="15.6" hidden="1" thickBot="1">
      <c r="A1311" s="91"/>
      <c r="B1311" s="100"/>
      <c r="C1311" s="92"/>
      <c r="D1311" s="101" t="s">
        <v>102</v>
      </c>
      <c r="E1311" s="106" t="e">
        <f t="shared" ref="E1311:R1311" si="2341">E1310/E1309</f>
        <v>#DIV/0!</v>
      </c>
      <c r="F1311" s="106" t="e">
        <f t="shared" si="2341"/>
        <v>#DIV/0!</v>
      </c>
      <c r="G1311" s="106" t="e">
        <f t="shared" si="2341"/>
        <v>#DIV/0!</v>
      </c>
      <c r="H1311" s="106" t="e">
        <f t="shared" si="2341"/>
        <v>#DIV/0!</v>
      </c>
      <c r="I1311" s="106" t="e">
        <f t="shared" si="2341"/>
        <v>#DIV/0!</v>
      </c>
      <c r="J1311" s="106" t="e">
        <f t="shared" si="2341"/>
        <v>#DIV/0!</v>
      </c>
      <c r="K1311" s="106" t="e">
        <f t="shared" si="2341"/>
        <v>#DIV/0!</v>
      </c>
      <c r="L1311" s="106" t="e">
        <f t="shared" si="2341"/>
        <v>#DIV/0!</v>
      </c>
      <c r="M1311" s="107" t="e">
        <f t="shared" si="2341"/>
        <v>#DIV/0!</v>
      </c>
      <c r="N1311" s="107" t="e">
        <f t="shared" si="2341"/>
        <v>#DIV/0!</v>
      </c>
      <c r="O1311" s="107" t="e">
        <f t="shared" si="2341"/>
        <v>#DIV/0!</v>
      </c>
      <c r="P1311" s="108" t="e">
        <f t="shared" si="2341"/>
        <v>#DIV/0!</v>
      </c>
      <c r="Q1311" s="109" t="e">
        <f t="shared" si="2341"/>
        <v>#DIV/0!</v>
      </c>
      <c r="R1311" s="110" t="e">
        <f t="shared" si="2341"/>
        <v>#DIV/0!</v>
      </c>
      <c r="S1311" s="105"/>
      <c r="T1311" s="91"/>
      <c r="U1311" s="100"/>
      <c r="V1311" s="92"/>
      <c r="W1311" s="101" t="s">
        <v>102</v>
      </c>
      <c r="X1311" s="106" t="e">
        <f t="shared" ref="X1311:AK1311" si="2342">X1310/X1309</f>
        <v>#DIV/0!</v>
      </c>
      <c r="Y1311" s="106" t="e">
        <f t="shared" si="2342"/>
        <v>#DIV/0!</v>
      </c>
      <c r="Z1311" s="106" t="e">
        <f t="shared" si="2342"/>
        <v>#DIV/0!</v>
      </c>
      <c r="AA1311" s="106" t="e">
        <f t="shared" si="2342"/>
        <v>#DIV/0!</v>
      </c>
      <c r="AB1311" s="106" t="e">
        <f t="shared" si="2342"/>
        <v>#DIV/0!</v>
      </c>
      <c r="AC1311" s="106" t="e">
        <f t="shared" si="2342"/>
        <v>#DIV/0!</v>
      </c>
      <c r="AD1311" s="106" t="e">
        <f t="shared" si="2342"/>
        <v>#DIV/0!</v>
      </c>
      <c r="AE1311" s="106" t="e">
        <f t="shared" si="2342"/>
        <v>#DIV/0!</v>
      </c>
      <c r="AF1311" s="107" t="e">
        <f t="shared" si="2342"/>
        <v>#DIV/0!</v>
      </c>
      <c r="AG1311" s="107" t="e">
        <f t="shared" si="2342"/>
        <v>#DIV/0!</v>
      </c>
      <c r="AH1311" s="107" t="e">
        <f t="shared" si="2342"/>
        <v>#DIV/0!</v>
      </c>
      <c r="AI1311" s="108" t="e">
        <f t="shared" si="2342"/>
        <v>#DIV/0!</v>
      </c>
      <c r="AJ1311" s="109" t="e">
        <f t="shared" si="2342"/>
        <v>#DIV/0!</v>
      </c>
      <c r="AK1311" s="110" t="e">
        <f t="shared" si="2342"/>
        <v>#DIV/0!</v>
      </c>
      <c r="AL1311" s="105"/>
    </row>
    <row r="1312" spans="1:38" ht="15.6" hidden="1" thickBot="1">
      <c r="A1312" s="91"/>
      <c r="B1312" s="100"/>
      <c r="C1312" s="111"/>
      <c r="D1312" s="112" t="s">
        <v>103</v>
      </c>
      <c r="E1312" s="113" t="e">
        <f t="shared" ref="E1312:R1312" si="2343">E1310/E1308</f>
        <v>#DIV/0!</v>
      </c>
      <c r="F1312" s="113" t="e">
        <f t="shared" si="2343"/>
        <v>#DIV/0!</v>
      </c>
      <c r="G1312" s="113" t="e">
        <f t="shared" si="2343"/>
        <v>#DIV/0!</v>
      </c>
      <c r="H1312" s="113" t="e">
        <f t="shared" si="2343"/>
        <v>#DIV/0!</v>
      </c>
      <c r="I1312" s="113" t="e">
        <f t="shared" si="2343"/>
        <v>#DIV/0!</v>
      </c>
      <c r="J1312" s="113" t="e">
        <f t="shared" si="2343"/>
        <v>#DIV/0!</v>
      </c>
      <c r="K1312" s="113" t="e">
        <f t="shared" si="2343"/>
        <v>#DIV/0!</v>
      </c>
      <c r="L1312" s="113" t="e">
        <f t="shared" si="2343"/>
        <v>#DIV/0!</v>
      </c>
      <c r="M1312" s="113" t="e">
        <f t="shared" si="2343"/>
        <v>#DIV/0!</v>
      </c>
      <c r="N1312" s="113" t="e">
        <f t="shared" si="2343"/>
        <v>#DIV/0!</v>
      </c>
      <c r="O1312" s="113" t="e">
        <f t="shared" si="2343"/>
        <v>#DIV/0!</v>
      </c>
      <c r="P1312" s="114" t="e">
        <f t="shared" si="2343"/>
        <v>#DIV/0!</v>
      </c>
      <c r="Q1312" s="115" t="e">
        <f t="shared" si="2343"/>
        <v>#DIV/0!</v>
      </c>
      <c r="R1312" s="116" t="e">
        <f t="shared" si="2343"/>
        <v>#DIV/0!</v>
      </c>
      <c r="T1312" s="91"/>
      <c r="U1312" s="100"/>
      <c r="V1312" s="111"/>
      <c r="W1312" s="112" t="s">
        <v>103</v>
      </c>
      <c r="X1312" s="113" t="e">
        <f t="shared" ref="X1312:AK1312" si="2344">X1310/X1308</f>
        <v>#DIV/0!</v>
      </c>
      <c r="Y1312" s="113" t="e">
        <f t="shared" si="2344"/>
        <v>#DIV/0!</v>
      </c>
      <c r="Z1312" s="113" t="e">
        <f t="shared" si="2344"/>
        <v>#DIV/0!</v>
      </c>
      <c r="AA1312" s="113" t="e">
        <f t="shared" si="2344"/>
        <v>#DIV/0!</v>
      </c>
      <c r="AB1312" s="113" t="e">
        <f t="shared" si="2344"/>
        <v>#DIV/0!</v>
      </c>
      <c r="AC1312" s="113" t="e">
        <f t="shared" si="2344"/>
        <v>#DIV/0!</v>
      </c>
      <c r="AD1312" s="113" t="e">
        <f t="shared" si="2344"/>
        <v>#DIV/0!</v>
      </c>
      <c r="AE1312" s="113" t="e">
        <f t="shared" si="2344"/>
        <v>#DIV/0!</v>
      </c>
      <c r="AF1312" s="113" t="e">
        <f t="shared" si="2344"/>
        <v>#DIV/0!</v>
      </c>
      <c r="AG1312" s="113" t="e">
        <f t="shared" si="2344"/>
        <v>#DIV/0!</v>
      </c>
      <c r="AH1312" s="113" t="e">
        <f t="shared" si="2344"/>
        <v>#DIV/0!</v>
      </c>
      <c r="AI1312" s="114" t="e">
        <f t="shared" si="2344"/>
        <v>#DIV/0!</v>
      </c>
      <c r="AJ1312" s="115" t="e">
        <f t="shared" si="2344"/>
        <v>#DIV/0!</v>
      </c>
      <c r="AK1312" s="116" t="e">
        <f t="shared" si="2344"/>
        <v>#DIV/0!</v>
      </c>
    </row>
    <row r="1313" spans="1:38" ht="15.6" hidden="1" thickBot="1">
      <c r="A1313" s="91"/>
      <c r="B1313" s="100"/>
      <c r="C1313" s="86"/>
      <c r="D1313" s="87">
        <v>2019</v>
      </c>
      <c r="E1313" s="88"/>
      <c r="F1313" s="121"/>
      <c r="G1313" s="121"/>
      <c r="H1313" s="121"/>
      <c r="I1313" s="121"/>
      <c r="J1313" s="121"/>
      <c r="K1313" s="121"/>
      <c r="L1313" s="121"/>
      <c r="M1313" s="122"/>
      <c r="N1313" s="122"/>
      <c r="O1313" s="122"/>
      <c r="P1313" s="123"/>
      <c r="Q1313" s="89">
        <f t="shared" ref="Q1313:Q1315" si="2345">SUM(E1313:P1313)</f>
        <v>0</v>
      </c>
      <c r="R1313" s="90">
        <f t="shared" ref="R1313" si="2346">SUM(E1313:M1313)</f>
        <v>0</v>
      </c>
      <c r="T1313" s="91"/>
      <c r="U1313" s="100"/>
      <c r="V1313" s="86">
        <f t="shared" ref="V1313:V1314" si="2347">C1313</f>
        <v>0</v>
      </c>
      <c r="W1313" s="87">
        <v>2019</v>
      </c>
      <c r="X1313" s="88"/>
      <c r="Y1313" s="121"/>
      <c r="Z1313" s="121"/>
      <c r="AA1313" s="121"/>
      <c r="AB1313" s="121"/>
      <c r="AC1313" s="121"/>
      <c r="AD1313" s="121"/>
      <c r="AE1313" s="121"/>
      <c r="AF1313" s="122"/>
      <c r="AG1313" s="122"/>
      <c r="AH1313" s="122"/>
      <c r="AI1313" s="123"/>
      <c r="AJ1313" s="89">
        <f t="shared" ref="AJ1313:AJ1315" si="2348">SUM(X1313:AI1313)</f>
        <v>0</v>
      </c>
      <c r="AK1313" s="90">
        <f t="shared" ref="AK1313:AK1315" si="2349">SUM(X1313:AF1313)</f>
        <v>0</v>
      </c>
    </row>
    <row r="1314" spans="1:38" ht="15.6" hidden="1" thickBot="1">
      <c r="A1314" s="91"/>
      <c r="B1314" s="100"/>
      <c r="C1314" s="92"/>
      <c r="D1314" s="93" t="s">
        <v>92</v>
      </c>
      <c r="E1314" s="94"/>
      <c r="F1314" s="97"/>
      <c r="G1314" s="97"/>
      <c r="H1314" s="97"/>
      <c r="I1314" s="97"/>
      <c r="J1314" s="97"/>
      <c r="K1314" s="97"/>
      <c r="L1314" s="97"/>
      <c r="M1314" s="98"/>
      <c r="N1314" s="98"/>
      <c r="O1314" s="98"/>
      <c r="P1314" s="99"/>
      <c r="Q1314" s="95">
        <f t="shared" si="2345"/>
        <v>0</v>
      </c>
      <c r="R1314" s="96">
        <f t="shared" si="2337"/>
        <v>0</v>
      </c>
      <c r="T1314" s="91"/>
      <c r="U1314" s="100"/>
      <c r="V1314" s="92">
        <f t="shared" si="2347"/>
        <v>0</v>
      </c>
      <c r="W1314" s="93" t="s">
        <v>92</v>
      </c>
      <c r="X1314" s="94"/>
      <c r="Y1314" s="97"/>
      <c r="Z1314" s="97"/>
      <c r="AA1314" s="97"/>
      <c r="AB1314" s="97"/>
      <c r="AC1314" s="97"/>
      <c r="AD1314" s="97"/>
      <c r="AE1314" s="97"/>
      <c r="AF1314" s="98"/>
      <c r="AG1314" s="98"/>
      <c r="AH1314" s="98"/>
      <c r="AI1314" s="99"/>
      <c r="AJ1314" s="95">
        <f t="shared" si="2348"/>
        <v>0</v>
      </c>
      <c r="AK1314" s="96">
        <f t="shared" si="2349"/>
        <v>0</v>
      </c>
    </row>
    <row r="1315" spans="1:38" ht="15.6" hidden="1" thickBot="1">
      <c r="A1315" s="91"/>
      <c r="B1315" s="100"/>
      <c r="C1315" s="92"/>
      <c r="D1315" s="101">
        <v>2020</v>
      </c>
      <c r="E1315" s="102"/>
      <c r="F1315" s="124"/>
      <c r="G1315" s="124"/>
      <c r="H1315" s="124"/>
      <c r="I1315" s="124"/>
      <c r="J1315" s="124"/>
      <c r="K1315" s="124"/>
      <c r="L1315" s="124"/>
      <c r="M1315" s="125"/>
      <c r="N1315" s="125"/>
      <c r="O1315" s="125"/>
      <c r="P1315" s="126"/>
      <c r="Q1315" s="103">
        <f t="shared" si="2345"/>
        <v>0</v>
      </c>
      <c r="R1315" s="104">
        <f t="shared" si="2337"/>
        <v>0</v>
      </c>
      <c r="S1315" s="105"/>
      <c r="T1315" s="91"/>
      <c r="U1315" s="100"/>
      <c r="V1315" s="92"/>
      <c r="W1315" s="101">
        <v>2020</v>
      </c>
      <c r="X1315" s="102"/>
      <c r="Y1315" s="124"/>
      <c r="Z1315" s="124"/>
      <c r="AA1315" s="124"/>
      <c r="AB1315" s="124"/>
      <c r="AC1315" s="124"/>
      <c r="AD1315" s="124"/>
      <c r="AE1315" s="124"/>
      <c r="AF1315" s="125"/>
      <c r="AG1315" s="125"/>
      <c r="AH1315" s="125"/>
      <c r="AI1315" s="126"/>
      <c r="AJ1315" s="103">
        <f t="shared" si="2348"/>
        <v>0</v>
      </c>
      <c r="AK1315" s="104">
        <f t="shared" si="2349"/>
        <v>0</v>
      </c>
      <c r="AL1315" s="105"/>
    </row>
    <row r="1316" spans="1:38" ht="15.6" hidden="1" thickBot="1">
      <c r="A1316" s="91"/>
      <c r="B1316" s="100"/>
      <c r="C1316" s="92"/>
      <c r="D1316" s="101" t="s">
        <v>102</v>
      </c>
      <c r="E1316" s="106" t="e">
        <f t="shared" ref="E1316:R1316" si="2350">E1315/E1314</f>
        <v>#DIV/0!</v>
      </c>
      <c r="F1316" s="106" t="e">
        <f t="shared" si="2350"/>
        <v>#DIV/0!</v>
      </c>
      <c r="G1316" s="106" t="e">
        <f t="shared" si="2350"/>
        <v>#DIV/0!</v>
      </c>
      <c r="H1316" s="106" t="e">
        <f t="shared" si="2350"/>
        <v>#DIV/0!</v>
      </c>
      <c r="I1316" s="106" t="e">
        <f t="shared" si="2350"/>
        <v>#DIV/0!</v>
      </c>
      <c r="J1316" s="106" t="e">
        <f t="shared" si="2350"/>
        <v>#DIV/0!</v>
      </c>
      <c r="K1316" s="106" t="e">
        <f t="shared" si="2350"/>
        <v>#DIV/0!</v>
      </c>
      <c r="L1316" s="106" t="e">
        <f t="shared" si="2350"/>
        <v>#DIV/0!</v>
      </c>
      <c r="M1316" s="107" t="e">
        <f t="shared" si="2350"/>
        <v>#DIV/0!</v>
      </c>
      <c r="N1316" s="107" t="e">
        <f t="shared" si="2350"/>
        <v>#DIV/0!</v>
      </c>
      <c r="O1316" s="107" t="e">
        <f t="shared" si="2350"/>
        <v>#DIV/0!</v>
      </c>
      <c r="P1316" s="108" t="e">
        <f t="shared" si="2350"/>
        <v>#DIV/0!</v>
      </c>
      <c r="Q1316" s="109" t="e">
        <f t="shared" si="2350"/>
        <v>#DIV/0!</v>
      </c>
      <c r="R1316" s="110" t="e">
        <f t="shared" si="2350"/>
        <v>#DIV/0!</v>
      </c>
      <c r="S1316" s="105"/>
      <c r="T1316" s="91"/>
      <c r="U1316" s="100"/>
      <c r="V1316" s="92"/>
      <c r="W1316" s="101" t="s">
        <v>102</v>
      </c>
      <c r="X1316" s="106" t="e">
        <f t="shared" ref="X1316:AK1316" si="2351">X1315/X1314</f>
        <v>#DIV/0!</v>
      </c>
      <c r="Y1316" s="106" t="e">
        <f t="shared" si="2351"/>
        <v>#DIV/0!</v>
      </c>
      <c r="Z1316" s="106" t="e">
        <f t="shared" si="2351"/>
        <v>#DIV/0!</v>
      </c>
      <c r="AA1316" s="106" t="e">
        <f t="shared" si="2351"/>
        <v>#DIV/0!</v>
      </c>
      <c r="AB1316" s="106" t="e">
        <f t="shared" si="2351"/>
        <v>#DIV/0!</v>
      </c>
      <c r="AC1316" s="106" t="e">
        <f t="shared" si="2351"/>
        <v>#DIV/0!</v>
      </c>
      <c r="AD1316" s="106" t="e">
        <f t="shared" si="2351"/>
        <v>#DIV/0!</v>
      </c>
      <c r="AE1316" s="106" t="e">
        <f t="shared" si="2351"/>
        <v>#DIV/0!</v>
      </c>
      <c r="AF1316" s="107" t="e">
        <f t="shared" si="2351"/>
        <v>#DIV/0!</v>
      </c>
      <c r="AG1316" s="107" t="e">
        <f t="shared" si="2351"/>
        <v>#DIV/0!</v>
      </c>
      <c r="AH1316" s="107" t="e">
        <f t="shared" si="2351"/>
        <v>#DIV/0!</v>
      </c>
      <c r="AI1316" s="108" t="e">
        <f t="shared" si="2351"/>
        <v>#DIV/0!</v>
      </c>
      <c r="AJ1316" s="109" t="e">
        <f t="shared" si="2351"/>
        <v>#DIV/0!</v>
      </c>
      <c r="AK1316" s="110" t="e">
        <f t="shared" si="2351"/>
        <v>#DIV/0!</v>
      </c>
      <c r="AL1316" s="105"/>
    </row>
    <row r="1317" spans="1:38" ht="15.6" hidden="1" thickBot="1">
      <c r="A1317" s="91"/>
      <c r="B1317" s="100"/>
      <c r="C1317" s="111"/>
      <c r="D1317" s="112" t="s">
        <v>103</v>
      </c>
      <c r="E1317" s="113" t="e">
        <f t="shared" ref="E1317:R1317" si="2352">E1315/E1313</f>
        <v>#DIV/0!</v>
      </c>
      <c r="F1317" s="113" t="e">
        <f t="shared" si="2352"/>
        <v>#DIV/0!</v>
      </c>
      <c r="G1317" s="113" t="e">
        <f t="shared" si="2352"/>
        <v>#DIV/0!</v>
      </c>
      <c r="H1317" s="113" t="e">
        <f t="shared" si="2352"/>
        <v>#DIV/0!</v>
      </c>
      <c r="I1317" s="113" t="e">
        <f t="shared" si="2352"/>
        <v>#DIV/0!</v>
      </c>
      <c r="J1317" s="113" t="e">
        <f t="shared" si="2352"/>
        <v>#DIV/0!</v>
      </c>
      <c r="K1317" s="113" t="e">
        <f t="shared" si="2352"/>
        <v>#DIV/0!</v>
      </c>
      <c r="L1317" s="113" t="e">
        <f t="shared" si="2352"/>
        <v>#DIV/0!</v>
      </c>
      <c r="M1317" s="113" t="e">
        <f t="shared" si="2352"/>
        <v>#DIV/0!</v>
      </c>
      <c r="N1317" s="113" t="e">
        <f t="shared" si="2352"/>
        <v>#DIV/0!</v>
      </c>
      <c r="O1317" s="113" t="e">
        <f t="shared" si="2352"/>
        <v>#DIV/0!</v>
      </c>
      <c r="P1317" s="114" t="e">
        <f t="shared" si="2352"/>
        <v>#DIV/0!</v>
      </c>
      <c r="Q1317" s="115" t="e">
        <f t="shared" si="2352"/>
        <v>#DIV/0!</v>
      </c>
      <c r="R1317" s="116" t="e">
        <f t="shared" si="2352"/>
        <v>#DIV/0!</v>
      </c>
      <c r="T1317" s="91"/>
      <c r="U1317" s="100"/>
      <c r="V1317" s="111"/>
      <c r="W1317" s="112" t="s">
        <v>103</v>
      </c>
      <c r="X1317" s="113" t="e">
        <f t="shared" ref="X1317:AK1317" si="2353">X1315/X1313</f>
        <v>#DIV/0!</v>
      </c>
      <c r="Y1317" s="113" t="e">
        <f t="shared" si="2353"/>
        <v>#DIV/0!</v>
      </c>
      <c r="Z1317" s="113" t="e">
        <f t="shared" si="2353"/>
        <v>#DIV/0!</v>
      </c>
      <c r="AA1317" s="113" t="e">
        <f t="shared" si="2353"/>
        <v>#DIV/0!</v>
      </c>
      <c r="AB1317" s="113" t="e">
        <f t="shared" si="2353"/>
        <v>#DIV/0!</v>
      </c>
      <c r="AC1317" s="113" t="e">
        <f t="shared" si="2353"/>
        <v>#DIV/0!</v>
      </c>
      <c r="AD1317" s="113" t="e">
        <f t="shared" si="2353"/>
        <v>#DIV/0!</v>
      </c>
      <c r="AE1317" s="113" t="e">
        <f t="shared" si="2353"/>
        <v>#DIV/0!</v>
      </c>
      <c r="AF1317" s="113" t="e">
        <f t="shared" si="2353"/>
        <v>#DIV/0!</v>
      </c>
      <c r="AG1317" s="113" t="e">
        <f t="shared" si="2353"/>
        <v>#DIV/0!</v>
      </c>
      <c r="AH1317" s="113" t="e">
        <f t="shared" si="2353"/>
        <v>#DIV/0!</v>
      </c>
      <c r="AI1317" s="114" t="e">
        <f t="shared" si="2353"/>
        <v>#DIV/0!</v>
      </c>
      <c r="AJ1317" s="115" t="e">
        <f t="shared" si="2353"/>
        <v>#DIV/0!</v>
      </c>
      <c r="AK1317" s="116" t="e">
        <f t="shared" si="2353"/>
        <v>#DIV/0!</v>
      </c>
    </row>
    <row r="1318" spans="1:38" ht="15.6" hidden="1" thickBot="1">
      <c r="A1318" s="91"/>
      <c r="B1318" s="100"/>
      <c r="C1318" s="86"/>
      <c r="D1318" s="87">
        <v>2019</v>
      </c>
      <c r="E1318" s="88"/>
      <c r="F1318" s="121"/>
      <c r="G1318" s="121"/>
      <c r="H1318" s="121"/>
      <c r="I1318" s="121"/>
      <c r="J1318" s="121"/>
      <c r="K1318" s="121"/>
      <c r="L1318" s="121"/>
      <c r="M1318" s="122"/>
      <c r="N1318" s="122"/>
      <c r="O1318" s="122"/>
      <c r="P1318" s="123"/>
      <c r="Q1318" s="89">
        <f t="shared" ref="Q1318:Q1320" si="2354">SUM(E1318:P1318)</f>
        <v>0</v>
      </c>
      <c r="R1318" s="90">
        <f t="shared" ref="R1318" si="2355">SUM(E1318:M1318)</f>
        <v>0</v>
      </c>
      <c r="T1318" s="91"/>
      <c r="U1318" s="100"/>
      <c r="V1318" s="86">
        <f t="shared" ref="V1318:V1319" si="2356">C1318</f>
        <v>0</v>
      </c>
      <c r="W1318" s="87">
        <v>2019</v>
      </c>
      <c r="X1318" s="88"/>
      <c r="Y1318" s="121"/>
      <c r="Z1318" s="121"/>
      <c r="AA1318" s="121"/>
      <c r="AB1318" s="121"/>
      <c r="AC1318" s="121"/>
      <c r="AD1318" s="121"/>
      <c r="AE1318" s="121"/>
      <c r="AF1318" s="122"/>
      <c r="AG1318" s="122"/>
      <c r="AH1318" s="122"/>
      <c r="AI1318" s="123"/>
      <c r="AJ1318" s="89">
        <f t="shared" ref="AJ1318:AJ1320" si="2357">SUM(X1318:AI1318)</f>
        <v>0</v>
      </c>
      <c r="AK1318" s="90">
        <f t="shared" ref="AK1318:AK1320" si="2358">SUM(X1318:AF1318)</f>
        <v>0</v>
      </c>
    </row>
    <row r="1319" spans="1:38" ht="15.6" hidden="1" thickBot="1">
      <c r="A1319" s="91"/>
      <c r="B1319" s="100"/>
      <c r="C1319" s="92"/>
      <c r="D1319" s="93" t="s">
        <v>92</v>
      </c>
      <c r="E1319" s="94"/>
      <c r="F1319" s="97"/>
      <c r="G1319" s="97"/>
      <c r="H1319" s="97"/>
      <c r="I1319" s="97"/>
      <c r="J1319" s="97"/>
      <c r="K1319" s="97"/>
      <c r="L1319" s="97"/>
      <c r="M1319" s="98"/>
      <c r="N1319" s="98"/>
      <c r="O1319" s="98"/>
      <c r="P1319" s="99"/>
      <c r="Q1319" s="95">
        <f t="shared" si="2354"/>
        <v>0</v>
      </c>
      <c r="R1319" s="96">
        <f t="shared" si="2337"/>
        <v>0</v>
      </c>
      <c r="T1319" s="91"/>
      <c r="U1319" s="100"/>
      <c r="V1319" s="92">
        <f t="shared" si="2356"/>
        <v>0</v>
      </c>
      <c r="W1319" s="93" t="s">
        <v>92</v>
      </c>
      <c r="X1319" s="94"/>
      <c r="Y1319" s="97"/>
      <c r="Z1319" s="97"/>
      <c r="AA1319" s="97"/>
      <c r="AB1319" s="97"/>
      <c r="AC1319" s="97"/>
      <c r="AD1319" s="97"/>
      <c r="AE1319" s="97"/>
      <c r="AF1319" s="98"/>
      <c r="AG1319" s="98"/>
      <c r="AH1319" s="98"/>
      <c r="AI1319" s="99"/>
      <c r="AJ1319" s="95">
        <f t="shared" si="2357"/>
        <v>0</v>
      </c>
      <c r="AK1319" s="96">
        <f t="shared" si="2358"/>
        <v>0</v>
      </c>
    </row>
    <row r="1320" spans="1:38" ht="15.6" hidden="1" thickBot="1">
      <c r="A1320" s="91"/>
      <c r="B1320" s="100"/>
      <c r="C1320" s="92"/>
      <c r="D1320" s="101">
        <v>2020</v>
      </c>
      <c r="E1320" s="102"/>
      <c r="F1320" s="124"/>
      <c r="G1320" s="124"/>
      <c r="H1320" s="124"/>
      <c r="I1320" s="124"/>
      <c r="J1320" s="124"/>
      <c r="K1320" s="124"/>
      <c r="L1320" s="124"/>
      <c r="M1320" s="125"/>
      <c r="N1320" s="125"/>
      <c r="O1320" s="125"/>
      <c r="P1320" s="126"/>
      <c r="Q1320" s="103">
        <f t="shared" si="2354"/>
        <v>0</v>
      </c>
      <c r="R1320" s="104">
        <f t="shared" si="2337"/>
        <v>0</v>
      </c>
      <c r="S1320" s="105"/>
      <c r="T1320" s="91"/>
      <c r="U1320" s="100"/>
      <c r="V1320" s="92"/>
      <c r="W1320" s="101">
        <v>2020</v>
      </c>
      <c r="X1320" s="102"/>
      <c r="Y1320" s="124"/>
      <c r="Z1320" s="124"/>
      <c r="AA1320" s="124"/>
      <c r="AB1320" s="124"/>
      <c r="AC1320" s="124"/>
      <c r="AD1320" s="124"/>
      <c r="AE1320" s="124"/>
      <c r="AF1320" s="125"/>
      <c r="AG1320" s="125"/>
      <c r="AH1320" s="125"/>
      <c r="AI1320" s="126"/>
      <c r="AJ1320" s="103">
        <f t="shared" si="2357"/>
        <v>0</v>
      </c>
      <c r="AK1320" s="104">
        <f t="shared" si="2358"/>
        <v>0</v>
      </c>
      <c r="AL1320" s="105"/>
    </row>
    <row r="1321" spans="1:38" ht="15.6" hidden="1" thickBot="1">
      <c r="A1321" s="91"/>
      <c r="B1321" s="100"/>
      <c r="C1321" s="92"/>
      <c r="D1321" s="101" t="s">
        <v>102</v>
      </c>
      <c r="E1321" s="106" t="e">
        <f t="shared" ref="E1321:R1321" si="2359">E1320/E1319</f>
        <v>#DIV/0!</v>
      </c>
      <c r="F1321" s="106" t="e">
        <f t="shared" si="2359"/>
        <v>#DIV/0!</v>
      </c>
      <c r="G1321" s="106" t="e">
        <f t="shared" si="2359"/>
        <v>#DIV/0!</v>
      </c>
      <c r="H1321" s="106" t="e">
        <f t="shared" si="2359"/>
        <v>#DIV/0!</v>
      </c>
      <c r="I1321" s="106" t="e">
        <f t="shared" si="2359"/>
        <v>#DIV/0!</v>
      </c>
      <c r="J1321" s="106" t="e">
        <f t="shared" si="2359"/>
        <v>#DIV/0!</v>
      </c>
      <c r="K1321" s="106" t="e">
        <f t="shared" si="2359"/>
        <v>#DIV/0!</v>
      </c>
      <c r="L1321" s="106" t="e">
        <f t="shared" si="2359"/>
        <v>#DIV/0!</v>
      </c>
      <c r="M1321" s="107" t="e">
        <f t="shared" si="2359"/>
        <v>#DIV/0!</v>
      </c>
      <c r="N1321" s="107" t="e">
        <f t="shared" si="2359"/>
        <v>#DIV/0!</v>
      </c>
      <c r="O1321" s="107" t="e">
        <f t="shared" si="2359"/>
        <v>#DIV/0!</v>
      </c>
      <c r="P1321" s="108" t="e">
        <f t="shared" si="2359"/>
        <v>#DIV/0!</v>
      </c>
      <c r="Q1321" s="109" t="e">
        <f t="shared" si="2359"/>
        <v>#DIV/0!</v>
      </c>
      <c r="R1321" s="110" t="e">
        <f t="shared" si="2359"/>
        <v>#DIV/0!</v>
      </c>
      <c r="S1321" s="105"/>
      <c r="T1321" s="91"/>
      <c r="U1321" s="100"/>
      <c r="V1321" s="92"/>
      <c r="W1321" s="101" t="s">
        <v>102</v>
      </c>
      <c r="X1321" s="106" t="e">
        <f t="shared" ref="X1321:AK1321" si="2360">X1320/X1319</f>
        <v>#DIV/0!</v>
      </c>
      <c r="Y1321" s="106" t="e">
        <f t="shared" si="2360"/>
        <v>#DIV/0!</v>
      </c>
      <c r="Z1321" s="106" t="e">
        <f t="shared" si="2360"/>
        <v>#DIV/0!</v>
      </c>
      <c r="AA1321" s="106" t="e">
        <f t="shared" si="2360"/>
        <v>#DIV/0!</v>
      </c>
      <c r="AB1321" s="106" t="e">
        <f t="shared" si="2360"/>
        <v>#DIV/0!</v>
      </c>
      <c r="AC1321" s="106" t="e">
        <f t="shared" si="2360"/>
        <v>#DIV/0!</v>
      </c>
      <c r="AD1321" s="106" t="e">
        <f t="shared" si="2360"/>
        <v>#DIV/0!</v>
      </c>
      <c r="AE1321" s="106" t="e">
        <f t="shared" si="2360"/>
        <v>#DIV/0!</v>
      </c>
      <c r="AF1321" s="107" t="e">
        <f t="shared" si="2360"/>
        <v>#DIV/0!</v>
      </c>
      <c r="AG1321" s="107" t="e">
        <f t="shared" si="2360"/>
        <v>#DIV/0!</v>
      </c>
      <c r="AH1321" s="107" t="e">
        <f t="shared" si="2360"/>
        <v>#DIV/0!</v>
      </c>
      <c r="AI1321" s="108" t="e">
        <f t="shared" si="2360"/>
        <v>#DIV/0!</v>
      </c>
      <c r="AJ1321" s="109" t="e">
        <f t="shared" si="2360"/>
        <v>#DIV/0!</v>
      </c>
      <c r="AK1321" s="110" t="e">
        <f t="shared" si="2360"/>
        <v>#DIV/0!</v>
      </c>
      <c r="AL1321" s="105"/>
    </row>
    <row r="1322" spans="1:38" ht="15.6" hidden="1" thickBot="1">
      <c r="A1322" s="91"/>
      <c r="B1322" s="100"/>
      <c r="C1322" s="111"/>
      <c r="D1322" s="112" t="s">
        <v>103</v>
      </c>
      <c r="E1322" s="113" t="e">
        <f t="shared" ref="E1322:R1322" si="2361">E1320/E1318</f>
        <v>#DIV/0!</v>
      </c>
      <c r="F1322" s="113" t="e">
        <f t="shared" si="2361"/>
        <v>#DIV/0!</v>
      </c>
      <c r="G1322" s="113" t="e">
        <f t="shared" si="2361"/>
        <v>#DIV/0!</v>
      </c>
      <c r="H1322" s="113" t="e">
        <f t="shared" si="2361"/>
        <v>#DIV/0!</v>
      </c>
      <c r="I1322" s="113" t="e">
        <f t="shared" si="2361"/>
        <v>#DIV/0!</v>
      </c>
      <c r="J1322" s="113" t="e">
        <f t="shared" si="2361"/>
        <v>#DIV/0!</v>
      </c>
      <c r="K1322" s="113" t="e">
        <f t="shared" si="2361"/>
        <v>#DIV/0!</v>
      </c>
      <c r="L1322" s="113" t="e">
        <f t="shared" si="2361"/>
        <v>#DIV/0!</v>
      </c>
      <c r="M1322" s="113" t="e">
        <f t="shared" si="2361"/>
        <v>#DIV/0!</v>
      </c>
      <c r="N1322" s="113" t="e">
        <f t="shared" si="2361"/>
        <v>#DIV/0!</v>
      </c>
      <c r="O1322" s="113" t="e">
        <f t="shared" si="2361"/>
        <v>#DIV/0!</v>
      </c>
      <c r="P1322" s="114" t="e">
        <f t="shared" si="2361"/>
        <v>#DIV/0!</v>
      </c>
      <c r="Q1322" s="115" t="e">
        <f t="shared" si="2361"/>
        <v>#DIV/0!</v>
      </c>
      <c r="R1322" s="116" t="e">
        <f t="shared" si="2361"/>
        <v>#DIV/0!</v>
      </c>
      <c r="T1322" s="91"/>
      <c r="U1322" s="100"/>
      <c r="V1322" s="111"/>
      <c r="W1322" s="112" t="s">
        <v>103</v>
      </c>
      <c r="X1322" s="113" t="e">
        <f t="shared" ref="X1322:AK1322" si="2362">X1320/X1318</f>
        <v>#DIV/0!</v>
      </c>
      <c r="Y1322" s="113" t="e">
        <f t="shared" si="2362"/>
        <v>#DIV/0!</v>
      </c>
      <c r="Z1322" s="113" t="e">
        <f t="shared" si="2362"/>
        <v>#DIV/0!</v>
      </c>
      <c r="AA1322" s="113" t="e">
        <f t="shared" si="2362"/>
        <v>#DIV/0!</v>
      </c>
      <c r="AB1322" s="113" t="e">
        <f t="shared" si="2362"/>
        <v>#DIV/0!</v>
      </c>
      <c r="AC1322" s="113" t="e">
        <f t="shared" si="2362"/>
        <v>#DIV/0!</v>
      </c>
      <c r="AD1322" s="113" t="e">
        <f t="shared" si="2362"/>
        <v>#DIV/0!</v>
      </c>
      <c r="AE1322" s="113" t="e">
        <f t="shared" si="2362"/>
        <v>#DIV/0!</v>
      </c>
      <c r="AF1322" s="113" t="e">
        <f t="shared" si="2362"/>
        <v>#DIV/0!</v>
      </c>
      <c r="AG1322" s="113" t="e">
        <f t="shared" si="2362"/>
        <v>#DIV/0!</v>
      </c>
      <c r="AH1322" s="113" t="e">
        <f t="shared" si="2362"/>
        <v>#DIV/0!</v>
      </c>
      <c r="AI1322" s="114" t="e">
        <f t="shared" si="2362"/>
        <v>#DIV/0!</v>
      </c>
      <c r="AJ1322" s="115" t="e">
        <f t="shared" si="2362"/>
        <v>#DIV/0!</v>
      </c>
      <c r="AK1322" s="116" t="e">
        <f t="shared" si="2362"/>
        <v>#DIV/0!</v>
      </c>
    </row>
    <row r="1323" spans="1:38" ht="15.6" hidden="1" thickBot="1">
      <c r="A1323" s="91"/>
      <c r="B1323" s="100"/>
      <c r="C1323" s="86"/>
      <c r="D1323" s="87">
        <v>2019</v>
      </c>
      <c r="E1323" s="88"/>
      <c r="F1323" s="121"/>
      <c r="G1323" s="121"/>
      <c r="H1323" s="121"/>
      <c r="I1323" s="121"/>
      <c r="J1323" s="121"/>
      <c r="K1323" s="121"/>
      <c r="L1323" s="121"/>
      <c r="M1323" s="122"/>
      <c r="N1323" s="122"/>
      <c r="O1323" s="122"/>
      <c r="P1323" s="123"/>
      <c r="Q1323" s="89">
        <f t="shared" ref="Q1323:Q1325" si="2363">SUM(E1323:P1323)</f>
        <v>0</v>
      </c>
      <c r="R1323" s="90">
        <f t="shared" ref="R1323" si="2364">SUM(E1323:M1323)</f>
        <v>0</v>
      </c>
      <c r="T1323" s="91"/>
      <c r="U1323" s="100"/>
      <c r="V1323" s="86">
        <f t="shared" ref="V1323:V1324" si="2365">C1323</f>
        <v>0</v>
      </c>
      <c r="W1323" s="87">
        <v>2019</v>
      </c>
      <c r="X1323" s="88"/>
      <c r="Y1323" s="121"/>
      <c r="Z1323" s="121"/>
      <c r="AA1323" s="121"/>
      <c r="AB1323" s="121"/>
      <c r="AC1323" s="121"/>
      <c r="AD1323" s="121"/>
      <c r="AE1323" s="121"/>
      <c r="AF1323" s="122"/>
      <c r="AG1323" s="122"/>
      <c r="AH1323" s="122"/>
      <c r="AI1323" s="123"/>
      <c r="AJ1323" s="89">
        <f t="shared" ref="AJ1323:AJ1325" si="2366">SUM(X1323:AI1323)</f>
        <v>0</v>
      </c>
      <c r="AK1323" s="90">
        <f t="shared" ref="AK1323:AK1325" si="2367">SUM(X1323:AF1323)</f>
        <v>0</v>
      </c>
    </row>
    <row r="1324" spans="1:38" ht="15.6" hidden="1" thickBot="1">
      <c r="A1324" s="91"/>
      <c r="B1324" s="100"/>
      <c r="C1324" s="92"/>
      <c r="D1324" s="93" t="s">
        <v>92</v>
      </c>
      <c r="E1324" s="94"/>
      <c r="F1324" s="97"/>
      <c r="G1324" s="97"/>
      <c r="H1324" s="97"/>
      <c r="I1324" s="97"/>
      <c r="J1324" s="97"/>
      <c r="K1324" s="97"/>
      <c r="L1324" s="97"/>
      <c r="M1324" s="98"/>
      <c r="N1324" s="98"/>
      <c r="O1324" s="98"/>
      <c r="P1324" s="99"/>
      <c r="Q1324" s="95">
        <f t="shared" si="2363"/>
        <v>0</v>
      </c>
      <c r="R1324" s="96">
        <f t="shared" si="2337"/>
        <v>0</v>
      </c>
      <c r="T1324" s="91"/>
      <c r="U1324" s="100"/>
      <c r="V1324" s="92">
        <f t="shared" si="2365"/>
        <v>0</v>
      </c>
      <c r="W1324" s="93" t="s">
        <v>92</v>
      </c>
      <c r="X1324" s="94"/>
      <c r="Y1324" s="97"/>
      <c r="Z1324" s="97"/>
      <c r="AA1324" s="97"/>
      <c r="AB1324" s="97"/>
      <c r="AC1324" s="97"/>
      <c r="AD1324" s="97"/>
      <c r="AE1324" s="97"/>
      <c r="AF1324" s="98"/>
      <c r="AG1324" s="98"/>
      <c r="AH1324" s="98"/>
      <c r="AI1324" s="99"/>
      <c r="AJ1324" s="95">
        <f t="shared" si="2366"/>
        <v>0</v>
      </c>
      <c r="AK1324" s="96">
        <f t="shared" si="2367"/>
        <v>0</v>
      </c>
    </row>
    <row r="1325" spans="1:38" ht="15.6" hidden="1" thickBot="1">
      <c r="A1325" s="91"/>
      <c r="B1325" s="100"/>
      <c r="C1325" s="92"/>
      <c r="D1325" s="101">
        <v>2020</v>
      </c>
      <c r="E1325" s="102"/>
      <c r="F1325" s="124"/>
      <c r="G1325" s="124"/>
      <c r="H1325" s="124"/>
      <c r="I1325" s="124"/>
      <c r="J1325" s="124"/>
      <c r="K1325" s="124"/>
      <c r="L1325" s="124"/>
      <c r="M1325" s="125"/>
      <c r="N1325" s="125"/>
      <c r="O1325" s="125"/>
      <c r="P1325" s="126"/>
      <c r="Q1325" s="103">
        <f t="shared" si="2363"/>
        <v>0</v>
      </c>
      <c r="R1325" s="104">
        <f t="shared" si="2337"/>
        <v>0</v>
      </c>
      <c r="S1325" s="105"/>
      <c r="T1325" s="91"/>
      <c r="U1325" s="100"/>
      <c r="V1325" s="92"/>
      <c r="W1325" s="101">
        <v>2020</v>
      </c>
      <c r="X1325" s="102"/>
      <c r="Y1325" s="124"/>
      <c r="Z1325" s="124"/>
      <c r="AA1325" s="124"/>
      <c r="AB1325" s="124"/>
      <c r="AC1325" s="124"/>
      <c r="AD1325" s="124"/>
      <c r="AE1325" s="124"/>
      <c r="AF1325" s="125"/>
      <c r="AG1325" s="125"/>
      <c r="AH1325" s="125"/>
      <c r="AI1325" s="126"/>
      <c r="AJ1325" s="103">
        <f t="shared" si="2366"/>
        <v>0</v>
      </c>
      <c r="AK1325" s="104">
        <f t="shared" si="2367"/>
        <v>0</v>
      </c>
      <c r="AL1325" s="105"/>
    </row>
    <row r="1326" spans="1:38" ht="15.6" hidden="1" thickBot="1">
      <c r="A1326" s="91"/>
      <c r="B1326" s="100"/>
      <c r="C1326" s="92"/>
      <c r="D1326" s="101" t="s">
        <v>102</v>
      </c>
      <c r="E1326" s="106" t="e">
        <f t="shared" ref="E1326:R1326" si="2368">E1325/E1324</f>
        <v>#DIV/0!</v>
      </c>
      <c r="F1326" s="106" t="e">
        <f t="shared" si="2368"/>
        <v>#DIV/0!</v>
      </c>
      <c r="G1326" s="106" t="e">
        <f t="shared" si="2368"/>
        <v>#DIV/0!</v>
      </c>
      <c r="H1326" s="106" t="e">
        <f t="shared" si="2368"/>
        <v>#DIV/0!</v>
      </c>
      <c r="I1326" s="106" t="e">
        <f t="shared" si="2368"/>
        <v>#DIV/0!</v>
      </c>
      <c r="J1326" s="106" t="e">
        <f t="shared" si="2368"/>
        <v>#DIV/0!</v>
      </c>
      <c r="K1326" s="106" t="e">
        <f t="shared" si="2368"/>
        <v>#DIV/0!</v>
      </c>
      <c r="L1326" s="106" t="e">
        <f t="shared" si="2368"/>
        <v>#DIV/0!</v>
      </c>
      <c r="M1326" s="107" t="e">
        <f t="shared" si="2368"/>
        <v>#DIV/0!</v>
      </c>
      <c r="N1326" s="107" t="e">
        <f t="shared" si="2368"/>
        <v>#DIV/0!</v>
      </c>
      <c r="O1326" s="107" t="e">
        <f t="shared" si="2368"/>
        <v>#DIV/0!</v>
      </c>
      <c r="P1326" s="108" t="e">
        <f t="shared" si="2368"/>
        <v>#DIV/0!</v>
      </c>
      <c r="Q1326" s="109" t="e">
        <f t="shared" si="2368"/>
        <v>#DIV/0!</v>
      </c>
      <c r="R1326" s="110" t="e">
        <f t="shared" si="2368"/>
        <v>#DIV/0!</v>
      </c>
      <c r="S1326" s="105"/>
      <c r="T1326" s="91"/>
      <c r="U1326" s="100"/>
      <c r="V1326" s="92"/>
      <c r="W1326" s="101" t="s">
        <v>102</v>
      </c>
      <c r="X1326" s="106" t="e">
        <f t="shared" ref="X1326:AK1326" si="2369">X1325/X1324</f>
        <v>#DIV/0!</v>
      </c>
      <c r="Y1326" s="106" t="e">
        <f t="shared" si="2369"/>
        <v>#DIV/0!</v>
      </c>
      <c r="Z1326" s="106" t="e">
        <f t="shared" si="2369"/>
        <v>#DIV/0!</v>
      </c>
      <c r="AA1326" s="106" t="e">
        <f t="shared" si="2369"/>
        <v>#DIV/0!</v>
      </c>
      <c r="AB1326" s="106" t="e">
        <f t="shared" si="2369"/>
        <v>#DIV/0!</v>
      </c>
      <c r="AC1326" s="106" t="e">
        <f t="shared" si="2369"/>
        <v>#DIV/0!</v>
      </c>
      <c r="AD1326" s="106" t="e">
        <f t="shared" si="2369"/>
        <v>#DIV/0!</v>
      </c>
      <c r="AE1326" s="106" t="e">
        <f t="shared" si="2369"/>
        <v>#DIV/0!</v>
      </c>
      <c r="AF1326" s="107" t="e">
        <f t="shared" si="2369"/>
        <v>#DIV/0!</v>
      </c>
      <c r="AG1326" s="107" t="e">
        <f t="shared" si="2369"/>
        <v>#DIV/0!</v>
      </c>
      <c r="AH1326" s="107" t="e">
        <f t="shared" si="2369"/>
        <v>#DIV/0!</v>
      </c>
      <c r="AI1326" s="108" t="e">
        <f t="shared" si="2369"/>
        <v>#DIV/0!</v>
      </c>
      <c r="AJ1326" s="109" t="e">
        <f t="shared" si="2369"/>
        <v>#DIV/0!</v>
      </c>
      <c r="AK1326" s="110" t="e">
        <f t="shared" si="2369"/>
        <v>#DIV/0!</v>
      </c>
      <c r="AL1326" s="105"/>
    </row>
    <row r="1327" spans="1:38" ht="15.6" hidden="1" thickBot="1">
      <c r="A1327" s="91"/>
      <c r="B1327" s="100"/>
      <c r="C1327" s="111"/>
      <c r="D1327" s="112" t="s">
        <v>103</v>
      </c>
      <c r="E1327" s="113" t="e">
        <f t="shared" ref="E1327:R1327" si="2370">E1325/E1323</f>
        <v>#DIV/0!</v>
      </c>
      <c r="F1327" s="113" t="e">
        <f t="shared" si="2370"/>
        <v>#DIV/0!</v>
      </c>
      <c r="G1327" s="113" t="e">
        <f t="shared" si="2370"/>
        <v>#DIV/0!</v>
      </c>
      <c r="H1327" s="113" t="e">
        <f t="shared" si="2370"/>
        <v>#DIV/0!</v>
      </c>
      <c r="I1327" s="113" t="e">
        <f t="shared" si="2370"/>
        <v>#DIV/0!</v>
      </c>
      <c r="J1327" s="113" t="e">
        <f t="shared" si="2370"/>
        <v>#DIV/0!</v>
      </c>
      <c r="K1327" s="113" t="e">
        <f t="shared" si="2370"/>
        <v>#DIV/0!</v>
      </c>
      <c r="L1327" s="113" t="e">
        <f t="shared" si="2370"/>
        <v>#DIV/0!</v>
      </c>
      <c r="M1327" s="113" t="e">
        <f t="shared" si="2370"/>
        <v>#DIV/0!</v>
      </c>
      <c r="N1327" s="113" t="e">
        <f t="shared" si="2370"/>
        <v>#DIV/0!</v>
      </c>
      <c r="O1327" s="113" t="e">
        <f t="shared" si="2370"/>
        <v>#DIV/0!</v>
      </c>
      <c r="P1327" s="114" t="e">
        <f t="shared" si="2370"/>
        <v>#DIV/0!</v>
      </c>
      <c r="Q1327" s="115" t="e">
        <f t="shared" si="2370"/>
        <v>#DIV/0!</v>
      </c>
      <c r="R1327" s="116" t="e">
        <f t="shared" si="2370"/>
        <v>#DIV/0!</v>
      </c>
      <c r="T1327" s="91"/>
      <c r="U1327" s="100"/>
      <c r="V1327" s="111"/>
      <c r="W1327" s="112" t="s">
        <v>103</v>
      </c>
      <c r="X1327" s="113" t="e">
        <f t="shared" ref="X1327:AK1327" si="2371">X1325/X1323</f>
        <v>#DIV/0!</v>
      </c>
      <c r="Y1327" s="113" t="e">
        <f t="shared" si="2371"/>
        <v>#DIV/0!</v>
      </c>
      <c r="Z1327" s="113" t="e">
        <f t="shared" si="2371"/>
        <v>#DIV/0!</v>
      </c>
      <c r="AA1327" s="113" t="e">
        <f t="shared" si="2371"/>
        <v>#DIV/0!</v>
      </c>
      <c r="AB1327" s="113" t="e">
        <f t="shared" si="2371"/>
        <v>#DIV/0!</v>
      </c>
      <c r="AC1327" s="113" t="e">
        <f t="shared" si="2371"/>
        <v>#DIV/0!</v>
      </c>
      <c r="AD1327" s="113" t="e">
        <f t="shared" si="2371"/>
        <v>#DIV/0!</v>
      </c>
      <c r="AE1327" s="113" t="e">
        <f t="shared" si="2371"/>
        <v>#DIV/0!</v>
      </c>
      <c r="AF1327" s="113" t="e">
        <f t="shared" si="2371"/>
        <v>#DIV/0!</v>
      </c>
      <c r="AG1327" s="113" t="e">
        <f t="shared" si="2371"/>
        <v>#DIV/0!</v>
      </c>
      <c r="AH1327" s="113" t="e">
        <f t="shared" si="2371"/>
        <v>#DIV/0!</v>
      </c>
      <c r="AI1327" s="114" t="e">
        <f t="shared" si="2371"/>
        <v>#DIV/0!</v>
      </c>
      <c r="AJ1327" s="115" t="e">
        <f t="shared" si="2371"/>
        <v>#DIV/0!</v>
      </c>
      <c r="AK1327" s="116" t="e">
        <f t="shared" si="2371"/>
        <v>#DIV/0!</v>
      </c>
    </row>
    <row r="1328" spans="1:38" ht="15.6" hidden="1" thickBot="1">
      <c r="A1328" s="91"/>
      <c r="B1328" s="100"/>
      <c r="C1328" s="86"/>
      <c r="D1328" s="87">
        <v>2019</v>
      </c>
      <c r="E1328" s="88"/>
      <c r="F1328" s="121"/>
      <c r="G1328" s="121"/>
      <c r="H1328" s="121"/>
      <c r="I1328" s="121"/>
      <c r="J1328" s="121"/>
      <c r="K1328" s="121"/>
      <c r="L1328" s="121"/>
      <c r="M1328" s="122"/>
      <c r="N1328" s="122"/>
      <c r="O1328" s="122"/>
      <c r="P1328" s="123"/>
      <c r="Q1328" s="89">
        <f t="shared" ref="Q1328:Q1330" si="2372">SUM(E1328:P1328)</f>
        <v>0</v>
      </c>
      <c r="R1328" s="90">
        <f t="shared" ref="R1328" si="2373">SUM(E1328:M1328)</f>
        <v>0</v>
      </c>
      <c r="T1328" s="91"/>
      <c r="U1328" s="100"/>
      <c r="V1328" s="86">
        <f t="shared" ref="V1328:V1329" si="2374">C1328</f>
        <v>0</v>
      </c>
      <c r="W1328" s="87">
        <v>2019</v>
      </c>
      <c r="X1328" s="88"/>
      <c r="Y1328" s="121"/>
      <c r="Z1328" s="121"/>
      <c r="AA1328" s="121"/>
      <c r="AB1328" s="121"/>
      <c r="AC1328" s="121"/>
      <c r="AD1328" s="121"/>
      <c r="AE1328" s="121"/>
      <c r="AF1328" s="122"/>
      <c r="AG1328" s="122"/>
      <c r="AH1328" s="122"/>
      <c r="AI1328" s="123"/>
      <c r="AJ1328" s="89">
        <f t="shared" ref="AJ1328:AJ1330" si="2375">SUM(X1328:AI1328)</f>
        <v>0</v>
      </c>
      <c r="AK1328" s="90">
        <f t="shared" ref="AK1328:AK1330" si="2376">SUM(X1328:AF1328)</f>
        <v>0</v>
      </c>
    </row>
    <row r="1329" spans="1:38" ht="15.6" hidden="1" thickBot="1">
      <c r="A1329" s="91"/>
      <c r="B1329" s="100"/>
      <c r="C1329" s="92"/>
      <c r="D1329" s="93" t="s">
        <v>92</v>
      </c>
      <c r="E1329" s="94"/>
      <c r="F1329" s="97"/>
      <c r="G1329" s="97"/>
      <c r="H1329" s="97"/>
      <c r="I1329" s="97"/>
      <c r="J1329" s="97"/>
      <c r="K1329" s="97"/>
      <c r="L1329" s="97"/>
      <c r="M1329" s="98"/>
      <c r="N1329" s="98"/>
      <c r="O1329" s="98"/>
      <c r="P1329" s="99"/>
      <c r="Q1329" s="95">
        <f t="shared" si="2372"/>
        <v>0</v>
      </c>
      <c r="R1329" s="96">
        <f t="shared" si="2337"/>
        <v>0</v>
      </c>
      <c r="T1329" s="91"/>
      <c r="U1329" s="100"/>
      <c r="V1329" s="92">
        <f t="shared" si="2374"/>
        <v>0</v>
      </c>
      <c r="W1329" s="93" t="s">
        <v>92</v>
      </c>
      <c r="X1329" s="94"/>
      <c r="Y1329" s="97"/>
      <c r="Z1329" s="97"/>
      <c r="AA1329" s="97"/>
      <c r="AB1329" s="97"/>
      <c r="AC1329" s="97"/>
      <c r="AD1329" s="97"/>
      <c r="AE1329" s="97"/>
      <c r="AF1329" s="98"/>
      <c r="AG1329" s="98"/>
      <c r="AH1329" s="98"/>
      <c r="AI1329" s="99"/>
      <c r="AJ1329" s="95">
        <f t="shared" si="2375"/>
        <v>0</v>
      </c>
      <c r="AK1329" s="96">
        <f t="shared" si="2376"/>
        <v>0</v>
      </c>
    </row>
    <row r="1330" spans="1:38" ht="15.6" hidden="1" thickBot="1">
      <c r="A1330" s="91"/>
      <c r="B1330" s="100"/>
      <c r="C1330" s="92"/>
      <c r="D1330" s="101">
        <v>2020</v>
      </c>
      <c r="E1330" s="102"/>
      <c r="F1330" s="124"/>
      <c r="G1330" s="124"/>
      <c r="H1330" s="124"/>
      <c r="I1330" s="124"/>
      <c r="J1330" s="124"/>
      <c r="K1330" s="124"/>
      <c r="L1330" s="124"/>
      <c r="M1330" s="125"/>
      <c r="N1330" s="125"/>
      <c r="O1330" s="125"/>
      <c r="P1330" s="126"/>
      <c r="Q1330" s="103">
        <f t="shared" si="2372"/>
        <v>0</v>
      </c>
      <c r="R1330" s="104">
        <f t="shared" si="2337"/>
        <v>0</v>
      </c>
      <c r="S1330" s="105"/>
      <c r="T1330" s="91"/>
      <c r="U1330" s="100"/>
      <c r="V1330" s="92"/>
      <c r="W1330" s="101">
        <v>2020</v>
      </c>
      <c r="X1330" s="102"/>
      <c r="Y1330" s="124"/>
      <c r="Z1330" s="124"/>
      <c r="AA1330" s="124"/>
      <c r="AB1330" s="124"/>
      <c r="AC1330" s="124"/>
      <c r="AD1330" s="124"/>
      <c r="AE1330" s="124"/>
      <c r="AF1330" s="125"/>
      <c r="AG1330" s="125"/>
      <c r="AH1330" s="125"/>
      <c r="AI1330" s="126"/>
      <c r="AJ1330" s="103">
        <f t="shared" si="2375"/>
        <v>0</v>
      </c>
      <c r="AK1330" s="104">
        <f t="shared" si="2376"/>
        <v>0</v>
      </c>
      <c r="AL1330" s="105"/>
    </row>
    <row r="1331" spans="1:38" ht="15.6" hidden="1" thickBot="1">
      <c r="A1331" s="91"/>
      <c r="B1331" s="100"/>
      <c r="C1331" s="92"/>
      <c r="D1331" s="101" t="s">
        <v>102</v>
      </c>
      <c r="E1331" s="106" t="e">
        <f t="shared" ref="E1331:R1331" si="2377">E1330/E1329</f>
        <v>#DIV/0!</v>
      </c>
      <c r="F1331" s="106" t="e">
        <f t="shared" si="2377"/>
        <v>#DIV/0!</v>
      </c>
      <c r="G1331" s="106" t="e">
        <f t="shared" si="2377"/>
        <v>#DIV/0!</v>
      </c>
      <c r="H1331" s="106" t="e">
        <f t="shared" si="2377"/>
        <v>#DIV/0!</v>
      </c>
      <c r="I1331" s="106" t="e">
        <f t="shared" si="2377"/>
        <v>#DIV/0!</v>
      </c>
      <c r="J1331" s="106" t="e">
        <f t="shared" si="2377"/>
        <v>#DIV/0!</v>
      </c>
      <c r="K1331" s="106" t="e">
        <f t="shared" si="2377"/>
        <v>#DIV/0!</v>
      </c>
      <c r="L1331" s="106" t="e">
        <f t="shared" si="2377"/>
        <v>#DIV/0!</v>
      </c>
      <c r="M1331" s="107" t="e">
        <f t="shared" si="2377"/>
        <v>#DIV/0!</v>
      </c>
      <c r="N1331" s="107" t="e">
        <f t="shared" si="2377"/>
        <v>#DIV/0!</v>
      </c>
      <c r="O1331" s="107" t="e">
        <f t="shared" si="2377"/>
        <v>#DIV/0!</v>
      </c>
      <c r="P1331" s="108" t="e">
        <f t="shared" si="2377"/>
        <v>#DIV/0!</v>
      </c>
      <c r="Q1331" s="109" t="e">
        <f t="shared" si="2377"/>
        <v>#DIV/0!</v>
      </c>
      <c r="R1331" s="110" t="e">
        <f t="shared" si="2377"/>
        <v>#DIV/0!</v>
      </c>
      <c r="S1331" s="105"/>
      <c r="T1331" s="91"/>
      <c r="U1331" s="100"/>
      <c r="V1331" s="92"/>
      <c r="W1331" s="101" t="s">
        <v>102</v>
      </c>
      <c r="X1331" s="106" t="e">
        <f t="shared" ref="X1331:AK1331" si="2378">X1330/X1329</f>
        <v>#DIV/0!</v>
      </c>
      <c r="Y1331" s="106" t="e">
        <f t="shared" si="2378"/>
        <v>#DIV/0!</v>
      </c>
      <c r="Z1331" s="106" t="e">
        <f t="shared" si="2378"/>
        <v>#DIV/0!</v>
      </c>
      <c r="AA1331" s="106" t="e">
        <f t="shared" si="2378"/>
        <v>#DIV/0!</v>
      </c>
      <c r="AB1331" s="106" t="e">
        <f t="shared" si="2378"/>
        <v>#DIV/0!</v>
      </c>
      <c r="AC1331" s="106" t="e">
        <f t="shared" si="2378"/>
        <v>#DIV/0!</v>
      </c>
      <c r="AD1331" s="106" t="e">
        <f t="shared" si="2378"/>
        <v>#DIV/0!</v>
      </c>
      <c r="AE1331" s="106" t="e">
        <f t="shared" si="2378"/>
        <v>#DIV/0!</v>
      </c>
      <c r="AF1331" s="107" t="e">
        <f t="shared" si="2378"/>
        <v>#DIV/0!</v>
      </c>
      <c r="AG1331" s="107" t="e">
        <f t="shared" si="2378"/>
        <v>#DIV/0!</v>
      </c>
      <c r="AH1331" s="107" t="e">
        <f t="shared" si="2378"/>
        <v>#DIV/0!</v>
      </c>
      <c r="AI1331" s="108" t="e">
        <f t="shared" si="2378"/>
        <v>#DIV/0!</v>
      </c>
      <c r="AJ1331" s="109" t="e">
        <f t="shared" si="2378"/>
        <v>#DIV/0!</v>
      </c>
      <c r="AK1331" s="110" t="e">
        <f t="shared" si="2378"/>
        <v>#DIV/0!</v>
      </c>
      <c r="AL1331" s="105"/>
    </row>
    <row r="1332" spans="1:38" ht="15.6" hidden="1" thickBot="1">
      <c r="A1332" s="91"/>
      <c r="B1332" s="100"/>
      <c r="C1332" s="111"/>
      <c r="D1332" s="112" t="s">
        <v>103</v>
      </c>
      <c r="E1332" s="113" t="e">
        <f t="shared" ref="E1332:R1332" si="2379">E1330/E1328</f>
        <v>#DIV/0!</v>
      </c>
      <c r="F1332" s="113" t="e">
        <f t="shared" si="2379"/>
        <v>#DIV/0!</v>
      </c>
      <c r="G1332" s="113" t="e">
        <f t="shared" si="2379"/>
        <v>#DIV/0!</v>
      </c>
      <c r="H1332" s="113" t="e">
        <f t="shared" si="2379"/>
        <v>#DIV/0!</v>
      </c>
      <c r="I1332" s="113" t="e">
        <f t="shared" si="2379"/>
        <v>#DIV/0!</v>
      </c>
      <c r="J1332" s="113" t="e">
        <f t="shared" si="2379"/>
        <v>#DIV/0!</v>
      </c>
      <c r="K1332" s="113" t="e">
        <f t="shared" si="2379"/>
        <v>#DIV/0!</v>
      </c>
      <c r="L1332" s="113" t="e">
        <f t="shared" si="2379"/>
        <v>#DIV/0!</v>
      </c>
      <c r="M1332" s="113" t="e">
        <f t="shared" si="2379"/>
        <v>#DIV/0!</v>
      </c>
      <c r="N1332" s="113" t="e">
        <f t="shared" si="2379"/>
        <v>#DIV/0!</v>
      </c>
      <c r="O1332" s="113" t="e">
        <f t="shared" si="2379"/>
        <v>#DIV/0!</v>
      </c>
      <c r="P1332" s="114" t="e">
        <f t="shared" si="2379"/>
        <v>#DIV/0!</v>
      </c>
      <c r="Q1332" s="115" t="e">
        <f t="shared" si="2379"/>
        <v>#DIV/0!</v>
      </c>
      <c r="R1332" s="116" t="e">
        <f t="shared" si="2379"/>
        <v>#DIV/0!</v>
      </c>
      <c r="T1332" s="91"/>
      <c r="U1332" s="100"/>
      <c r="V1332" s="111"/>
      <c r="W1332" s="112" t="s">
        <v>103</v>
      </c>
      <c r="X1332" s="113" t="e">
        <f t="shared" ref="X1332:AK1332" si="2380">X1330/X1328</f>
        <v>#DIV/0!</v>
      </c>
      <c r="Y1332" s="113" t="e">
        <f t="shared" si="2380"/>
        <v>#DIV/0!</v>
      </c>
      <c r="Z1332" s="113" t="e">
        <f t="shared" si="2380"/>
        <v>#DIV/0!</v>
      </c>
      <c r="AA1332" s="113" t="e">
        <f t="shared" si="2380"/>
        <v>#DIV/0!</v>
      </c>
      <c r="AB1332" s="113" t="e">
        <f t="shared" si="2380"/>
        <v>#DIV/0!</v>
      </c>
      <c r="AC1332" s="113" t="e">
        <f t="shared" si="2380"/>
        <v>#DIV/0!</v>
      </c>
      <c r="AD1332" s="113" t="e">
        <f t="shared" si="2380"/>
        <v>#DIV/0!</v>
      </c>
      <c r="AE1332" s="113" t="e">
        <f t="shared" si="2380"/>
        <v>#DIV/0!</v>
      </c>
      <c r="AF1332" s="113" t="e">
        <f t="shared" si="2380"/>
        <v>#DIV/0!</v>
      </c>
      <c r="AG1332" s="113" t="e">
        <f t="shared" si="2380"/>
        <v>#DIV/0!</v>
      </c>
      <c r="AH1332" s="113" t="e">
        <f t="shared" si="2380"/>
        <v>#DIV/0!</v>
      </c>
      <c r="AI1332" s="114" t="e">
        <f t="shared" si="2380"/>
        <v>#DIV/0!</v>
      </c>
      <c r="AJ1332" s="115" t="e">
        <f t="shared" si="2380"/>
        <v>#DIV/0!</v>
      </c>
      <c r="AK1332" s="116" t="e">
        <f t="shared" si="2380"/>
        <v>#DIV/0!</v>
      </c>
    </row>
    <row r="1333" spans="1:38" ht="15.6" hidden="1" thickBot="1">
      <c r="A1333" s="91"/>
      <c r="B1333" s="100"/>
      <c r="C1333" s="86"/>
      <c r="D1333" s="87">
        <v>2019</v>
      </c>
      <c r="E1333" s="88"/>
      <c r="F1333" s="121"/>
      <c r="G1333" s="121"/>
      <c r="H1333" s="121"/>
      <c r="I1333" s="121"/>
      <c r="J1333" s="121"/>
      <c r="K1333" s="121"/>
      <c r="L1333" s="121"/>
      <c r="M1333" s="122"/>
      <c r="N1333" s="122"/>
      <c r="O1333" s="122"/>
      <c r="P1333" s="123"/>
      <c r="Q1333" s="89">
        <f t="shared" ref="Q1333:Q1335" si="2381">SUM(E1333:P1333)</f>
        <v>0</v>
      </c>
      <c r="R1333" s="90">
        <f t="shared" ref="R1333" si="2382">SUM(E1333:M1333)</f>
        <v>0</v>
      </c>
      <c r="T1333" s="91"/>
      <c r="U1333" s="100"/>
      <c r="V1333" s="86">
        <f t="shared" ref="V1333:V1334" si="2383">C1333</f>
        <v>0</v>
      </c>
      <c r="W1333" s="87">
        <v>2019</v>
      </c>
      <c r="X1333" s="88"/>
      <c r="Y1333" s="121"/>
      <c r="Z1333" s="121"/>
      <c r="AA1333" s="121"/>
      <c r="AB1333" s="121"/>
      <c r="AC1333" s="121"/>
      <c r="AD1333" s="121"/>
      <c r="AE1333" s="121"/>
      <c r="AF1333" s="122"/>
      <c r="AG1333" s="122"/>
      <c r="AH1333" s="122"/>
      <c r="AI1333" s="123"/>
      <c r="AJ1333" s="89">
        <f t="shared" ref="AJ1333:AJ1335" si="2384">SUM(X1333:AI1333)</f>
        <v>0</v>
      </c>
      <c r="AK1333" s="90">
        <f t="shared" ref="AK1333:AK1335" si="2385">SUM(X1333:AF1333)</f>
        <v>0</v>
      </c>
    </row>
    <row r="1334" spans="1:38" ht="15.6" hidden="1" thickBot="1">
      <c r="A1334" s="91"/>
      <c r="B1334" s="100"/>
      <c r="C1334" s="92"/>
      <c r="D1334" s="93" t="s">
        <v>92</v>
      </c>
      <c r="E1334" s="94"/>
      <c r="F1334" s="97"/>
      <c r="G1334" s="97"/>
      <c r="H1334" s="97"/>
      <c r="I1334" s="97"/>
      <c r="J1334" s="97"/>
      <c r="K1334" s="97"/>
      <c r="L1334" s="97"/>
      <c r="M1334" s="98"/>
      <c r="N1334" s="98"/>
      <c r="O1334" s="98"/>
      <c r="P1334" s="99"/>
      <c r="Q1334" s="95">
        <f t="shared" si="2381"/>
        <v>0</v>
      </c>
      <c r="R1334" s="96">
        <f t="shared" si="2337"/>
        <v>0</v>
      </c>
      <c r="T1334" s="91"/>
      <c r="U1334" s="100"/>
      <c r="V1334" s="92">
        <f t="shared" si="2383"/>
        <v>0</v>
      </c>
      <c r="W1334" s="93" t="s">
        <v>92</v>
      </c>
      <c r="X1334" s="94"/>
      <c r="Y1334" s="97"/>
      <c r="Z1334" s="97"/>
      <c r="AA1334" s="97"/>
      <c r="AB1334" s="97"/>
      <c r="AC1334" s="97"/>
      <c r="AD1334" s="97"/>
      <c r="AE1334" s="97"/>
      <c r="AF1334" s="98"/>
      <c r="AG1334" s="98"/>
      <c r="AH1334" s="98"/>
      <c r="AI1334" s="99"/>
      <c r="AJ1334" s="95">
        <f t="shared" si="2384"/>
        <v>0</v>
      </c>
      <c r="AK1334" s="96">
        <f t="shared" si="2385"/>
        <v>0</v>
      </c>
    </row>
    <row r="1335" spans="1:38" ht="15.6" hidden="1" thickBot="1">
      <c r="A1335" s="91"/>
      <c r="B1335" s="100"/>
      <c r="C1335" s="92"/>
      <c r="D1335" s="101">
        <v>2020</v>
      </c>
      <c r="E1335" s="102"/>
      <c r="F1335" s="124"/>
      <c r="G1335" s="124"/>
      <c r="H1335" s="124"/>
      <c r="I1335" s="124"/>
      <c r="J1335" s="124"/>
      <c r="K1335" s="124"/>
      <c r="L1335" s="124"/>
      <c r="M1335" s="125"/>
      <c r="N1335" s="125"/>
      <c r="O1335" s="125"/>
      <c r="P1335" s="126"/>
      <c r="Q1335" s="103">
        <f t="shared" si="2381"/>
        <v>0</v>
      </c>
      <c r="R1335" s="104">
        <f t="shared" si="2337"/>
        <v>0</v>
      </c>
      <c r="S1335" s="105"/>
      <c r="T1335" s="91"/>
      <c r="U1335" s="100"/>
      <c r="V1335" s="92"/>
      <c r="W1335" s="101">
        <v>2020</v>
      </c>
      <c r="X1335" s="102"/>
      <c r="Y1335" s="124"/>
      <c r="Z1335" s="124"/>
      <c r="AA1335" s="124"/>
      <c r="AB1335" s="124"/>
      <c r="AC1335" s="124"/>
      <c r="AD1335" s="124"/>
      <c r="AE1335" s="124"/>
      <c r="AF1335" s="125"/>
      <c r="AG1335" s="125"/>
      <c r="AH1335" s="125"/>
      <c r="AI1335" s="126"/>
      <c r="AJ1335" s="103">
        <f t="shared" si="2384"/>
        <v>0</v>
      </c>
      <c r="AK1335" s="104">
        <f t="shared" si="2385"/>
        <v>0</v>
      </c>
      <c r="AL1335" s="105"/>
    </row>
    <row r="1336" spans="1:38" ht="15.6" hidden="1" thickBot="1">
      <c r="A1336" s="91"/>
      <c r="B1336" s="100"/>
      <c r="C1336" s="92"/>
      <c r="D1336" s="101" t="s">
        <v>102</v>
      </c>
      <c r="E1336" s="106" t="e">
        <f t="shared" ref="E1336:R1336" si="2386">E1335/E1334</f>
        <v>#DIV/0!</v>
      </c>
      <c r="F1336" s="106" t="e">
        <f t="shared" si="2386"/>
        <v>#DIV/0!</v>
      </c>
      <c r="G1336" s="106" t="e">
        <f t="shared" si="2386"/>
        <v>#DIV/0!</v>
      </c>
      <c r="H1336" s="106" t="e">
        <f t="shared" si="2386"/>
        <v>#DIV/0!</v>
      </c>
      <c r="I1336" s="106" t="e">
        <f t="shared" si="2386"/>
        <v>#DIV/0!</v>
      </c>
      <c r="J1336" s="106" t="e">
        <f t="shared" si="2386"/>
        <v>#DIV/0!</v>
      </c>
      <c r="K1336" s="106" t="e">
        <f t="shared" si="2386"/>
        <v>#DIV/0!</v>
      </c>
      <c r="L1336" s="106" t="e">
        <f t="shared" si="2386"/>
        <v>#DIV/0!</v>
      </c>
      <c r="M1336" s="107" t="e">
        <f t="shared" si="2386"/>
        <v>#DIV/0!</v>
      </c>
      <c r="N1336" s="107" t="e">
        <f t="shared" si="2386"/>
        <v>#DIV/0!</v>
      </c>
      <c r="O1336" s="107" t="e">
        <f t="shared" si="2386"/>
        <v>#DIV/0!</v>
      </c>
      <c r="P1336" s="108" t="e">
        <f t="shared" si="2386"/>
        <v>#DIV/0!</v>
      </c>
      <c r="Q1336" s="109" t="e">
        <f t="shared" si="2386"/>
        <v>#DIV/0!</v>
      </c>
      <c r="R1336" s="110" t="e">
        <f t="shared" si="2386"/>
        <v>#DIV/0!</v>
      </c>
      <c r="S1336" s="105"/>
      <c r="T1336" s="91"/>
      <c r="U1336" s="100"/>
      <c r="V1336" s="92"/>
      <c r="W1336" s="101" t="s">
        <v>102</v>
      </c>
      <c r="X1336" s="106" t="e">
        <f t="shared" ref="X1336:AK1336" si="2387">X1335/X1334</f>
        <v>#DIV/0!</v>
      </c>
      <c r="Y1336" s="106" t="e">
        <f t="shared" si="2387"/>
        <v>#DIV/0!</v>
      </c>
      <c r="Z1336" s="106" t="e">
        <f t="shared" si="2387"/>
        <v>#DIV/0!</v>
      </c>
      <c r="AA1336" s="106" t="e">
        <f t="shared" si="2387"/>
        <v>#DIV/0!</v>
      </c>
      <c r="AB1336" s="106" t="e">
        <f t="shared" si="2387"/>
        <v>#DIV/0!</v>
      </c>
      <c r="AC1336" s="106" t="e">
        <f t="shared" si="2387"/>
        <v>#DIV/0!</v>
      </c>
      <c r="AD1336" s="106" t="e">
        <f t="shared" si="2387"/>
        <v>#DIV/0!</v>
      </c>
      <c r="AE1336" s="106" t="e">
        <f t="shared" si="2387"/>
        <v>#DIV/0!</v>
      </c>
      <c r="AF1336" s="107" t="e">
        <f t="shared" si="2387"/>
        <v>#DIV/0!</v>
      </c>
      <c r="AG1336" s="107" t="e">
        <f t="shared" si="2387"/>
        <v>#DIV/0!</v>
      </c>
      <c r="AH1336" s="107" t="e">
        <f t="shared" si="2387"/>
        <v>#DIV/0!</v>
      </c>
      <c r="AI1336" s="108" t="e">
        <f t="shared" si="2387"/>
        <v>#DIV/0!</v>
      </c>
      <c r="AJ1336" s="109" t="e">
        <f t="shared" si="2387"/>
        <v>#DIV/0!</v>
      </c>
      <c r="AK1336" s="110" t="e">
        <f t="shared" si="2387"/>
        <v>#DIV/0!</v>
      </c>
      <c r="AL1336" s="105"/>
    </row>
    <row r="1337" spans="1:38" ht="15.6" hidden="1" thickBot="1">
      <c r="A1337" s="91"/>
      <c r="B1337" s="100"/>
      <c r="C1337" s="111"/>
      <c r="D1337" s="112" t="s">
        <v>103</v>
      </c>
      <c r="E1337" s="113" t="e">
        <f t="shared" ref="E1337:R1337" si="2388">E1335/E1333</f>
        <v>#DIV/0!</v>
      </c>
      <c r="F1337" s="113" t="e">
        <f t="shared" si="2388"/>
        <v>#DIV/0!</v>
      </c>
      <c r="G1337" s="113" t="e">
        <f t="shared" si="2388"/>
        <v>#DIV/0!</v>
      </c>
      <c r="H1337" s="113" t="e">
        <f t="shared" si="2388"/>
        <v>#DIV/0!</v>
      </c>
      <c r="I1337" s="113" t="e">
        <f t="shared" si="2388"/>
        <v>#DIV/0!</v>
      </c>
      <c r="J1337" s="113" t="e">
        <f t="shared" si="2388"/>
        <v>#DIV/0!</v>
      </c>
      <c r="K1337" s="113" t="e">
        <f t="shared" si="2388"/>
        <v>#DIV/0!</v>
      </c>
      <c r="L1337" s="113" t="e">
        <f t="shared" si="2388"/>
        <v>#DIV/0!</v>
      </c>
      <c r="M1337" s="113" t="e">
        <f t="shared" si="2388"/>
        <v>#DIV/0!</v>
      </c>
      <c r="N1337" s="113" t="e">
        <f t="shared" si="2388"/>
        <v>#DIV/0!</v>
      </c>
      <c r="O1337" s="113" t="e">
        <f t="shared" si="2388"/>
        <v>#DIV/0!</v>
      </c>
      <c r="P1337" s="114" t="e">
        <f t="shared" si="2388"/>
        <v>#DIV/0!</v>
      </c>
      <c r="Q1337" s="115" t="e">
        <f t="shared" si="2388"/>
        <v>#DIV/0!</v>
      </c>
      <c r="R1337" s="116" t="e">
        <f t="shared" si="2388"/>
        <v>#DIV/0!</v>
      </c>
      <c r="T1337" s="91"/>
      <c r="U1337" s="100"/>
      <c r="V1337" s="111"/>
      <c r="W1337" s="112" t="s">
        <v>103</v>
      </c>
      <c r="X1337" s="113" t="e">
        <f t="shared" ref="X1337:AK1337" si="2389">X1335/X1333</f>
        <v>#DIV/0!</v>
      </c>
      <c r="Y1337" s="113" t="e">
        <f t="shared" si="2389"/>
        <v>#DIV/0!</v>
      </c>
      <c r="Z1337" s="113" t="e">
        <f t="shared" si="2389"/>
        <v>#DIV/0!</v>
      </c>
      <c r="AA1337" s="113" t="e">
        <f t="shared" si="2389"/>
        <v>#DIV/0!</v>
      </c>
      <c r="AB1337" s="113" t="e">
        <f t="shared" si="2389"/>
        <v>#DIV/0!</v>
      </c>
      <c r="AC1337" s="113" t="e">
        <f t="shared" si="2389"/>
        <v>#DIV/0!</v>
      </c>
      <c r="AD1337" s="113" t="e">
        <f t="shared" si="2389"/>
        <v>#DIV/0!</v>
      </c>
      <c r="AE1337" s="113" t="e">
        <f t="shared" si="2389"/>
        <v>#DIV/0!</v>
      </c>
      <c r="AF1337" s="113" t="e">
        <f t="shared" si="2389"/>
        <v>#DIV/0!</v>
      </c>
      <c r="AG1337" s="113" t="e">
        <f t="shared" si="2389"/>
        <v>#DIV/0!</v>
      </c>
      <c r="AH1337" s="113" t="e">
        <f t="shared" si="2389"/>
        <v>#DIV/0!</v>
      </c>
      <c r="AI1337" s="114" t="e">
        <f t="shared" si="2389"/>
        <v>#DIV/0!</v>
      </c>
      <c r="AJ1337" s="115" t="e">
        <f t="shared" si="2389"/>
        <v>#DIV/0!</v>
      </c>
      <c r="AK1337" s="116" t="e">
        <f t="shared" si="2389"/>
        <v>#DIV/0!</v>
      </c>
    </row>
    <row r="1338" spans="1:38" ht="15.6" hidden="1" thickBot="1">
      <c r="A1338" s="91"/>
      <c r="B1338" s="100"/>
      <c r="C1338" s="86"/>
      <c r="D1338" s="87">
        <v>2019</v>
      </c>
      <c r="E1338" s="88"/>
      <c r="F1338" s="121"/>
      <c r="G1338" s="121"/>
      <c r="H1338" s="121"/>
      <c r="I1338" s="121"/>
      <c r="J1338" s="121"/>
      <c r="K1338" s="121"/>
      <c r="L1338" s="121"/>
      <c r="M1338" s="122"/>
      <c r="N1338" s="122"/>
      <c r="O1338" s="122"/>
      <c r="P1338" s="123"/>
      <c r="Q1338" s="89">
        <f t="shared" ref="Q1338:Q1340" si="2390">SUM(E1338:P1338)</f>
        <v>0</v>
      </c>
      <c r="R1338" s="90">
        <f t="shared" ref="R1338" si="2391">SUM(E1338:M1338)</f>
        <v>0</v>
      </c>
      <c r="T1338" s="91"/>
      <c r="U1338" s="100"/>
      <c r="V1338" s="86">
        <f t="shared" ref="V1338:V1339" si="2392">C1338</f>
        <v>0</v>
      </c>
      <c r="W1338" s="87">
        <v>2019</v>
      </c>
      <c r="X1338" s="88"/>
      <c r="Y1338" s="121"/>
      <c r="Z1338" s="121"/>
      <c r="AA1338" s="121"/>
      <c r="AB1338" s="121"/>
      <c r="AC1338" s="121"/>
      <c r="AD1338" s="121"/>
      <c r="AE1338" s="121"/>
      <c r="AF1338" s="122"/>
      <c r="AG1338" s="122"/>
      <c r="AH1338" s="122"/>
      <c r="AI1338" s="123"/>
      <c r="AJ1338" s="89">
        <f t="shared" ref="AJ1338:AJ1340" si="2393">SUM(X1338:AI1338)</f>
        <v>0</v>
      </c>
      <c r="AK1338" s="90">
        <f t="shared" ref="AK1338:AK1340" si="2394">SUM(X1338:AF1338)</f>
        <v>0</v>
      </c>
    </row>
    <row r="1339" spans="1:38" ht="15.6" hidden="1" thickBot="1">
      <c r="A1339" s="91"/>
      <c r="B1339" s="100"/>
      <c r="C1339" s="92"/>
      <c r="D1339" s="93" t="s">
        <v>92</v>
      </c>
      <c r="E1339" s="94"/>
      <c r="F1339" s="97"/>
      <c r="G1339" s="97"/>
      <c r="H1339" s="97"/>
      <c r="I1339" s="97"/>
      <c r="J1339" s="97"/>
      <c r="K1339" s="97"/>
      <c r="L1339" s="97"/>
      <c r="M1339" s="98"/>
      <c r="N1339" s="98"/>
      <c r="O1339" s="98"/>
      <c r="P1339" s="99"/>
      <c r="Q1339" s="95">
        <f t="shared" si="2390"/>
        <v>0</v>
      </c>
      <c r="R1339" s="96">
        <f t="shared" si="2337"/>
        <v>0</v>
      </c>
      <c r="T1339" s="91"/>
      <c r="U1339" s="100"/>
      <c r="V1339" s="92">
        <f t="shared" si="2392"/>
        <v>0</v>
      </c>
      <c r="W1339" s="93" t="s">
        <v>92</v>
      </c>
      <c r="X1339" s="94"/>
      <c r="Y1339" s="97"/>
      <c r="Z1339" s="97"/>
      <c r="AA1339" s="97"/>
      <c r="AB1339" s="97"/>
      <c r="AC1339" s="97"/>
      <c r="AD1339" s="97"/>
      <c r="AE1339" s="97"/>
      <c r="AF1339" s="98"/>
      <c r="AG1339" s="98"/>
      <c r="AH1339" s="98"/>
      <c r="AI1339" s="99"/>
      <c r="AJ1339" s="95">
        <f t="shared" si="2393"/>
        <v>0</v>
      </c>
      <c r="AK1339" s="96">
        <f t="shared" si="2394"/>
        <v>0</v>
      </c>
    </row>
    <row r="1340" spans="1:38" ht="15.6" hidden="1" thickBot="1">
      <c r="A1340" s="91"/>
      <c r="B1340" s="100"/>
      <c r="C1340" s="92"/>
      <c r="D1340" s="101">
        <v>2020</v>
      </c>
      <c r="E1340" s="102"/>
      <c r="F1340" s="124"/>
      <c r="G1340" s="124"/>
      <c r="H1340" s="124"/>
      <c r="I1340" s="124"/>
      <c r="J1340" s="124"/>
      <c r="K1340" s="124"/>
      <c r="L1340" s="124"/>
      <c r="M1340" s="125"/>
      <c r="N1340" s="125"/>
      <c r="O1340" s="125"/>
      <c r="P1340" s="126"/>
      <c r="Q1340" s="103">
        <f t="shared" si="2390"/>
        <v>0</v>
      </c>
      <c r="R1340" s="104">
        <f t="shared" si="2337"/>
        <v>0</v>
      </c>
      <c r="S1340" s="105"/>
      <c r="T1340" s="91"/>
      <c r="U1340" s="100"/>
      <c r="V1340" s="92"/>
      <c r="W1340" s="101">
        <v>2020</v>
      </c>
      <c r="X1340" s="102"/>
      <c r="Y1340" s="124"/>
      <c r="Z1340" s="124"/>
      <c r="AA1340" s="124"/>
      <c r="AB1340" s="124"/>
      <c r="AC1340" s="124"/>
      <c r="AD1340" s="124"/>
      <c r="AE1340" s="124"/>
      <c r="AF1340" s="125"/>
      <c r="AG1340" s="125"/>
      <c r="AH1340" s="125"/>
      <c r="AI1340" s="126"/>
      <c r="AJ1340" s="103">
        <f t="shared" si="2393"/>
        <v>0</v>
      </c>
      <c r="AK1340" s="104">
        <f t="shared" si="2394"/>
        <v>0</v>
      </c>
      <c r="AL1340" s="105"/>
    </row>
    <row r="1341" spans="1:38" ht="15.6" hidden="1" thickBot="1">
      <c r="A1341" s="91"/>
      <c r="B1341" s="100"/>
      <c r="C1341" s="92"/>
      <c r="D1341" s="101" t="s">
        <v>102</v>
      </c>
      <c r="E1341" s="106" t="e">
        <f t="shared" ref="E1341:R1341" si="2395">E1340/E1339</f>
        <v>#DIV/0!</v>
      </c>
      <c r="F1341" s="106" t="e">
        <f t="shared" si="2395"/>
        <v>#DIV/0!</v>
      </c>
      <c r="G1341" s="106" t="e">
        <f t="shared" si="2395"/>
        <v>#DIV/0!</v>
      </c>
      <c r="H1341" s="106" t="e">
        <f t="shared" si="2395"/>
        <v>#DIV/0!</v>
      </c>
      <c r="I1341" s="106" t="e">
        <f t="shared" si="2395"/>
        <v>#DIV/0!</v>
      </c>
      <c r="J1341" s="106" t="e">
        <f t="shared" si="2395"/>
        <v>#DIV/0!</v>
      </c>
      <c r="K1341" s="106" t="e">
        <f t="shared" si="2395"/>
        <v>#DIV/0!</v>
      </c>
      <c r="L1341" s="106" t="e">
        <f t="shared" si="2395"/>
        <v>#DIV/0!</v>
      </c>
      <c r="M1341" s="107" t="e">
        <f t="shared" si="2395"/>
        <v>#DIV/0!</v>
      </c>
      <c r="N1341" s="107" t="e">
        <f t="shared" si="2395"/>
        <v>#DIV/0!</v>
      </c>
      <c r="O1341" s="107" t="e">
        <f t="shared" si="2395"/>
        <v>#DIV/0!</v>
      </c>
      <c r="P1341" s="108" t="e">
        <f t="shared" si="2395"/>
        <v>#DIV/0!</v>
      </c>
      <c r="Q1341" s="109" t="e">
        <f t="shared" si="2395"/>
        <v>#DIV/0!</v>
      </c>
      <c r="R1341" s="110" t="e">
        <f t="shared" si="2395"/>
        <v>#DIV/0!</v>
      </c>
      <c r="S1341" s="105"/>
      <c r="T1341" s="91"/>
      <c r="U1341" s="100"/>
      <c r="V1341" s="92"/>
      <c r="W1341" s="101" t="s">
        <v>102</v>
      </c>
      <c r="X1341" s="106" t="e">
        <f t="shared" ref="X1341:AK1341" si="2396">X1340/X1339</f>
        <v>#DIV/0!</v>
      </c>
      <c r="Y1341" s="106" t="e">
        <f t="shared" si="2396"/>
        <v>#DIV/0!</v>
      </c>
      <c r="Z1341" s="106" t="e">
        <f t="shared" si="2396"/>
        <v>#DIV/0!</v>
      </c>
      <c r="AA1341" s="106" t="e">
        <f t="shared" si="2396"/>
        <v>#DIV/0!</v>
      </c>
      <c r="AB1341" s="106" t="e">
        <f t="shared" si="2396"/>
        <v>#DIV/0!</v>
      </c>
      <c r="AC1341" s="106" t="e">
        <f t="shared" si="2396"/>
        <v>#DIV/0!</v>
      </c>
      <c r="AD1341" s="106" t="e">
        <f t="shared" si="2396"/>
        <v>#DIV/0!</v>
      </c>
      <c r="AE1341" s="106" t="e">
        <f t="shared" si="2396"/>
        <v>#DIV/0!</v>
      </c>
      <c r="AF1341" s="107" t="e">
        <f t="shared" si="2396"/>
        <v>#DIV/0!</v>
      </c>
      <c r="AG1341" s="107" t="e">
        <f t="shared" si="2396"/>
        <v>#DIV/0!</v>
      </c>
      <c r="AH1341" s="107" t="e">
        <f t="shared" si="2396"/>
        <v>#DIV/0!</v>
      </c>
      <c r="AI1341" s="108" t="e">
        <f t="shared" si="2396"/>
        <v>#DIV/0!</v>
      </c>
      <c r="AJ1341" s="109" t="e">
        <f t="shared" si="2396"/>
        <v>#DIV/0!</v>
      </c>
      <c r="AK1341" s="110" t="e">
        <f t="shared" si="2396"/>
        <v>#DIV/0!</v>
      </c>
      <c r="AL1341" s="105"/>
    </row>
    <row r="1342" spans="1:38" ht="15.6" hidden="1" thickBot="1">
      <c r="A1342" s="91"/>
      <c r="B1342" s="100"/>
      <c r="C1342" s="111"/>
      <c r="D1342" s="112" t="s">
        <v>103</v>
      </c>
      <c r="E1342" s="113" t="e">
        <f t="shared" ref="E1342:R1342" si="2397">E1340/E1338</f>
        <v>#DIV/0!</v>
      </c>
      <c r="F1342" s="113" t="e">
        <f t="shared" si="2397"/>
        <v>#DIV/0!</v>
      </c>
      <c r="G1342" s="113" t="e">
        <f t="shared" si="2397"/>
        <v>#DIV/0!</v>
      </c>
      <c r="H1342" s="113" t="e">
        <f t="shared" si="2397"/>
        <v>#DIV/0!</v>
      </c>
      <c r="I1342" s="113" t="e">
        <f t="shared" si="2397"/>
        <v>#DIV/0!</v>
      </c>
      <c r="J1342" s="113" t="e">
        <f t="shared" si="2397"/>
        <v>#DIV/0!</v>
      </c>
      <c r="K1342" s="113" t="e">
        <f t="shared" si="2397"/>
        <v>#DIV/0!</v>
      </c>
      <c r="L1342" s="113" t="e">
        <f t="shared" si="2397"/>
        <v>#DIV/0!</v>
      </c>
      <c r="M1342" s="113" t="e">
        <f t="shared" si="2397"/>
        <v>#DIV/0!</v>
      </c>
      <c r="N1342" s="113" t="e">
        <f t="shared" si="2397"/>
        <v>#DIV/0!</v>
      </c>
      <c r="O1342" s="113" t="e">
        <f t="shared" si="2397"/>
        <v>#DIV/0!</v>
      </c>
      <c r="P1342" s="114" t="e">
        <f t="shared" si="2397"/>
        <v>#DIV/0!</v>
      </c>
      <c r="Q1342" s="115" t="e">
        <f t="shared" si="2397"/>
        <v>#DIV/0!</v>
      </c>
      <c r="R1342" s="116" t="e">
        <f t="shared" si="2397"/>
        <v>#DIV/0!</v>
      </c>
      <c r="T1342" s="91"/>
      <c r="U1342" s="100"/>
      <c r="V1342" s="111"/>
      <c r="W1342" s="112" t="s">
        <v>103</v>
      </c>
      <c r="X1342" s="113" t="e">
        <f t="shared" ref="X1342:AK1342" si="2398">X1340/X1338</f>
        <v>#DIV/0!</v>
      </c>
      <c r="Y1342" s="113" t="e">
        <f t="shared" si="2398"/>
        <v>#DIV/0!</v>
      </c>
      <c r="Z1342" s="113" t="e">
        <f t="shared" si="2398"/>
        <v>#DIV/0!</v>
      </c>
      <c r="AA1342" s="113" t="e">
        <f t="shared" si="2398"/>
        <v>#DIV/0!</v>
      </c>
      <c r="AB1342" s="113" t="e">
        <f t="shared" si="2398"/>
        <v>#DIV/0!</v>
      </c>
      <c r="AC1342" s="113" t="e">
        <f t="shared" si="2398"/>
        <v>#DIV/0!</v>
      </c>
      <c r="AD1342" s="113" t="e">
        <f t="shared" si="2398"/>
        <v>#DIV/0!</v>
      </c>
      <c r="AE1342" s="113" t="e">
        <f t="shared" si="2398"/>
        <v>#DIV/0!</v>
      </c>
      <c r="AF1342" s="113" t="e">
        <f t="shared" si="2398"/>
        <v>#DIV/0!</v>
      </c>
      <c r="AG1342" s="113" t="e">
        <f t="shared" si="2398"/>
        <v>#DIV/0!</v>
      </c>
      <c r="AH1342" s="113" t="e">
        <f t="shared" si="2398"/>
        <v>#DIV/0!</v>
      </c>
      <c r="AI1342" s="114" t="e">
        <f t="shared" si="2398"/>
        <v>#DIV/0!</v>
      </c>
      <c r="AJ1342" s="115" t="e">
        <f t="shared" si="2398"/>
        <v>#DIV/0!</v>
      </c>
      <c r="AK1342" s="116" t="e">
        <f t="shared" si="2398"/>
        <v>#DIV/0!</v>
      </c>
    </row>
    <row r="1343" spans="1:38" ht="15.6" hidden="1" thickBot="1">
      <c r="A1343" s="91"/>
      <c r="B1343" s="100"/>
      <c r="C1343" s="86"/>
      <c r="D1343" s="87">
        <v>2019</v>
      </c>
      <c r="E1343" s="88"/>
      <c r="F1343" s="121"/>
      <c r="G1343" s="121"/>
      <c r="H1343" s="121"/>
      <c r="I1343" s="121"/>
      <c r="J1343" s="121"/>
      <c r="K1343" s="121"/>
      <c r="L1343" s="121"/>
      <c r="M1343" s="122"/>
      <c r="N1343" s="122"/>
      <c r="O1343" s="122"/>
      <c r="P1343" s="123"/>
      <c r="Q1343" s="89">
        <f t="shared" ref="Q1343:Q1345" si="2399">SUM(E1343:P1343)</f>
        <v>0</v>
      </c>
      <c r="R1343" s="90">
        <f t="shared" ref="R1343" si="2400">SUM(E1343:M1343)</f>
        <v>0</v>
      </c>
      <c r="T1343" s="91"/>
      <c r="U1343" s="100"/>
      <c r="V1343" s="86">
        <f t="shared" ref="V1343:V1344" si="2401">C1343</f>
        <v>0</v>
      </c>
      <c r="W1343" s="87">
        <v>2019</v>
      </c>
      <c r="X1343" s="88"/>
      <c r="Y1343" s="121"/>
      <c r="Z1343" s="121"/>
      <c r="AA1343" s="121"/>
      <c r="AB1343" s="121"/>
      <c r="AC1343" s="121"/>
      <c r="AD1343" s="121"/>
      <c r="AE1343" s="121"/>
      <c r="AF1343" s="122"/>
      <c r="AG1343" s="122"/>
      <c r="AH1343" s="122"/>
      <c r="AI1343" s="123"/>
      <c r="AJ1343" s="89">
        <f t="shared" ref="AJ1343:AJ1345" si="2402">SUM(X1343:AI1343)</f>
        <v>0</v>
      </c>
      <c r="AK1343" s="90">
        <f t="shared" ref="AK1343:AK1345" si="2403">SUM(X1343:AF1343)</f>
        <v>0</v>
      </c>
    </row>
    <row r="1344" spans="1:38" ht="15.6" hidden="1" thickBot="1">
      <c r="A1344" s="91"/>
      <c r="B1344" s="100"/>
      <c r="C1344" s="92"/>
      <c r="D1344" s="93" t="s">
        <v>92</v>
      </c>
      <c r="E1344" s="94"/>
      <c r="F1344" s="97"/>
      <c r="G1344" s="97"/>
      <c r="H1344" s="97"/>
      <c r="I1344" s="97"/>
      <c r="J1344" s="97"/>
      <c r="K1344" s="97"/>
      <c r="L1344" s="97"/>
      <c r="M1344" s="98"/>
      <c r="N1344" s="98"/>
      <c r="O1344" s="98"/>
      <c r="P1344" s="99"/>
      <c r="Q1344" s="95">
        <f t="shared" si="2399"/>
        <v>0</v>
      </c>
      <c r="R1344" s="96">
        <f t="shared" si="2337"/>
        <v>0</v>
      </c>
      <c r="T1344" s="91"/>
      <c r="U1344" s="100"/>
      <c r="V1344" s="92">
        <f t="shared" si="2401"/>
        <v>0</v>
      </c>
      <c r="W1344" s="93" t="s">
        <v>92</v>
      </c>
      <c r="X1344" s="94"/>
      <c r="Y1344" s="97"/>
      <c r="Z1344" s="97"/>
      <c r="AA1344" s="97"/>
      <c r="AB1344" s="97"/>
      <c r="AC1344" s="97"/>
      <c r="AD1344" s="97"/>
      <c r="AE1344" s="97"/>
      <c r="AF1344" s="98"/>
      <c r="AG1344" s="98"/>
      <c r="AH1344" s="98"/>
      <c r="AI1344" s="99"/>
      <c r="AJ1344" s="95">
        <f t="shared" si="2402"/>
        <v>0</v>
      </c>
      <c r="AK1344" s="96">
        <f t="shared" si="2403"/>
        <v>0</v>
      </c>
    </row>
    <row r="1345" spans="1:38" ht="15.6" hidden="1" thickBot="1">
      <c r="A1345" s="91"/>
      <c r="B1345" s="100"/>
      <c r="C1345" s="92"/>
      <c r="D1345" s="101">
        <v>2020</v>
      </c>
      <c r="E1345" s="102"/>
      <c r="F1345" s="124"/>
      <c r="G1345" s="124"/>
      <c r="H1345" s="124"/>
      <c r="I1345" s="124"/>
      <c r="J1345" s="124"/>
      <c r="K1345" s="124"/>
      <c r="L1345" s="124"/>
      <c r="M1345" s="125"/>
      <c r="N1345" s="125"/>
      <c r="O1345" s="125"/>
      <c r="P1345" s="126"/>
      <c r="Q1345" s="103">
        <f t="shared" si="2399"/>
        <v>0</v>
      </c>
      <c r="R1345" s="104">
        <f t="shared" si="2337"/>
        <v>0</v>
      </c>
      <c r="S1345" s="105"/>
      <c r="T1345" s="91"/>
      <c r="U1345" s="100"/>
      <c r="V1345" s="92"/>
      <c r="W1345" s="101">
        <v>2020</v>
      </c>
      <c r="X1345" s="102"/>
      <c r="Y1345" s="124"/>
      <c r="Z1345" s="124"/>
      <c r="AA1345" s="124"/>
      <c r="AB1345" s="124"/>
      <c r="AC1345" s="124"/>
      <c r="AD1345" s="124"/>
      <c r="AE1345" s="124"/>
      <c r="AF1345" s="125"/>
      <c r="AG1345" s="125"/>
      <c r="AH1345" s="125"/>
      <c r="AI1345" s="126"/>
      <c r="AJ1345" s="103">
        <f t="shared" si="2402"/>
        <v>0</v>
      </c>
      <c r="AK1345" s="104">
        <f t="shared" si="2403"/>
        <v>0</v>
      </c>
      <c r="AL1345" s="105"/>
    </row>
    <row r="1346" spans="1:38" ht="15.6" hidden="1" thickBot="1">
      <c r="A1346" s="91"/>
      <c r="B1346" s="100"/>
      <c r="C1346" s="92"/>
      <c r="D1346" s="101" t="s">
        <v>102</v>
      </c>
      <c r="E1346" s="106" t="e">
        <f t="shared" ref="E1346:R1346" si="2404">E1345/E1344</f>
        <v>#DIV/0!</v>
      </c>
      <c r="F1346" s="106" t="e">
        <f t="shared" si="2404"/>
        <v>#DIV/0!</v>
      </c>
      <c r="G1346" s="106" t="e">
        <f t="shared" si="2404"/>
        <v>#DIV/0!</v>
      </c>
      <c r="H1346" s="106" t="e">
        <f t="shared" si="2404"/>
        <v>#DIV/0!</v>
      </c>
      <c r="I1346" s="106" t="e">
        <f t="shared" si="2404"/>
        <v>#DIV/0!</v>
      </c>
      <c r="J1346" s="106" t="e">
        <f t="shared" si="2404"/>
        <v>#DIV/0!</v>
      </c>
      <c r="K1346" s="106" t="e">
        <f t="shared" si="2404"/>
        <v>#DIV/0!</v>
      </c>
      <c r="L1346" s="106" t="e">
        <f t="shared" si="2404"/>
        <v>#DIV/0!</v>
      </c>
      <c r="M1346" s="107" t="e">
        <f t="shared" si="2404"/>
        <v>#DIV/0!</v>
      </c>
      <c r="N1346" s="107" t="e">
        <f t="shared" si="2404"/>
        <v>#DIV/0!</v>
      </c>
      <c r="O1346" s="107" t="e">
        <f t="shared" si="2404"/>
        <v>#DIV/0!</v>
      </c>
      <c r="P1346" s="108" t="e">
        <f t="shared" si="2404"/>
        <v>#DIV/0!</v>
      </c>
      <c r="Q1346" s="109" t="e">
        <f t="shared" si="2404"/>
        <v>#DIV/0!</v>
      </c>
      <c r="R1346" s="110" t="e">
        <f t="shared" si="2404"/>
        <v>#DIV/0!</v>
      </c>
      <c r="S1346" s="105"/>
      <c r="T1346" s="91"/>
      <c r="U1346" s="100"/>
      <c r="V1346" s="92"/>
      <c r="W1346" s="101" t="s">
        <v>102</v>
      </c>
      <c r="X1346" s="106" t="e">
        <f t="shared" ref="X1346:AK1346" si="2405">X1345/X1344</f>
        <v>#DIV/0!</v>
      </c>
      <c r="Y1346" s="106" t="e">
        <f t="shared" si="2405"/>
        <v>#DIV/0!</v>
      </c>
      <c r="Z1346" s="106" t="e">
        <f t="shared" si="2405"/>
        <v>#DIV/0!</v>
      </c>
      <c r="AA1346" s="106" t="e">
        <f t="shared" si="2405"/>
        <v>#DIV/0!</v>
      </c>
      <c r="AB1346" s="106" t="e">
        <f t="shared" si="2405"/>
        <v>#DIV/0!</v>
      </c>
      <c r="AC1346" s="106" t="e">
        <f t="shared" si="2405"/>
        <v>#DIV/0!</v>
      </c>
      <c r="AD1346" s="106" t="e">
        <f t="shared" si="2405"/>
        <v>#DIV/0!</v>
      </c>
      <c r="AE1346" s="106" t="e">
        <f t="shared" si="2405"/>
        <v>#DIV/0!</v>
      </c>
      <c r="AF1346" s="107" t="e">
        <f t="shared" si="2405"/>
        <v>#DIV/0!</v>
      </c>
      <c r="AG1346" s="107" t="e">
        <f t="shared" si="2405"/>
        <v>#DIV/0!</v>
      </c>
      <c r="AH1346" s="107" t="e">
        <f t="shared" si="2405"/>
        <v>#DIV/0!</v>
      </c>
      <c r="AI1346" s="108" t="e">
        <f t="shared" si="2405"/>
        <v>#DIV/0!</v>
      </c>
      <c r="AJ1346" s="109" t="e">
        <f t="shared" si="2405"/>
        <v>#DIV/0!</v>
      </c>
      <c r="AK1346" s="110" t="e">
        <f t="shared" si="2405"/>
        <v>#DIV/0!</v>
      </c>
      <c r="AL1346" s="105"/>
    </row>
    <row r="1347" spans="1:38" ht="15.6" hidden="1" thickBot="1">
      <c r="A1347" s="91"/>
      <c r="B1347" s="100"/>
      <c r="C1347" s="111"/>
      <c r="D1347" s="112" t="s">
        <v>103</v>
      </c>
      <c r="E1347" s="113" t="e">
        <f t="shared" ref="E1347:R1347" si="2406">E1345/E1343</f>
        <v>#DIV/0!</v>
      </c>
      <c r="F1347" s="113" t="e">
        <f t="shared" si="2406"/>
        <v>#DIV/0!</v>
      </c>
      <c r="G1347" s="113" t="e">
        <f t="shared" si="2406"/>
        <v>#DIV/0!</v>
      </c>
      <c r="H1347" s="113" t="e">
        <f t="shared" si="2406"/>
        <v>#DIV/0!</v>
      </c>
      <c r="I1347" s="113" t="e">
        <f t="shared" si="2406"/>
        <v>#DIV/0!</v>
      </c>
      <c r="J1347" s="113" t="e">
        <f t="shared" si="2406"/>
        <v>#DIV/0!</v>
      </c>
      <c r="K1347" s="113" t="e">
        <f t="shared" si="2406"/>
        <v>#DIV/0!</v>
      </c>
      <c r="L1347" s="113" t="e">
        <f t="shared" si="2406"/>
        <v>#DIV/0!</v>
      </c>
      <c r="M1347" s="113" t="e">
        <f t="shared" si="2406"/>
        <v>#DIV/0!</v>
      </c>
      <c r="N1347" s="113" t="e">
        <f t="shared" si="2406"/>
        <v>#DIV/0!</v>
      </c>
      <c r="O1347" s="113" t="e">
        <f t="shared" si="2406"/>
        <v>#DIV/0!</v>
      </c>
      <c r="P1347" s="114" t="e">
        <f t="shared" si="2406"/>
        <v>#DIV/0!</v>
      </c>
      <c r="Q1347" s="115" t="e">
        <f t="shared" si="2406"/>
        <v>#DIV/0!</v>
      </c>
      <c r="R1347" s="116" t="e">
        <f t="shared" si="2406"/>
        <v>#DIV/0!</v>
      </c>
      <c r="T1347" s="91"/>
      <c r="U1347" s="100"/>
      <c r="V1347" s="111"/>
      <c r="W1347" s="112" t="s">
        <v>103</v>
      </c>
      <c r="X1347" s="113" t="e">
        <f t="shared" ref="X1347:AK1347" si="2407">X1345/X1343</f>
        <v>#DIV/0!</v>
      </c>
      <c r="Y1347" s="113" t="e">
        <f t="shared" si="2407"/>
        <v>#DIV/0!</v>
      </c>
      <c r="Z1347" s="113" t="e">
        <f t="shared" si="2407"/>
        <v>#DIV/0!</v>
      </c>
      <c r="AA1347" s="113" t="e">
        <f t="shared" si="2407"/>
        <v>#DIV/0!</v>
      </c>
      <c r="AB1347" s="113" t="e">
        <f t="shared" si="2407"/>
        <v>#DIV/0!</v>
      </c>
      <c r="AC1347" s="113" t="e">
        <f t="shared" si="2407"/>
        <v>#DIV/0!</v>
      </c>
      <c r="AD1347" s="113" t="e">
        <f t="shared" si="2407"/>
        <v>#DIV/0!</v>
      </c>
      <c r="AE1347" s="113" t="e">
        <f t="shared" si="2407"/>
        <v>#DIV/0!</v>
      </c>
      <c r="AF1347" s="113" t="e">
        <f t="shared" si="2407"/>
        <v>#DIV/0!</v>
      </c>
      <c r="AG1347" s="113" t="e">
        <f t="shared" si="2407"/>
        <v>#DIV/0!</v>
      </c>
      <c r="AH1347" s="113" t="e">
        <f t="shared" si="2407"/>
        <v>#DIV/0!</v>
      </c>
      <c r="AI1347" s="114" t="e">
        <f t="shared" si="2407"/>
        <v>#DIV/0!</v>
      </c>
      <c r="AJ1347" s="115" t="e">
        <f t="shared" si="2407"/>
        <v>#DIV/0!</v>
      </c>
      <c r="AK1347" s="116" t="e">
        <f t="shared" si="2407"/>
        <v>#DIV/0!</v>
      </c>
    </row>
    <row r="1348" spans="1:38" ht="15.6" hidden="1" thickBot="1">
      <c r="A1348" s="91"/>
      <c r="B1348" s="100"/>
      <c r="C1348" s="86" t="s">
        <v>116</v>
      </c>
      <c r="D1348" s="87">
        <v>2019</v>
      </c>
      <c r="E1348" s="88"/>
      <c r="F1348" s="121"/>
      <c r="G1348" s="121"/>
      <c r="H1348" s="121"/>
      <c r="I1348" s="121"/>
      <c r="J1348" s="121"/>
      <c r="K1348" s="121"/>
      <c r="L1348" s="121"/>
      <c r="M1348" s="122"/>
      <c r="N1348" s="122"/>
      <c r="O1348" s="122"/>
      <c r="P1348" s="123"/>
      <c r="Q1348" s="89">
        <f t="shared" ref="Q1348:Q1350" si="2408">SUM(E1348:P1348)</f>
        <v>0</v>
      </c>
      <c r="R1348" s="90">
        <f t="shared" ref="R1348" si="2409">SUM(E1348:M1348)</f>
        <v>0</v>
      </c>
      <c r="T1348" s="91"/>
      <c r="U1348" s="100"/>
      <c r="V1348" s="86" t="str">
        <f t="shared" ref="V1348:V1349" si="2410">C1348</f>
        <v>その他</v>
      </c>
      <c r="W1348" s="87">
        <v>2019</v>
      </c>
      <c r="X1348" s="88"/>
      <c r="Y1348" s="121"/>
      <c r="Z1348" s="121"/>
      <c r="AA1348" s="121"/>
      <c r="AB1348" s="121"/>
      <c r="AC1348" s="121"/>
      <c r="AD1348" s="121"/>
      <c r="AE1348" s="121"/>
      <c r="AF1348" s="122"/>
      <c r="AG1348" s="122"/>
      <c r="AH1348" s="122"/>
      <c r="AI1348" s="123"/>
      <c r="AJ1348" s="89">
        <f t="shared" ref="AJ1348:AJ1350" si="2411">SUM(X1348:AI1348)</f>
        <v>0</v>
      </c>
      <c r="AK1348" s="90">
        <f t="shared" ref="AK1348:AK1350" si="2412">SUM(X1348:AF1348)</f>
        <v>0</v>
      </c>
    </row>
    <row r="1349" spans="1:38" ht="15.6" hidden="1" thickBot="1">
      <c r="A1349" s="91"/>
      <c r="B1349" s="100"/>
      <c r="C1349" s="92" t="s">
        <v>129</v>
      </c>
      <c r="D1349" s="93" t="s">
        <v>92</v>
      </c>
      <c r="E1349" s="94"/>
      <c r="F1349" s="97"/>
      <c r="G1349" s="97"/>
      <c r="H1349" s="97"/>
      <c r="I1349" s="97"/>
      <c r="J1349" s="97"/>
      <c r="K1349" s="97"/>
      <c r="L1349" s="97"/>
      <c r="M1349" s="98"/>
      <c r="N1349" s="98"/>
      <c r="O1349" s="98"/>
      <c r="P1349" s="99"/>
      <c r="Q1349" s="95">
        <f t="shared" si="2408"/>
        <v>0</v>
      </c>
      <c r="R1349" s="96">
        <f t="shared" si="2337"/>
        <v>0</v>
      </c>
      <c r="T1349" s="91"/>
      <c r="U1349" s="100"/>
      <c r="V1349" s="92" t="str">
        <f t="shared" si="2410"/>
        <v>Others</v>
      </c>
      <c r="W1349" s="93" t="s">
        <v>92</v>
      </c>
      <c r="X1349" s="94"/>
      <c r="Y1349" s="97"/>
      <c r="Z1349" s="97"/>
      <c r="AA1349" s="97"/>
      <c r="AB1349" s="97"/>
      <c r="AC1349" s="97"/>
      <c r="AD1349" s="97"/>
      <c r="AE1349" s="97"/>
      <c r="AF1349" s="98"/>
      <c r="AG1349" s="98"/>
      <c r="AH1349" s="98"/>
      <c r="AI1349" s="99"/>
      <c r="AJ1349" s="95">
        <f t="shared" si="2411"/>
        <v>0</v>
      </c>
      <c r="AK1349" s="96">
        <f t="shared" si="2412"/>
        <v>0</v>
      </c>
    </row>
    <row r="1350" spans="1:38" ht="15.6" hidden="1" thickBot="1">
      <c r="A1350" s="91"/>
      <c r="B1350" s="100"/>
      <c r="C1350" s="92"/>
      <c r="D1350" s="101">
        <v>2020</v>
      </c>
      <c r="E1350" s="102"/>
      <c r="F1350" s="124"/>
      <c r="G1350" s="124"/>
      <c r="H1350" s="124"/>
      <c r="I1350" s="124"/>
      <c r="J1350" s="124"/>
      <c r="K1350" s="124"/>
      <c r="L1350" s="124"/>
      <c r="M1350" s="125"/>
      <c r="N1350" s="125"/>
      <c r="O1350" s="125"/>
      <c r="P1350" s="126"/>
      <c r="Q1350" s="103">
        <f t="shared" si="2408"/>
        <v>0</v>
      </c>
      <c r="R1350" s="104">
        <f t="shared" si="2337"/>
        <v>0</v>
      </c>
      <c r="S1350" s="105"/>
      <c r="T1350" s="91"/>
      <c r="U1350" s="100"/>
      <c r="V1350" s="92"/>
      <c r="W1350" s="101">
        <v>2020</v>
      </c>
      <c r="X1350" s="102"/>
      <c r="Y1350" s="124"/>
      <c r="Z1350" s="124"/>
      <c r="AA1350" s="124"/>
      <c r="AB1350" s="124"/>
      <c r="AC1350" s="124"/>
      <c r="AD1350" s="124"/>
      <c r="AE1350" s="124"/>
      <c r="AF1350" s="125"/>
      <c r="AG1350" s="125"/>
      <c r="AH1350" s="125"/>
      <c r="AI1350" s="126"/>
      <c r="AJ1350" s="103">
        <f t="shared" si="2411"/>
        <v>0</v>
      </c>
      <c r="AK1350" s="104">
        <f t="shared" si="2412"/>
        <v>0</v>
      </c>
      <c r="AL1350" s="105"/>
    </row>
    <row r="1351" spans="1:38" ht="15.6" hidden="1" thickBot="1">
      <c r="A1351" s="91"/>
      <c r="B1351" s="100"/>
      <c r="C1351" s="92"/>
      <c r="D1351" s="101" t="s">
        <v>102</v>
      </c>
      <c r="E1351" s="106" t="e">
        <f t="shared" ref="E1351:R1351" si="2413">E1350/E1349</f>
        <v>#DIV/0!</v>
      </c>
      <c r="F1351" s="106" t="e">
        <f t="shared" si="2413"/>
        <v>#DIV/0!</v>
      </c>
      <c r="G1351" s="106" t="e">
        <f t="shared" si="2413"/>
        <v>#DIV/0!</v>
      </c>
      <c r="H1351" s="106" t="e">
        <f t="shared" si="2413"/>
        <v>#DIV/0!</v>
      </c>
      <c r="I1351" s="106" t="e">
        <f t="shared" si="2413"/>
        <v>#DIV/0!</v>
      </c>
      <c r="J1351" s="106" t="e">
        <f t="shared" si="2413"/>
        <v>#DIV/0!</v>
      </c>
      <c r="K1351" s="106" t="e">
        <f t="shared" si="2413"/>
        <v>#DIV/0!</v>
      </c>
      <c r="L1351" s="106" t="e">
        <f t="shared" si="2413"/>
        <v>#DIV/0!</v>
      </c>
      <c r="M1351" s="107" t="e">
        <f t="shared" si="2413"/>
        <v>#DIV/0!</v>
      </c>
      <c r="N1351" s="107" t="e">
        <f t="shared" si="2413"/>
        <v>#DIV/0!</v>
      </c>
      <c r="O1351" s="107" t="e">
        <f t="shared" si="2413"/>
        <v>#DIV/0!</v>
      </c>
      <c r="P1351" s="108" t="e">
        <f t="shared" si="2413"/>
        <v>#DIV/0!</v>
      </c>
      <c r="Q1351" s="109" t="e">
        <f t="shared" si="2413"/>
        <v>#DIV/0!</v>
      </c>
      <c r="R1351" s="110" t="e">
        <f t="shared" si="2413"/>
        <v>#DIV/0!</v>
      </c>
      <c r="S1351" s="105"/>
      <c r="T1351" s="91"/>
      <c r="U1351" s="100"/>
      <c r="V1351" s="92"/>
      <c r="W1351" s="101" t="s">
        <v>102</v>
      </c>
      <c r="X1351" s="106" t="e">
        <f t="shared" ref="X1351:AK1351" si="2414">X1350/X1349</f>
        <v>#DIV/0!</v>
      </c>
      <c r="Y1351" s="106" t="e">
        <f t="shared" si="2414"/>
        <v>#DIV/0!</v>
      </c>
      <c r="Z1351" s="106" t="e">
        <f t="shared" si="2414"/>
        <v>#DIV/0!</v>
      </c>
      <c r="AA1351" s="106" t="e">
        <f t="shared" si="2414"/>
        <v>#DIV/0!</v>
      </c>
      <c r="AB1351" s="106" t="e">
        <f t="shared" si="2414"/>
        <v>#DIV/0!</v>
      </c>
      <c r="AC1351" s="106" t="e">
        <f t="shared" si="2414"/>
        <v>#DIV/0!</v>
      </c>
      <c r="AD1351" s="106" t="e">
        <f t="shared" si="2414"/>
        <v>#DIV/0!</v>
      </c>
      <c r="AE1351" s="106" t="e">
        <f t="shared" si="2414"/>
        <v>#DIV/0!</v>
      </c>
      <c r="AF1351" s="107" t="e">
        <f t="shared" si="2414"/>
        <v>#DIV/0!</v>
      </c>
      <c r="AG1351" s="107" t="e">
        <f t="shared" si="2414"/>
        <v>#DIV/0!</v>
      </c>
      <c r="AH1351" s="107" t="e">
        <f t="shared" si="2414"/>
        <v>#DIV/0!</v>
      </c>
      <c r="AI1351" s="108" t="e">
        <f t="shared" si="2414"/>
        <v>#DIV/0!</v>
      </c>
      <c r="AJ1351" s="109" t="e">
        <f t="shared" si="2414"/>
        <v>#DIV/0!</v>
      </c>
      <c r="AK1351" s="110" t="e">
        <f t="shared" si="2414"/>
        <v>#DIV/0!</v>
      </c>
      <c r="AL1351" s="105"/>
    </row>
    <row r="1352" spans="1:38" ht="15.6" hidden="1" thickBot="1">
      <c r="A1352" s="91"/>
      <c r="B1352" s="100"/>
      <c r="C1352" s="111"/>
      <c r="D1352" s="112" t="s">
        <v>103</v>
      </c>
      <c r="E1352" s="113" t="e">
        <f t="shared" ref="E1352:R1352" si="2415">E1350/E1348</f>
        <v>#DIV/0!</v>
      </c>
      <c r="F1352" s="113" t="e">
        <f t="shared" si="2415"/>
        <v>#DIV/0!</v>
      </c>
      <c r="G1352" s="113" t="e">
        <f t="shared" si="2415"/>
        <v>#DIV/0!</v>
      </c>
      <c r="H1352" s="113" t="e">
        <f t="shared" si="2415"/>
        <v>#DIV/0!</v>
      </c>
      <c r="I1352" s="113" t="e">
        <f t="shared" si="2415"/>
        <v>#DIV/0!</v>
      </c>
      <c r="J1352" s="113" t="e">
        <f t="shared" si="2415"/>
        <v>#DIV/0!</v>
      </c>
      <c r="K1352" s="113" t="e">
        <f t="shared" si="2415"/>
        <v>#DIV/0!</v>
      </c>
      <c r="L1352" s="113" t="e">
        <f t="shared" si="2415"/>
        <v>#DIV/0!</v>
      </c>
      <c r="M1352" s="113" t="e">
        <f t="shared" si="2415"/>
        <v>#DIV/0!</v>
      </c>
      <c r="N1352" s="113" t="e">
        <f t="shared" si="2415"/>
        <v>#DIV/0!</v>
      </c>
      <c r="O1352" s="113" t="e">
        <f t="shared" si="2415"/>
        <v>#DIV/0!</v>
      </c>
      <c r="P1352" s="114" t="e">
        <f t="shared" si="2415"/>
        <v>#DIV/0!</v>
      </c>
      <c r="Q1352" s="115" t="e">
        <f t="shared" si="2415"/>
        <v>#DIV/0!</v>
      </c>
      <c r="R1352" s="116" t="e">
        <f t="shared" si="2415"/>
        <v>#DIV/0!</v>
      </c>
      <c r="T1352" s="91"/>
      <c r="U1352" s="100"/>
      <c r="V1352" s="111"/>
      <c r="W1352" s="112" t="s">
        <v>103</v>
      </c>
      <c r="X1352" s="113" t="e">
        <f t="shared" ref="X1352:AK1352" si="2416">X1350/X1348</f>
        <v>#DIV/0!</v>
      </c>
      <c r="Y1352" s="113" t="e">
        <f t="shared" si="2416"/>
        <v>#DIV/0!</v>
      </c>
      <c r="Z1352" s="113" t="e">
        <f t="shared" si="2416"/>
        <v>#DIV/0!</v>
      </c>
      <c r="AA1352" s="113" t="e">
        <f t="shared" si="2416"/>
        <v>#DIV/0!</v>
      </c>
      <c r="AB1352" s="113" t="e">
        <f t="shared" si="2416"/>
        <v>#DIV/0!</v>
      </c>
      <c r="AC1352" s="113" t="e">
        <f t="shared" si="2416"/>
        <v>#DIV/0!</v>
      </c>
      <c r="AD1352" s="113" t="e">
        <f t="shared" si="2416"/>
        <v>#DIV/0!</v>
      </c>
      <c r="AE1352" s="113" t="e">
        <f t="shared" si="2416"/>
        <v>#DIV/0!</v>
      </c>
      <c r="AF1352" s="113" t="e">
        <f t="shared" si="2416"/>
        <v>#DIV/0!</v>
      </c>
      <c r="AG1352" s="113" t="e">
        <f t="shared" si="2416"/>
        <v>#DIV/0!</v>
      </c>
      <c r="AH1352" s="113" t="e">
        <f t="shared" si="2416"/>
        <v>#DIV/0!</v>
      </c>
      <c r="AI1352" s="114" t="e">
        <f t="shared" si="2416"/>
        <v>#DIV/0!</v>
      </c>
      <c r="AJ1352" s="115" t="e">
        <f t="shared" si="2416"/>
        <v>#DIV/0!</v>
      </c>
      <c r="AK1352" s="116" t="e">
        <f t="shared" si="2416"/>
        <v>#DIV/0!</v>
      </c>
    </row>
    <row r="1353" spans="1:38" ht="15.6" hidden="1" thickBot="1">
      <c r="A1353" s="91"/>
      <c r="B1353" s="303" t="s">
        <v>173</v>
      </c>
      <c r="C1353" s="304"/>
      <c r="D1353" s="127">
        <v>2019</v>
      </c>
      <c r="E1353" s="128">
        <f>SUM(E1348,E1343,E1338,E1333,E1328,E1323,E1318,E1313,E1308,E1303,E1298,E1293,E1288,E1283)</f>
        <v>0</v>
      </c>
      <c r="F1353" s="129">
        <f t="shared" ref="F1353:P1353" si="2417">SUM(F1348,F1343,F1338,F1333,F1328,F1323,F1318,F1313,F1308,F1303,F1298,F1293,F1288,F1283)</f>
        <v>0</v>
      </c>
      <c r="G1353" s="129">
        <f t="shared" si="2417"/>
        <v>0</v>
      </c>
      <c r="H1353" s="129">
        <f t="shared" si="2417"/>
        <v>0</v>
      </c>
      <c r="I1353" s="129">
        <f t="shared" si="2417"/>
        <v>0</v>
      </c>
      <c r="J1353" s="129">
        <f t="shared" si="2417"/>
        <v>0</v>
      </c>
      <c r="K1353" s="129">
        <f t="shared" si="2417"/>
        <v>0</v>
      </c>
      <c r="L1353" s="129">
        <f t="shared" si="2417"/>
        <v>0</v>
      </c>
      <c r="M1353" s="129">
        <f t="shared" si="2417"/>
        <v>0</v>
      </c>
      <c r="N1353" s="129">
        <f t="shared" si="2417"/>
        <v>0</v>
      </c>
      <c r="O1353" s="129">
        <f t="shared" si="2417"/>
        <v>0</v>
      </c>
      <c r="P1353" s="130">
        <f t="shared" si="2417"/>
        <v>0</v>
      </c>
      <c r="Q1353" s="131">
        <f>SUM(E1353:P1353)</f>
        <v>0</v>
      </c>
      <c r="R1353" s="90">
        <f t="shared" ref="R1353" si="2418">SUM(E1353:M1353)</f>
        <v>0</v>
      </c>
      <c r="T1353" s="91"/>
      <c r="U1353" s="309" t="s">
        <v>173</v>
      </c>
      <c r="V1353" s="310"/>
      <c r="W1353" s="132">
        <v>2019</v>
      </c>
      <c r="X1353" s="133">
        <f>SUM(X1348,X1343,X1338,X1333,X1328,X1323,X1318,X1313,X1308,X1303,X1298,X1293,X1288,X1283)</f>
        <v>0</v>
      </c>
      <c r="Y1353" s="134">
        <f t="shared" ref="Y1353:AI1353" si="2419">SUM(Y1348,Y1343,Y1338,Y1333,Y1328,Y1323,Y1318,Y1313,Y1308,Y1303,Y1298,Y1293,Y1288,Y1283)</f>
        <v>0</v>
      </c>
      <c r="Z1353" s="134">
        <f t="shared" si="2419"/>
        <v>0</v>
      </c>
      <c r="AA1353" s="134">
        <f t="shared" si="2419"/>
        <v>0</v>
      </c>
      <c r="AB1353" s="134">
        <f t="shared" si="2419"/>
        <v>0</v>
      </c>
      <c r="AC1353" s="134">
        <f t="shared" si="2419"/>
        <v>0</v>
      </c>
      <c r="AD1353" s="134">
        <f t="shared" si="2419"/>
        <v>0</v>
      </c>
      <c r="AE1353" s="134">
        <f t="shared" si="2419"/>
        <v>0</v>
      </c>
      <c r="AF1353" s="134">
        <f t="shared" si="2419"/>
        <v>0</v>
      </c>
      <c r="AG1353" s="134">
        <f t="shared" si="2419"/>
        <v>0</v>
      </c>
      <c r="AH1353" s="134">
        <f t="shared" si="2419"/>
        <v>0</v>
      </c>
      <c r="AI1353" s="135">
        <f t="shared" si="2419"/>
        <v>0</v>
      </c>
      <c r="AJ1353" s="136">
        <f>SUM(X1353:AI1353)</f>
        <v>0</v>
      </c>
      <c r="AK1353" s="90">
        <f t="shared" ref="AK1353:AK1355" si="2420">SUM(X1353:AF1353)</f>
        <v>0</v>
      </c>
    </row>
    <row r="1354" spans="1:38" ht="15.6" hidden="1" thickBot="1">
      <c r="A1354" s="91"/>
      <c r="B1354" s="305"/>
      <c r="C1354" s="306"/>
      <c r="D1354" s="137" t="s">
        <v>92</v>
      </c>
      <c r="E1354" s="138">
        <f t="shared" ref="E1354:P1355" si="2421">SUM(E1349,E1344,E1339,E1334,E1329,E1324,E1319,E1314,E1309,E1304,E1299,E1294,E1289,E1284)</f>
        <v>0</v>
      </c>
      <c r="F1354" s="138">
        <f t="shared" si="2421"/>
        <v>0</v>
      </c>
      <c r="G1354" s="138">
        <f t="shared" si="2421"/>
        <v>0</v>
      </c>
      <c r="H1354" s="138">
        <f t="shared" si="2421"/>
        <v>0</v>
      </c>
      <c r="I1354" s="138">
        <f t="shared" si="2421"/>
        <v>0</v>
      </c>
      <c r="J1354" s="138">
        <f t="shared" si="2421"/>
        <v>0</v>
      </c>
      <c r="K1354" s="138">
        <f t="shared" si="2421"/>
        <v>0</v>
      </c>
      <c r="L1354" s="138">
        <f t="shared" si="2421"/>
        <v>0</v>
      </c>
      <c r="M1354" s="138">
        <f t="shared" si="2421"/>
        <v>0</v>
      </c>
      <c r="N1354" s="138">
        <f t="shared" si="2421"/>
        <v>0</v>
      </c>
      <c r="O1354" s="138">
        <f t="shared" si="2421"/>
        <v>0</v>
      </c>
      <c r="P1354" s="138">
        <f t="shared" si="2421"/>
        <v>0</v>
      </c>
      <c r="Q1354" s="139">
        <f t="shared" ref="Q1354:Q1355" si="2422">SUM(E1354:P1354)</f>
        <v>0</v>
      </c>
      <c r="R1354" s="96">
        <f t="shared" si="2337"/>
        <v>0</v>
      </c>
      <c r="T1354" s="91"/>
      <c r="U1354" s="311"/>
      <c r="V1354" s="312"/>
      <c r="W1354" s="140" t="s">
        <v>92</v>
      </c>
      <c r="X1354" s="141">
        <f t="shared" ref="X1354:AI1355" si="2423">SUM(X1349,X1344,X1339,X1334,X1329,X1324,X1319,X1314,X1309,X1304,X1299,X1294,X1289,X1284)</f>
        <v>0</v>
      </c>
      <c r="Y1354" s="141">
        <f t="shared" si="2423"/>
        <v>0</v>
      </c>
      <c r="Z1354" s="141">
        <f t="shared" si="2423"/>
        <v>0</v>
      </c>
      <c r="AA1354" s="141">
        <f t="shared" si="2423"/>
        <v>0</v>
      </c>
      <c r="AB1354" s="141">
        <f t="shared" si="2423"/>
        <v>0</v>
      </c>
      <c r="AC1354" s="141">
        <f t="shared" si="2423"/>
        <v>0</v>
      </c>
      <c r="AD1354" s="141">
        <f t="shared" si="2423"/>
        <v>0</v>
      </c>
      <c r="AE1354" s="141">
        <f t="shared" si="2423"/>
        <v>0</v>
      </c>
      <c r="AF1354" s="141">
        <f t="shared" si="2423"/>
        <v>0</v>
      </c>
      <c r="AG1354" s="141">
        <f t="shared" si="2423"/>
        <v>0</v>
      </c>
      <c r="AH1354" s="141">
        <f t="shared" si="2423"/>
        <v>0</v>
      </c>
      <c r="AI1354" s="141">
        <f t="shared" si="2423"/>
        <v>0</v>
      </c>
      <c r="AJ1354" s="142">
        <f t="shared" ref="AJ1354:AJ1355" si="2424">SUM(X1354:AI1354)</f>
        <v>0</v>
      </c>
      <c r="AK1354" s="96">
        <f t="shared" si="2420"/>
        <v>0</v>
      </c>
    </row>
    <row r="1355" spans="1:38" ht="15.6" hidden="1" thickBot="1">
      <c r="A1355" s="91"/>
      <c r="B1355" s="305"/>
      <c r="C1355" s="306"/>
      <c r="D1355" s="143">
        <v>2020</v>
      </c>
      <c r="E1355" s="144">
        <f>SUM(E1350,E1345,E1340,E1335,E1330,E1325,E1320,E1315,E1310,E1305,E1300,E1295,E1290,E1285)</f>
        <v>0</v>
      </c>
      <c r="F1355" s="144">
        <f t="shared" si="2421"/>
        <v>0</v>
      </c>
      <c r="G1355" s="144">
        <f t="shared" si="2421"/>
        <v>0</v>
      </c>
      <c r="H1355" s="144">
        <f t="shared" si="2421"/>
        <v>0</v>
      </c>
      <c r="I1355" s="144">
        <f t="shared" si="2421"/>
        <v>0</v>
      </c>
      <c r="J1355" s="144">
        <f t="shared" si="2421"/>
        <v>0</v>
      </c>
      <c r="K1355" s="144">
        <f t="shared" si="2421"/>
        <v>0</v>
      </c>
      <c r="L1355" s="144">
        <f t="shared" si="2421"/>
        <v>0</v>
      </c>
      <c r="M1355" s="144">
        <f t="shared" si="2421"/>
        <v>0</v>
      </c>
      <c r="N1355" s="144">
        <f t="shared" si="2421"/>
        <v>0</v>
      </c>
      <c r="O1355" s="144">
        <f t="shared" si="2421"/>
        <v>0</v>
      </c>
      <c r="P1355" s="144">
        <f t="shared" si="2421"/>
        <v>0</v>
      </c>
      <c r="Q1355" s="145">
        <f t="shared" si="2422"/>
        <v>0</v>
      </c>
      <c r="R1355" s="104">
        <f t="shared" si="2337"/>
        <v>0</v>
      </c>
      <c r="S1355" s="105"/>
      <c r="T1355" s="91"/>
      <c r="U1355" s="311"/>
      <c r="V1355" s="312"/>
      <c r="W1355" s="146">
        <v>2020</v>
      </c>
      <c r="X1355" s="147">
        <f>SUM(X1350,X1345,X1340,X1335,X1330,X1325,X1320,X1315,X1310,X1305,X1300,X1295,X1290,X1285)</f>
        <v>0</v>
      </c>
      <c r="Y1355" s="147">
        <f t="shared" si="2423"/>
        <v>0</v>
      </c>
      <c r="Z1355" s="147">
        <f t="shared" si="2423"/>
        <v>0</v>
      </c>
      <c r="AA1355" s="147">
        <f t="shared" si="2423"/>
        <v>0</v>
      </c>
      <c r="AB1355" s="147">
        <f t="shared" si="2423"/>
        <v>0</v>
      </c>
      <c r="AC1355" s="147">
        <f t="shared" si="2423"/>
        <v>0</v>
      </c>
      <c r="AD1355" s="147">
        <f t="shared" si="2423"/>
        <v>0</v>
      </c>
      <c r="AE1355" s="147">
        <f t="shared" si="2423"/>
        <v>0</v>
      </c>
      <c r="AF1355" s="147">
        <f t="shared" si="2423"/>
        <v>0</v>
      </c>
      <c r="AG1355" s="147">
        <f t="shared" si="2423"/>
        <v>0</v>
      </c>
      <c r="AH1355" s="147">
        <f t="shared" si="2423"/>
        <v>0</v>
      </c>
      <c r="AI1355" s="147">
        <f t="shared" si="2423"/>
        <v>0</v>
      </c>
      <c r="AJ1355" s="148">
        <f t="shared" si="2424"/>
        <v>0</v>
      </c>
      <c r="AK1355" s="104">
        <f t="shared" si="2420"/>
        <v>0</v>
      </c>
      <c r="AL1355" s="105"/>
    </row>
    <row r="1356" spans="1:38" ht="15.6" hidden="1" thickBot="1">
      <c r="A1356" s="91"/>
      <c r="B1356" s="305"/>
      <c r="C1356" s="306"/>
      <c r="D1356" s="143" t="s">
        <v>102</v>
      </c>
      <c r="E1356" s="149" t="e">
        <f t="shared" ref="E1356:R1356" si="2425">E1355/E1354</f>
        <v>#DIV/0!</v>
      </c>
      <c r="F1356" s="149" t="e">
        <f t="shared" si="2425"/>
        <v>#DIV/0!</v>
      </c>
      <c r="G1356" s="149" t="e">
        <f t="shared" si="2425"/>
        <v>#DIV/0!</v>
      </c>
      <c r="H1356" s="149" t="e">
        <f t="shared" si="2425"/>
        <v>#DIV/0!</v>
      </c>
      <c r="I1356" s="149" t="e">
        <f t="shared" si="2425"/>
        <v>#DIV/0!</v>
      </c>
      <c r="J1356" s="149" t="e">
        <f t="shared" si="2425"/>
        <v>#DIV/0!</v>
      </c>
      <c r="K1356" s="149" t="e">
        <f t="shared" si="2425"/>
        <v>#DIV/0!</v>
      </c>
      <c r="L1356" s="149" t="e">
        <f t="shared" si="2425"/>
        <v>#DIV/0!</v>
      </c>
      <c r="M1356" s="149" t="e">
        <f t="shared" si="2425"/>
        <v>#DIV/0!</v>
      </c>
      <c r="N1356" s="149" t="e">
        <f t="shared" si="2425"/>
        <v>#DIV/0!</v>
      </c>
      <c r="O1356" s="149" t="e">
        <f t="shared" si="2425"/>
        <v>#DIV/0!</v>
      </c>
      <c r="P1356" s="150" t="e">
        <f t="shared" si="2425"/>
        <v>#DIV/0!</v>
      </c>
      <c r="Q1356" s="151" t="e">
        <f t="shared" si="2425"/>
        <v>#DIV/0!</v>
      </c>
      <c r="R1356" s="104" t="e">
        <f t="shared" si="2425"/>
        <v>#DIV/0!</v>
      </c>
      <c r="S1356" s="105"/>
      <c r="T1356" s="91"/>
      <c r="U1356" s="311"/>
      <c r="V1356" s="312"/>
      <c r="W1356" s="146" t="s">
        <v>102</v>
      </c>
      <c r="X1356" s="152" t="e">
        <f t="shared" ref="X1356:AK1356" si="2426">X1355/X1354</f>
        <v>#DIV/0!</v>
      </c>
      <c r="Y1356" s="152" t="e">
        <f t="shared" si="2426"/>
        <v>#DIV/0!</v>
      </c>
      <c r="Z1356" s="152" t="e">
        <f t="shared" si="2426"/>
        <v>#DIV/0!</v>
      </c>
      <c r="AA1356" s="152" t="e">
        <f t="shared" si="2426"/>
        <v>#DIV/0!</v>
      </c>
      <c r="AB1356" s="152" t="e">
        <f t="shared" si="2426"/>
        <v>#DIV/0!</v>
      </c>
      <c r="AC1356" s="152" t="e">
        <f t="shared" si="2426"/>
        <v>#DIV/0!</v>
      </c>
      <c r="AD1356" s="152" t="e">
        <f t="shared" si="2426"/>
        <v>#DIV/0!</v>
      </c>
      <c r="AE1356" s="152" t="e">
        <f t="shared" si="2426"/>
        <v>#DIV/0!</v>
      </c>
      <c r="AF1356" s="152" t="e">
        <f t="shared" si="2426"/>
        <v>#DIV/0!</v>
      </c>
      <c r="AG1356" s="152" t="e">
        <f t="shared" si="2426"/>
        <v>#DIV/0!</v>
      </c>
      <c r="AH1356" s="152" t="e">
        <f t="shared" si="2426"/>
        <v>#DIV/0!</v>
      </c>
      <c r="AI1356" s="153" t="e">
        <f t="shared" si="2426"/>
        <v>#DIV/0!</v>
      </c>
      <c r="AJ1356" s="154" t="e">
        <f t="shared" si="2426"/>
        <v>#DIV/0!</v>
      </c>
      <c r="AK1356" s="104" t="e">
        <f t="shared" si="2426"/>
        <v>#DIV/0!</v>
      </c>
      <c r="AL1356" s="105"/>
    </row>
    <row r="1357" spans="1:38" ht="15.6" hidden="1" thickBot="1">
      <c r="A1357" s="155"/>
      <c r="B1357" s="307"/>
      <c r="C1357" s="308"/>
      <c r="D1357" s="156" t="s">
        <v>103</v>
      </c>
      <c r="E1357" s="165" t="e">
        <f t="shared" ref="E1357:R1357" si="2427">E1355/E1353</f>
        <v>#DIV/0!</v>
      </c>
      <c r="F1357" s="165" t="e">
        <f t="shared" si="2427"/>
        <v>#DIV/0!</v>
      </c>
      <c r="G1357" s="165" t="e">
        <f t="shared" si="2427"/>
        <v>#DIV/0!</v>
      </c>
      <c r="H1357" s="165" t="e">
        <f t="shared" si="2427"/>
        <v>#DIV/0!</v>
      </c>
      <c r="I1357" s="165" t="e">
        <f t="shared" si="2427"/>
        <v>#DIV/0!</v>
      </c>
      <c r="J1357" s="165" t="e">
        <f t="shared" si="2427"/>
        <v>#DIV/0!</v>
      </c>
      <c r="K1357" s="165" t="e">
        <f t="shared" si="2427"/>
        <v>#DIV/0!</v>
      </c>
      <c r="L1357" s="165" t="e">
        <f t="shared" si="2427"/>
        <v>#DIV/0!</v>
      </c>
      <c r="M1357" s="165" t="e">
        <f t="shared" si="2427"/>
        <v>#DIV/0!</v>
      </c>
      <c r="N1357" s="165" t="e">
        <f t="shared" si="2427"/>
        <v>#DIV/0!</v>
      </c>
      <c r="O1357" s="165" t="e">
        <f t="shared" si="2427"/>
        <v>#DIV/0!</v>
      </c>
      <c r="P1357" s="166" t="e">
        <f t="shared" si="2427"/>
        <v>#DIV/0!</v>
      </c>
      <c r="Q1357" s="167" t="e">
        <f t="shared" si="2427"/>
        <v>#DIV/0!</v>
      </c>
      <c r="R1357" s="168" t="e">
        <f t="shared" si="2427"/>
        <v>#DIV/0!</v>
      </c>
      <c r="T1357" s="155"/>
      <c r="U1357" s="313"/>
      <c r="V1357" s="314"/>
      <c r="W1357" s="160" t="s">
        <v>103</v>
      </c>
      <c r="X1357" s="169" t="e">
        <f t="shared" ref="X1357:AK1357" si="2428">X1355/X1353</f>
        <v>#DIV/0!</v>
      </c>
      <c r="Y1357" s="169" t="e">
        <f t="shared" si="2428"/>
        <v>#DIV/0!</v>
      </c>
      <c r="Z1357" s="169" t="e">
        <f t="shared" si="2428"/>
        <v>#DIV/0!</v>
      </c>
      <c r="AA1357" s="169" t="e">
        <f t="shared" si="2428"/>
        <v>#DIV/0!</v>
      </c>
      <c r="AB1357" s="169" t="e">
        <f t="shared" si="2428"/>
        <v>#DIV/0!</v>
      </c>
      <c r="AC1357" s="169" t="e">
        <f t="shared" si="2428"/>
        <v>#DIV/0!</v>
      </c>
      <c r="AD1357" s="169" t="e">
        <f t="shared" si="2428"/>
        <v>#DIV/0!</v>
      </c>
      <c r="AE1357" s="169" t="e">
        <f t="shared" si="2428"/>
        <v>#DIV/0!</v>
      </c>
      <c r="AF1357" s="169" t="e">
        <f t="shared" si="2428"/>
        <v>#DIV/0!</v>
      </c>
      <c r="AG1357" s="169" t="e">
        <f t="shared" si="2428"/>
        <v>#DIV/0!</v>
      </c>
      <c r="AH1357" s="169" t="e">
        <f t="shared" si="2428"/>
        <v>#DIV/0!</v>
      </c>
      <c r="AI1357" s="170" t="e">
        <f t="shared" si="2428"/>
        <v>#DIV/0!</v>
      </c>
      <c r="AJ1357" s="171" t="e">
        <f t="shared" si="2428"/>
        <v>#DIV/0!</v>
      </c>
      <c r="AK1357" s="168" t="e">
        <f t="shared" si="2428"/>
        <v>#DIV/0!</v>
      </c>
    </row>
    <row r="1358" spans="1:38" ht="15.6" thickTop="1">
      <c r="A1358" s="315" t="s">
        <v>174</v>
      </c>
      <c r="B1358" s="316"/>
      <c r="C1358" s="317"/>
      <c r="D1358" s="176">
        <v>2019</v>
      </c>
      <c r="E1358" s="177">
        <f>SUM(E1353,E1278,E1203,E1128,E1053,E978,E903,E828,E753)</f>
        <v>5297.0439999999981</v>
      </c>
      <c r="F1358" s="178">
        <f t="shared" ref="F1358:P1358" si="2429">SUM(F1353,F1278,F1203,F1128,F1053,F978,F903,F828,F753)</f>
        <v>5387.2800000000043</v>
      </c>
      <c r="G1358" s="178">
        <f t="shared" si="2429"/>
        <v>6279.0960000000096</v>
      </c>
      <c r="H1358" s="178">
        <f t="shared" si="2429"/>
        <v>5085.5340000000033</v>
      </c>
      <c r="I1358" s="178">
        <f t="shared" si="2429"/>
        <v>6437.7820000000047</v>
      </c>
      <c r="J1358" s="178">
        <f t="shared" si="2429"/>
        <v>5340.1069999999972</v>
      </c>
      <c r="K1358" s="178">
        <f t="shared" si="2429"/>
        <v>6832.7080000000042</v>
      </c>
      <c r="L1358" s="178">
        <f t="shared" si="2429"/>
        <v>4795.0140000000029</v>
      </c>
      <c r="M1358" s="178">
        <f t="shared" si="2429"/>
        <v>6511.114999999998</v>
      </c>
      <c r="N1358" s="178">
        <f t="shared" si="2429"/>
        <v>4662.2520000000004</v>
      </c>
      <c r="O1358" s="178">
        <f t="shared" si="2429"/>
        <v>6121.3889999999992</v>
      </c>
      <c r="P1358" s="179">
        <f t="shared" si="2429"/>
        <v>5437.411000000001</v>
      </c>
      <c r="Q1358" s="180">
        <f>SUM(E1358:P1358)</f>
        <v>68186.732000000033</v>
      </c>
      <c r="R1358" s="90">
        <f t="shared" ref="R1358" si="2430">SUM(E1358:M1358)</f>
        <v>51965.680000000022</v>
      </c>
      <c r="T1358" s="324" t="s">
        <v>174</v>
      </c>
      <c r="U1358" s="325"/>
      <c r="V1358" s="326"/>
      <c r="W1358" s="181">
        <v>2019</v>
      </c>
      <c r="X1358" s="182">
        <f>SUM(X1353,X1278,X1203,X1128,X1053,X978,X903,X828,X753)</f>
        <v>5297.0439999999981</v>
      </c>
      <c r="Y1358" s="183">
        <f t="shared" ref="Y1358:AI1358" si="2431">SUM(Y1353,Y1278,Y1203,Y1128,Y1053,Y978,Y903,Y828,Y753)</f>
        <v>5387.2800000000043</v>
      </c>
      <c r="Z1358" s="183">
        <f t="shared" si="2431"/>
        <v>6279.0960000000096</v>
      </c>
      <c r="AA1358" s="183">
        <f t="shared" si="2431"/>
        <v>5085.5340000000033</v>
      </c>
      <c r="AB1358" s="183">
        <f t="shared" si="2431"/>
        <v>6437.7820000000047</v>
      </c>
      <c r="AC1358" s="183">
        <f t="shared" si="2431"/>
        <v>5340.1069999999972</v>
      </c>
      <c r="AD1358" s="183">
        <f t="shared" si="2431"/>
        <v>6832.7080000000042</v>
      </c>
      <c r="AE1358" s="183">
        <f t="shared" si="2431"/>
        <v>4795.0140000000029</v>
      </c>
      <c r="AF1358" s="183">
        <f t="shared" si="2431"/>
        <v>6511.114999999998</v>
      </c>
      <c r="AG1358" s="183">
        <f t="shared" si="2431"/>
        <v>4662.2520000000004</v>
      </c>
      <c r="AH1358" s="183">
        <f t="shared" si="2431"/>
        <v>6121.3889999999992</v>
      </c>
      <c r="AI1358" s="184">
        <f t="shared" si="2431"/>
        <v>5437.411000000001</v>
      </c>
      <c r="AJ1358" s="185">
        <f>SUM(X1358:AI1358)</f>
        <v>68186.732000000033</v>
      </c>
      <c r="AK1358" s="90">
        <f t="shared" ref="AK1358:AK1360" si="2432">SUM(X1358:AF1358)</f>
        <v>51965.680000000022</v>
      </c>
    </row>
    <row r="1359" spans="1:38">
      <c r="A1359" s="318"/>
      <c r="B1359" s="319"/>
      <c r="C1359" s="320"/>
      <c r="D1359" s="186" t="s">
        <v>92</v>
      </c>
      <c r="E1359" s="187">
        <f t="shared" ref="E1359:P1360" si="2433">SUM(E1354,E1279,E1204,E1129,E1054,E979,E904,E829,E754)</f>
        <v>5000</v>
      </c>
      <c r="F1359" s="187">
        <f t="shared" si="2433"/>
        <v>5500</v>
      </c>
      <c r="G1359" s="187">
        <f t="shared" si="2433"/>
        <v>6300</v>
      </c>
      <c r="H1359" s="187">
        <f t="shared" si="2433"/>
        <v>5700</v>
      </c>
      <c r="I1359" s="187">
        <f t="shared" si="2433"/>
        <v>6700</v>
      </c>
      <c r="J1359" s="187">
        <f t="shared" si="2433"/>
        <v>5700</v>
      </c>
      <c r="K1359" s="187">
        <f t="shared" si="2433"/>
        <v>7000</v>
      </c>
      <c r="L1359" s="187">
        <f t="shared" si="2433"/>
        <v>5500</v>
      </c>
      <c r="M1359" s="187">
        <f t="shared" si="2433"/>
        <v>7500</v>
      </c>
      <c r="N1359" s="187">
        <f t="shared" si="2433"/>
        <v>5300</v>
      </c>
      <c r="O1359" s="187">
        <f t="shared" si="2433"/>
        <v>5700</v>
      </c>
      <c r="P1359" s="187">
        <f t="shared" si="2433"/>
        <v>6200</v>
      </c>
      <c r="Q1359" s="188">
        <f t="shared" ref="Q1359:Q1360" si="2434">SUM(E1359:P1359)</f>
        <v>72100</v>
      </c>
      <c r="R1359" s="96">
        <f t="shared" si="2337"/>
        <v>54900</v>
      </c>
      <c r="T1359" s="327"/>
      <c r="U1359" s="328"/>
      <c r="V1359" s="329"/>
      <c r="W1359" s="189" t="s">
        <v>92</v>
      </c>
      <c r="X1359" s="190">
        <f t="shared" ref="X1359:AI1360" si="2435">SUM(X1354,X1279,X1204,X1129,X1054,X979,X904,X829,X754)</f>
        <v>5400</v>
      </c>
      <c r="Y1359" s="190">
        <f t="shared" si="2435"/>
        <v>6000</v>
      </c>
      <c r="Z1359" s="190">
        <f t="shared" si="2435"/>
        <v>6800</v>
      </c>
      <c r="AA1359" s="190">
        <f t="shared" si="2435"/>
        <v>6300</v>
      </c>
      <c r="AB1359" s="190">
        <f t="shared" si="2435"/>
        <v>7200</v>
      </c>
      <c r="AC1359" s="190">
        <f t="shared" si="2435"/>
        <v>6300</v>
      </c>
      <c r="AD1359" s="190">
        <f t="shared" si="2435"/>
        <v>7500</v>
      </c>
      <c r="AE1359" s="190">
        <f t="shared" si="2435"/>
        <v>6000</v>
      </c>
      <c r="AF1359" s="190">
        <f t="shared" si="2435"/>
        <v>8000</v>
      </c>
      <c r="AG1359" s="190">
        <f t="shared" si="2435"/>
        <v>5900</v>
      </c>
      <c r="AH1359" s="190">
        <f t="shared" si="2435"/>
        <v>6600</v>
      </c>
      <c r="AI1359" s="190">
        <f t="shared" si="2435"/>
        <v>6800</v>
      </c>
      <c r="AJ1359" s="191">
        <f t="shared" ref="AJ1359:AJ1360" si="2436">SUM(X1359:AI1359)</f>
        <v>78800</v>
      </c>
      <c r="AK1359" s="96">
        <f t="shared" si="2432"/>
        <v>59500</v>
      </c>
    </row>
    <row r="1360" spans="1:38">
      <c r="A1360" s="318"/>
      <c r="B1360" s="319"/>
      <c r="C1360" s="320"/>
      <c r="D1360" s="192">
        <v>2020</v>
      </c>
      <c r="E1360" s="187">
        <f t="shared" si="2433"/>
        <v>6562.3670000000093</v>
      </c>
      <c r="F1360" s="193">
        <f t="shared" si="2433"/>
        <v>6438.8140000000039</v>
      </c>
      <c r="G1360" s="193">
        <f t="shared" si="2433"/>
        <v>7856.458999999988</v>
      </c>
      <c r="H1360" s="193">
        <f t="shared" si="2433"/>
        <v>0</v>
      </c>
      <c r="I1360" s="193">
        <f t="shared" si="2433"/>
        <v>0</v>
      </c>
      <c r="J1360" s="193">
        <f t="shared" si="2433"/>
        <v>0</v>
      </c>
      <c r="K1360" s="193">
        <f t="shared" si="2433"/>
        <v>0</v>
      </c>
      <c r="L1360" s="193">
        <f t="shared" si="2433"/>
        <v>0</v>
      </c>
      <c r="M1360" s="193">
        <f t="shared" si="2433"/>
        <v>0</v>
      </c>
      <c r="N1360" s="193">
        <f t="shared" si="2433"/>
        <v>0</v>
      </c>
      <c r="O1360" s="193">
        <f t="shared" si="2433"/>
        <v>0</v>
      </c>
      <c r="P1360" s="194">
        <f t="shared" si="2433"/>
        <v>0</v>
      </c>
      <c r="Q1360" s="188">
        <f t="shared" si="2434"/>
        <v>20857.64</v>
      </c>
      <c r="R1360" s="104">
        <f t="shared" si="2337"/>
        <v>20857.64</v>
      </c>
      <c r="S1360" s="105"/>
      <c r="T1360" s="327"/>
      <c r="U1360" s="328"/>
      <c r="V1360" s="329"/>
      <c r="W1360" s="195">
        <v>2020</v>
      </c>
      <c r="X1360" s="190">
        <f t="shared" si="2435"/>
        <v>6562.3670000000093</v>
      </c>
      <c r="Y1360" s="196">
        <f t="shared" si="2435"/>
        <v>6438.8140000000039</v>
      </c>
      <c r="Z1360" s="196">
        <f t="shared" si="2435"/>
        <v>7787.4349999999877</v>
      </c>
      <c r="AA1360" s="196">
        <f t="shared" si="2435"/>
        <v>0</v>
      </c>
      <c r="AB1360" s="196">
        <f t="shared" si="2435"/>
        <v>0</v>
      </c>
      <c r="AC1360" s="196">
        <f t="shared" si="2435"/>
        <v>0</v>
      </c>
      <c r="AD1360" s="196">
        <f t="shared" si="2435"/>
        <v>0</v>
      </c>
      <c r="AE1360" s="196">
        <f t="shared" si="2435"/>
        <v>0</v>
      </c>
      <c r="AF1360" s="196">
        <f t="shared" si="2435"/>
        <v>0</v>
      </c>
      <c r="AG1360" s="196">
        <f t="shared" si="2435"/>
        <v>0</v>
      </c>
      <c r="AH1360" s="196">
        <f t="shared" si="2435"/>
        <v>0</v>
      </c>
      <c r="AI1360" s="197">
        <f t="shared" si="2435"/>
        <v>0</v>
      </c>
      <c r="AJ1360" s="191">
        <f t="shared" si="2436"/>
        <v>20788.616000000002</v>
      </c>
      <c r="AK1360" s="104">
        <f t="shared" si="2432"/>
        <v>20788.616000000002</v>
      </c>
      <c r="AL1360" s="105"/>
    </row>
    <row r="1361" spans="1:39">
      <c r="A1361" s="318"/>
      <c r="B1361" s="319"/>
      <c r="C1361" s="320"/>
      <c r="D1361" s="192" t="s">
        <v>102</v>
      </c>
      <c r="E1361" s="198">
        <f t="shared" ref="E1361:R1361" si="2437">E1360/E1359</f>
        <v>1.3124734000000018</v>
      </c>
      <c r="F1361" s="198">
        <f t="shared" si="2437"/>
        <v>1.1706934545454553</v>
      </c>
      <c r="G1361" s="198">
        <f t="shared" si="2437"/>
        <v>1.2470569841269823</v>
      </c>
      <c r="H1361" s="198">
        <f t="shared" si="2437"/>
        <v>0</v>
      </c>
      <c r="I1361" s="198">
        <f t="shared" si="2437"/>
        <v>0</v>
      </c>
      <c r="J1361" s="198">
        <f t="shared" si="2437"/>
        <v>0</v>
      </c>
      <c r="K1361" s="198">
        <f t="shared" si="2437"/>
        <v>0</v>
      </c>
      <c r="L1361" s="198">
        <f t="shared" si="2437"/>
        <v>0</v>
      </c>
      <c r="M1361" s="198">
        <f t="shared" si="2437"/>
        <v>0</v>
      </c>
      <c r="N1361" s="198">
        <f t="shared" si="2437"/>
        <v>0</v>
      </c>
      <c r="O1361" s="198">
        <f t="shared" si="2437"/>
        <v>0</v>
      </c>
      <c r="P1361" s="199">
        <f t="shared" si="2437"/>
        <v>0</v>
      </c>
      <c r="Q1361" s="200">
        <f t="shared" si="2437"/>
        <v>0.2892876560332871</v>
      </c>
      <c r="R1361" s="110">
        <f t="shared" si="2437"/>
        <v>0.37992058287795993</v>
      </c>
      <c r="S1361" s="105"/>
      <c r="T1361" s="327"/>
      <c r="U1361" s="328"/>
      <c r="V1361" s="329"/>
      <c r="W1361" s="195" t="s">
        <v>102</v>
      </c>
      <c r="X1361" s="201">
        <f t="shared" ref="X1361:AK1361" si="2438">X1360/X1359</f>
        <v>1.2152531481481499</v>
      </c>
      <c r="Y1361" s="201">
        <f t="shared" si="2438"/>
        <v>1.0731356666666674</v>
      </c>
      <c r="Z1361" s="201">
        <f t="shared" si="2438"/>
        <v>1.1452110294117628</v>
      </c>
      <c r="AA1361" s="201">
        <f t="shared" si="2438"/>
        <v>0</v>
      </c>
      <c r="AB1361" s="201">
        <f t="shared" si="2438"/>
        <v>0</v>
      </c>
      <c r="AC1361" s="201">
        <f t="shared" si="2438"/>
        <v>0</v>
      </c>
      <c r="AD1361" s="201">
        <f t="shared" si="2438"/>
        <v>0</v>
      </c>
      <c r="AE1361" s="201">
        <f t="shared" si="2438"/>
        <v>0</v>
      </c>
      <c r="AF1361" s="201">
        <f t="shared" si="2438"/>
        <v>0</v>
      </c>
      <c r="AG1361" s="201">
        <f t="shared" si="2438"/>
        <v>0</v>
      </c>
      <c r="AH1361" s="201">
        <f t="shared" si="2438"/>
        <v>0</v>
      </c>
      <c r="AI1361" s="202">
        <f t="shared" si="2438"/>
        <v>0</v>
      </c>
      <c r="AJ1361" s="203">
        <f t="shared" si="2438"/>
        <v>0.26381492385786803</v>
      </c>
      <c r="AK1361" s="110">
        <f t="shared" si="2438"/>
        <v>0.34938850420168072</v>
      </c>
      <c r="AL1361" s="105"/>
    </row>
    <row r="1362" spans="1:39" ht="15.6" thickBot="1">
      <c r="A1362" s="321"/>
      <c r="B1362" s="322"/>
      <c r="C1362" s="323"/>
      <c r="D1362" s="204" t="s">
        <v>103</v>
      </c>
      <c r="E1362" s="205">
        <f t="shared" ref="E1362:R1362" si="2439">E1360/E1358</f>
        <v>1.2388734169472657</v>
      </c>
      <c r="F1362" s="205">
        <f t="shared" si="2439"/>
        <v>1.1951882953921087</v>
      </c>
      <c r="G1362" s="205">
        <f t="shared" si="2439"/>
        <v>1.2512086134691962</v>
      </c>
      <c r="H1362" s="205">
        <f t="shared" si="2439"/>
        <v>0</v>
      </c>
      <c r="I1362" s="205">
        <f t="shared" si="2439"/>
        <v>0</v>
      </c>
      <c r="J1362" s="205">
        <f t="shared" si="2439"/>
        <v>0</v>
      </c>
      <c r="K1362" s="205">
        <f t="shared" si="2439"/>
        <v>0</v>
      </c>
      <c r="L1362" s="205">
        <f t="shared" si="2439"/>
        <v>0</v>
      </c>
      <c r="M1362" s="205">
        <f t="shared" si="2439"/>
        <v>0</v>
      </c>
      <c r="N1362" s="205">
        <f t="shared" si="2439"/>
        <v>0</v>
      </c>
      <c r="O1362" s="205">
        <f t="shared" si="2439"/>
        <v>0</v>
      </c>
      <c r="P1362" s="206">
        <f t="shared" si="2439"/>
        <v>0</v>
      </c>
      <c r="Q1362" s="207">
        <f t="shared" si="2439"/>
        <v>0.3058900080443801</v>
      </c>
      <c r="R1362" s="168">
        <f t="shared" si="2439"/>
        <v>0.40137336796131584</v>
      </c>
      <c r="S1362" s="105"/>
      <c r="T1362" s="330"/>
      <c r="U1362" s="331"/>
      <c r="V1362" s="332"/>
      <c r="W1362" s="208" t="s">
        <v>103</v>
      </c>
      <c r="X1362" s="209">
        <f t="shared" ref="X1362:AK1362" si="2440">X1360/X1358</f>
        <v>1.2388734169472657</v>
      </c>
      <c r="Y1362" s="209">
        <f t="shared" si="2440"/>
        <v>1.1951882953921087</v>
      </c>
      <c r="Z1362" s="209">
        <f t="shared" si="2440"/>
        <v>1.2402159482829973</v>
      </c>
      <c r="AA1362" s="209">
        <f t="shared" si="2440"/>
        <v>0</v>
      </c>
      <c r="AB1362" s="209">
        <f t="shared" si="2440"/>
        <v>0</v>
      </c>
      <c r="AC1362" s="209">
        <f t="shared" si="2440"/>
        <v>0</v>
      </c>
      <c r="AD1362" s="209">
        <f t="shared" si="2440"/>
        <v>0</v>
      </c>
      <c r="AE1362" s="209">
        <f t="shared" si="2440"/>
        <v>0</v>
      </c>
      <c r="AF1362" s="209">
        <f t="shared" si="2440"/>
        <v>0</v>
      </c>
      <c r="AG1362" s="209">
        <f t="shared" si="2440"/>
        <v>0</v>
      </c>
      <c r="AH1362" s="209">
        <f t="shared" si="2440"/>
        <v>0</v>
      </c>
      <c r="AI1362" s="210">
        <f t="shared" si="2440"/>
        <v>0</v>
      </c>
      <c r="AJ1362" s="211">
        <f t="shared" si="2440"/>
        <v>0.30487772899865612</v>
      </c>
      <c r="AK1362" s="168">
        <f t="shared" si="2440"/>
        <v>0.40004510669349447</v>
      </c>
      <c r="AL1362" s="105"/>
    </row>
    <row r="1363" spans="1:39" ht="15.6" thickTop="1">
      <c r="A1363" s="282" t="s">
        <v>175</v>
      </c>
      <c r="B1363" s="283"/>
      <c r="C1363" s="284"/>
      <c r="D1363" s="212">
        <v>2019</v>
      </c>
      <c r="E1363" s="213">
        <f>SUM(E678,E1358)</f>
        <v>19665.130999999994</v>
      </c>
      <c r="F1363" s="214">
        <f t="shared" ref="F1363:P1363" si="2441">SUM(F678,F1358)</f>
        <v>23822.126999999993</v>
      </c>
      <c r="G1363" s="214">
        <f t="shared" si="2441"/>
        <v>23948.976000000013</v>
      </c>
      <c r="H1363" s="214">
        <f t="shared" si="2441"/>
        <v>25915.333000000002</v>
      </c>
      <c r="I1363" s="214">
        <f t="shared" si="2441"/>
        <v>18854.268999999993</v>
      </c>
      <c r="J1363" s="214">
        <f t="shared" si="2441"/>
        <v>21974.325999999986</v>
      </c>
      <c r="K1363" s="214">
        <f t="shared" si="2441"/>
        <v>24650.499999999993</v>
      </c>
      <c r="L1363" s="214">
        <f t="shared" si="2441"/>
        <v>19307.419999999995</v>
      </c>
      <c r="M1363" s="214">
        <f t="shared" si="2441"/>
        <v>23821.82599999999</v>
      </c>
      <c r="N1363" s="214">
        <f t="shared" si="2441"/>
        <v>23722.027999999998</v>
      </c>
      <c r="O1363" s="214">
        <f t="shared" si="2441"/>
        <v>25335.967000000001</v>
      </c>
      <c r="P1363" s="215">
        <f t="shared" si="2441"/>
        <v>28783.021000000008</v>
      </c>
      <c r="Q1363" s="216">
        <f>SUM(E1363:P1363)</f>
        <v>279800.92399999994</v>
      </c>
      <c r="R1363" s="90">
        <f t="shared" ref="R1363" si="2442">SUM(E1363:M1363)</f>
        <v>201959.90799999994</v>
      </c>
      <c r="T1363" s="282" t="s">
        <v>175</v>
      </c>
      <c r="U1363" s="283"/>
      <c r="V1363" s="284"/>
      <c r="W1363" s="212">
        <v>2019</v>
      </c>
      <c r="X1363" s="213">
        <f>SUM(X678,X1358)</f>
        <v>19665.130999999994</v>
      </c>
      <c r="Y1363" s="214">
        <f t="shared" ref="Y1363:AI1363" si="2443">SUM(Y678,Y1358)</f>
        <v>23822.126999999993</v>
      </c>
      <c r="Z1363" s="214">
        <f t="shared" si="2443"/>
        <v>23948.976000000013</v>
      </c>
      <c r="AA1363" s="214">
        <f t="shared" si="2443"/>
        <v>25915.333000000002</v>
      </c>
      <c r="AB1363" s="214">
        <f t="shared" si="2443"/>
        <v>18854.268999999993</v>
      </c>
      <c r="AC1363" s="214">
        <f t="shared" si="2443"/>
        <v>21974.325999999986</v>
      </c>
      <c r="AD1363" s="214">
        <f t="shared" si="2443"/>
        <v>24650.499999999993</v>
      </c>
      <c r="AE1363" s="214">
        <f t="shared" si="2443"/>
        <v>19307.419999999995</v>
      </c>
      <c r="AF1363" s="214">
        <f t="shared" si="2443"/>
        <v>23821.82599999999</v>
      </c>
      <c r="AG1363" s="214">
        <f t="shared" si="2443"/>
        <v>23722.027999999998</v>
      </c>
      <c r="AH1363" s="214">
        <f t="shared" si="2443"/>
        <v>25335.967000000001</v>
      </c>
      <c r="AI1363" s="215">
        <f t="shared" si="2443"/>
        <v>28783.021000000008</v>
      </c>
      <c r="AJ1363" s="216">
        <f>SUM(X1363:AI1363)</f>
        <v>279800.92399999994</v>
      </c>
      <c r="AK1363" s="90">
        <f t="shared" ref="AK1363" si="2444">SUM(X1363:AF1363)</f>
        <v>201959.90799999994</v>
      </c>
    </row>
    <row r="1364" spans="1:39">
      <c r="A1364" s="285"/>
      <c r="B1364" s="286"/>
      <c r="C1364" s="287"/>
      <c r="D1364" s="217" t="s">
        <v>92</v>
      </c>
      <c r="E1364" s="218">
        <f t="shared" ref="E1364:P1365" si="2445">SUM(E679,E1359)</f>
        <v>17300</v>
      </c>
      <c r="F1364" s="219">
        <f t="shared" si="2445"/>
        <v>22590</v>
      </c>
      <c r="G1364" s="219">
        <f t="shared" si="2445"/>
        <v>25740</v>
      </c>
      <c r="H1364" s="219">
        <f t="shared" si="2445"/>
        <v>28140</v>
      </c>
      <c r="I1364" s="219">
        <f t="shared" si="2445"/>
        <v>22440</v>
      </c>
      <c r="J1364" s="219">
        <f t="shared" si="2445"/>
        <v>25090</v>
      </c>
      <c r="K1364" s="219">
        <f t="shared" si="2445"/>
        <v>28640</v>
      </c>
      <c r="L1364" s="219">
        <f t="shared" si="2445"/>
        <v>25690</v>
      </c>
      <c r="M1364" s="219">
        <f t="shared" si="2445"/>
        <v>28690</v>
      </c>
      <c r="N1364" s="219">
        <f t="shared" si="2445"/>
        <v>27590</v>
      </c>
      <c r="O1364" s="219">
        <f t="shared" si="2445"/>
        <v>29290</v>
      </c>
      <c r="P1364" s="220">
        <f t="shared" si="2445"/>
        <v>35990</v>
      </c>
      <c r="Q1364" s="221">
        <f t="shared" ref="Q1364:Q1365" si="2446">SUM(E1364:P1364)</f>
        <v>317190</v>
      </c>
      <c r="R1364" s="96">
        <f t="shared" si="2337"/>
        <v>224320</v>
      </c>
      <c r="T1364" s="285"/>
      <c r="U1364" s="286"/>
      <c r="V1364" s="287"/>
      <c r="W1364" s="217" t="s">
        <v>92</v>
      </c>
      <c r="X1364" s="218">
        <f t="shared" ref="X1364:AI1365" si="2447">SUM(X679,X1359)</f>
        <v>17100</v>
      </c>
      <c r="Y1364" s="219">
        <f t="shared" si="2447"/>
        <v>22290</v>
      </c>
      <c r="Z1364" s="219">
        <f t="shared" si="2447"/>
        <v>25440</v>
      </c>
      <c r="AA1364" s="219">
        <f t="shared" si="2447"/>
        <v>27890</v>
      </c>
      <c r="AB1364" s="219">
        <f t="shared" si="2447"/>
        <v>21940</v>
      </c>
      <c r="AC1364" s="219">
        <f t="shared" si="2447"/>
        <v>24790</v>
      </c>
      <c r="AD1364" s="219">
        <f t="shared" si="2447"/>
        <v>28240</v>
      </c>
      <c r="AE1364" s="219">
        <f t="shared" si="2447"/>
        <v>25140</v>
      </c>
      <c r="AF1364" s="219">
        <f t="shared" si="2447"/>
        <v>28140</v>
      </c>
      <c r="AG1364" s="219">
        <f t="shared" si="2447"/>
        <v>27040</v>
      </c>
      <c r="AH1364" s="219">
        <f t="shared" si="2447"/>
        <v>29040</v>
      </c>
      <c r="AI1364" s="220">
        <f t="shared" si="2447"/>
        <v>35340</v>
      </c>
      <c r="AJ1364" s="221">
        <f t="shared" ref="AJ1364:AJ1365" si="2448">SUM(X1364:AI1364)</f>
        <v>312390</v>
      </c>
      <c r="AK1364" s="96">
        <f>SUM(X1364:AF1364)</f>
        <v>220970</v>
      </c>
      <c r="AL1364" s="76">
        <v>527000</v>
      </c>
      <c r="AM1364" s="222">
        <f>Q1364-AJ1364</f>
        <v>4800</v>
      </c>
    </row>
    <row r="1365" spans="1:39">
      <c r="A1365" s="285"/>
      <c r="B1365" s="286"/>
      <c r="C1365" s="287"/>
      <c r="D1365" s="223">
        <v>2020</v>
      </c>
      <c r="E1365" s="218">
        <f t="shared" si="2445"/>
        <v>24889.264000000006</v>
      </c>
      <c r="F1365" s="219">
        <f t="shared" si="2445"/>
        <v>30866.312999999987</v>
      </c>
      <c r="G1365" s="219">
        <f t="shared" si="2445"/>
        <v>46513.257999999994</v>
      </c>
      <c r="H1365" s="219">
        <f t="shared" si="2445"/>
        <v>0</v>
      </c>
      <c r="I1365" s="219">
        <f t="shared" si="2445"/>
        <v>0</v>
      </c>
      <c r="J1365" s="219">
        <f t="shared" si="2445"/>
        <v>0</v>
      </c>
      <c r="K1365" s="219">
        <f t="shared" si="2445"/>
        <v>0</v>
      </c>
      <c r="L1365" s="219">
        <f t="shared" si="2445"/>
        <v>0</v>
      </c>
      <c r="M1365" s="219">
        <f t="shared" si="2445"/>
        <v>0</v>
      </c>
      <c r="N1365" s="219">
        <f t="shared" si="2445"/>
        <v>0</v>
      </c>
      <c r="O1365" s="219">
        <f t="shared" si="2445"/>
        <v>0</v>
      </c>
      <c r="P1365" s="220">
        <f t="shared" si="2445"/>
        <v>0</v>
      </c>
      <c r="Q1365" s="221">
        <f t="shared" si="2446"/>
        <v>102268.83499999999</v>
      </c>
      <c r="R1365" s="104">
        <f t="shared" si="2337"/>
        <v>102268.83499999999</v>
      </c>
      <c r="S1365" s="105"/>
      <c r="T1365" s="285"/>
      <c r="U1365" s="286"/>
      <c r="V1365" s="287"/>
      <c r="W1365" s="223">
        <v>2020</v>
      </c>
      <c r="X1365" s="218">
        <f t="shared" si="2447"/>
        <v>23224.060000000009</v>
      </c>
      <c r="Y1365" s="219">
        <f t="shared" si="2447"/>
        <v>29556.416999999987</v>
      </c>
      <c r="Z1365" s="219">
        <f t="shared" si="2447"/>
        <v>44938.264000000003</v>
      </c>
      <c r="AA1365" s="219">
        <f t="shared" si="2447"/>
        <v>0</v>
      </c>
      <c r="AB1365" s="219">
        <f t="shared" si="2447"/>
        <v>0</v>
      </c>
      <c r="AC1365" s="219">
        <f t="shared" si="2447"/>
        <v>0</v>
      </c>
      <c r="AD1365" s="219">
        <f t="shared" si="2447"/>
        <v>0</v>
      </c>
      <c r="AE1365" s="219">
        <f t="shared" si="2447"/>
        <v>0</v>
      </c>
      <c r="AF1365" s="219">
        <f t="shared" si="2447"/>
        <v>0</v>
      </c>
      <c r="AG1365" s="219">
        <f t="shared" si="2447"/>
        <v>0</v>
      </c>
      <c r="AH1365" s="219">
        <f t="shared" si="2447"/>
        <v>0</v>
      </c>
      <c r="AI1365" s="220">
        <f t="shared" si="2447"/>
        <v>0</v>
      </c>
      <c r="AJ1365" s="221">
        <f t="shared" si="2448"/>
        <v>97718.741000000009</v>
      </c>
      <c r="AK1365" s="104">
        <f t="shared" ref="AK1365" si="2449">SUM(X1365:AF1365)</f>
        <v>97718.741000000009</v>
      </c>
      <c r="AL1365" s="224">
        <f>AJ1364-AL1364</f>
        <v>-214610</v>
      </c>
    </row>
    <row r="1366" spans="1:39">
      <c r="A1366" s="285"/>
      <c r="B1366" s="286"/>
      <c r="C1366" s="287"/>
      <c r="D1366" s="223" t="s">
        <v>102</v>
      </c>
      <c r="E1366" s="225">
        <f t="shared" ref="E1366:R1366" si="2450">E1365/E1364</f>
        <v>1.4386857803468212</v>
      </c>
      <c r="F1366" s="225">
        <f t="shared" si="2450"/>
        <v>1.3663706507304112</v>
      </c>
      <c r="G1366" s="225">
        <f t="shared" si="2450"/>
        <v>1.8070418803418802</v>
      </c>
      <c r="H1366" s="225">
        <f t="shared" si="2450"/>
        <v>0</v>
      </c>
      <c r="I1366" s="225">
        <f t="shared" si="2450"/>
        <v>0</v>
      </c>
      <c r="J1366" s="225">
        <f t="shared" si="2450"/>
        <v>0</v>
      </c>
      <c r="K1366" s="225">
        <f t="shared" si="2450"/>
        <v>0</v>
      </c>
      <c r="L1366" s="225">
        <f t="shared" si="2450"/>
        <v>0</v>
      </c>
      <c r="M1366" s="225">
        <f t="shared" si="2450"/>
        <v>0</v>
      </c>
      <c r="N1366" s="225">
        <f t="shared" si="2450"/>
        <v>0</v>
      </c>
      <c r="O1366" s="225">
        <f t="shared" si="2450"/>
        <v>0</v>
      </c>
      <c r="P1366" s="226">
        <f t="shared" si="2450"/>
        <v>0</v>
      </c>
      <c r="Q1366" s="227">
        <f t="shared" si="2450"/>
        <v>0.32242137204829913</v>
      </c>
      <c r="R1366" s="110">
        <f t="shared" si="2450"/>
        <v>0.45590600481455062</v>
      </c>
      <c r="S1366" s="105"/>
      <c r="T1366" s="285"/>
      <c r="U1366" s="286"/>
      <c r="V1366" s="287"/>
      <c r="W1366" s="223" t="s">
        <v>102</v>
      </c>
      <c r="X1366" s="225">
        <f t="shared" ref="X1366:AK1366" si="2451">X1365/X1364</f>
        <v>1.3581321637426906</v>
      </c>
      <c r="Y1366" s="225">
        <f t="shared" si="2451"/>
        <v>1.3259944818304166</v>
      </c>
      <c r="Z1366" s="225">
        <f t="shared" si="2451"/>
        <v>1.7664411949685537</v>
      </c>
      <c r="AA1366" s="225">
        <f t="shared" si="2451"/>
        <v>0</v>
      </c>
      <c r="AB1366" s="225">
        <f t="shared" si="2451"/>
        <v>0</v>
      </c>
      <c r="AC1366" s="225">
        <f t="shared" si="2451"/>
        <v>0</v>
      </c>
      <c r="AD1366" s="225">
        <f t="shared" si="2451"/>
        <v>0</v>
      </c>
      <c r="AE1366" s="225">
        <f t="shared" si="2451"/>
        <v>0</v>
      </c>
      <c r="AF1366" s="225">
        <f t="shared" si="2451"/>
        <v>0</v>
      </c>
      <c r="AG1366" s="225">
        <f t="shared" si="2451"/>
        <v>0</v>
      </c>
      <c r="AH1366" s="225">
        <f t="shared" si="2451"/>
        <v>0</v>
      </c>
      <c r="AI1366" s="226">
        <f t="shared" si="2451"/>
        <v>0</v>
      </c>
      <c r="AJ1366" s="227">
        <f t="shared" si="2451"/>
        <v>0.31281008034828262</v>
      </c>
      <c r="AK1366" s="110">
        <f t="shared" si="2451"/>
        <v>0.44222627958546412</v>
      </c>
      <c r="AL1366" s="105"/>
    </row>
    <row r="1367" spans="1:39" ht="15.6" thickBot="1">
      <c r="A1367" s="288"/>
      <c r="B1367" s="289"/>
      <c r="C1367" s="290"/>
      <c r="D1367" s="228" t="s">
        <v>103</v>
      </c>
      <c r="E1367" s="229">
        <f t="shared" ref="E1367:R1367" si="2452">E1365/E1363</f>
        <v>1.2656546249297813</v>
      </c>
      <c r="F1367" s="229">
        <f t="shared" si="2452"/>
        <v>1.2956992883129199</v>
      </c>
      <c r="G1367" s="229">
        <f t="shared" si="2452"/>
        <v>1.9421814945240234</v>
      </c>
      <c r="H1367" s="229">
        <f t="shared" si="2452"/>
        <v>0</v>
      </c>
      <c r="I1367" s="229">
        <f t="shared" si="2452"/>
        <v>0</v>
      </c>
      <c r="J1367" s="229">
        <f t="shared" si="2452"/>
        <v>0</v>
      </c>
      <c r="K1367" s="229">
        <f t="shared" si="2452"/>
        <v>0</v>
      </c>
      <c r="L1367" s="229">
        <f t="shared" si="2452"/>
        <v>0</v>
      </c>
      <c r="M1367" s="229">
        <f t="shared" si="2452"/>
        <v>0</v>
      </c>
      <c r="N1367" s="229">
        <f t="shared" si="2452"/>
        <v>0</v>
      </c>
      <c r="O1367" s="229">
        <f t="shared" si="2452"/>
        <v>0</v>
      </c>
      <c r="P1367" s="230">
        <f t="shared" si="2452"/>
        <v>0</v>
      </c>
      <c r="Q1367" s="231">
        <f t="shared" si="2452"/>
        <v>0.36550570862303516</v>
      </c>
      <c r="R1367" s="168">
        <f t="shared" si="2452"/>
        <v>0.50638186565226606</v>
      </c>
      <c r="S1367" s="232"/>
      <c r="T1367" s="288"/>
      <c r="U1367" s="289"/>
      <c r="V1367" s="290"/>
      <c r="W1367" s="228" t="s">
        <v>103</v>
      </c>
      <c r="X1367" s="229">
        <f t="shared" ref="X1367:AK1367" si="2453">X1365/X1363</f>
        <v>1.1809766230390235</v>
      </c>
      <c r="Y1367" s="229">
        <f t="shared" si="2453"/>
        <v>1.2407127625505479</v>
      </c>
      <c r="Z1367" s="229">
        <f t="shared" si="2453"/>
        <v>1.8764169290578427</v>
      </c>
      <c r="AA1367" s="229">
        <f t="shared" si="2453"/>
        <v>0</v>
      </c>
      <c r="AB1367" s="229">
        <f t="shared" si="2453"/>
        <v>0</v>
      </c>
      <c r="AC1367" s="229">
        <f t="shared" si="2453"/>
        <v>0</v>
      </c>
      <c r="AD1367" s="229">
        <f t="shared" si="2453"/>
        <v>0</v>
      </c>
      <c r="AE1367" s="229">
        <f t="shared" si="2453"/>
        <v>0</v>
      </c>
      <c r="AF1367" s="229">
        <f t="shared" si="2453"/>
        <v>0</v>
      </c>
      <c r="AG1367" s="229">
        <f t="shared" si="2453"/>
        <v>0</v>
      </c>
      <c r="AH1367" s="229">
        <f t="shared" si="2453"/>
        <v>0</v>
      </c>
      <c r="AI1367" s="230">
        <f t="shared" si="2453"/>
        <v>0</v>
      </c>
      <c r="AJ1367" s="231">
        <f t="shared" si="2453"/>
        <v>0.3492438109318039</v>
      </c>
      <c r="AK1367" s="168">
        <f t="shared" si="2453"/>
        <v>0.4838521762448022</v>
      </c>
      <c r="AL1367" s="232"/>
    </row>
    <row r="1368" spans="1:39" ht="15.6" thickTop="1">
      <c r="Q1368" s="234"/>
      <c r="R1368" s="235">
        <f>R1365-R1364</f>
        <v>-122051.16500000001</v>
      </c>
      <c r="AJ1368" s="234"/>
      <c r="AK1368" s="235">
        <f>AK1365-AK1364</f>
        <v>-123251.25899999999</v>
      </c>
    </row>
    <row r="1369" spans="1:39">
      <c r="R1369" s="236"/>
      <c r="AK1369" s="236"/>
    </row>
    <row r="1371" spans="1:39">
      <c r="E1371" s="237">
        <f>SUM(E78,E33,E28,E23)</f>
        <v>508.24200000000019</v>
      </c>
      <c r="F1371" s="237">
        <f>SUM(F78,F33,F28,F23)</f>
        <v>926.86200000000008</v>
      </c>
      <c r="R1371" s="90">
        <f t="shared" ref="R1371:R1373" si="2454">SUM(E1371:F1371)</f>
        <v>1435.1040000000003</v>
      </c>
      <c r="X1371" s="237">
        <f>SUM(X78,X33,X28,X23)</f>
        <v>508.24200000000019</v>
      </c>
      <c r="Y1371" s="237">
        <f>SUM(Y78,Y33,Y28,Y23)</f>
        <v>926.86200000000008</v>
      </c>
      <c r="AK1371" s="90">
        <f t="shared" ref="AK1371:AK1373" si="2455">SUM(X1371:Y1371)</f>
        <v>1435.1040000000003</v>
      </c>
    </row>
    <row r="1372" spans="1:39">
      <c r="E1372" s="237">
        <f t="shared" ref="E1372:F1373" si="2456">SUM(E79,E34,E29,E24)</f>
        <v>650</v>
      </c>
      <c r="F1372" s="237">
        <f t="shared" si="2456"/>
        <v>1250</v>
      </c>
      <c r="K1372" s="237"/>
      <c r="R1372" s="96">
        <f t="shared" si="2454"/>
        <v>1900</v>
      </c>
      <c r="X1372" s="237">
        <f t="shared" ref="X1372:Y1373" si="2457">SUM(X79,X34,X29,X24)</f>
        <v>650</v>
      </c>
      <c r="Y1372" s="237">
        <f t="shared" si="2457"/>
        <v>1250</v>
      </c>
      <c r="AD1372" s="237"/>
      <c r="AK1372" s="96">
        <f t="shared" si="2455"/>
        <v>1900</v>
      </c>
    </row>
    <row r="1373" spans="1:39">
      <c r="E1373" s="237">
        <f t="shared" si="2456"/>
        <v>1624.5640000000001</v>
      </c>
      <c r="F1373" s="237">
        <f t="shared" si="2456"/>
        <v>1407.09</v>
      </c>
      <c r="R1373" s="104">
        <f t="shared" si="2454"/>
        <v>3031.654</v>
      </c>
      <c r="X1373" s="237">
        <f t="shared" si="2457"/>
        <v>1570.0840000000001</v>
      </c>
      <c r="Y1373" s="237">
        <f t="shared" si="2457"/>
        <v>1367.25</v>
      </c>
      <c r="AK1373" s="104">
        <f t="shared" si="2455"/>
        <v>2937.3339999999998</v>
      </c>
    </row>
    <row r="1374" spans="1:39">
      <c r="E1374" s="106">
        <f>E1373/E1372</f>
        <v>2.4993292307692307</v>
      </c>
      <c r="F1374" s="106">
        <f t="shared" ref="F1374" si="2458">F1373/F1372</f>
        <v>1.125672</v>
      </c>
      <c r="R1374" s="110">
        <f t="shared" ref="R1374" si="2459">R1373/R1372</f>
        <v>1.5956073684210526</v>
      </c>
      <c r="X1374" s="106">
        <f>X1373/X1372</f>
        <v>2.4155138461538463</v>
      </c>
      <c r="Y1374" s="106">
        <f t="shared" ref="Y1374" si="2460">Y1373/Y1372</f>
        <v>1.0938000000000001</v>
      </c>
      <c r="AK1374" s="110">
        <f t="shared" ref="AK1374" si="2461">AK1373/AK1372</f>
        <v>1.5459652631578946</v>
      </c>
    </row>
    <row r="1375" spans="1:39">
      <c r="E1375" s="113">
        <f>E1373/E1371</f>
        <v>3.1964379173700705</v>
      </c>
      <c r="F1375" s="113">
        <f t="shared" ref="F1375" si="2462">F1373/F1371</f>
        <v>1.5181224389391299</v>
      </c>
      <c r="R1375" s="168">
        <f t="shared" ref="R1375" si="2463">R1373/R1371</f>
        <v>2.1124977701964451</v>
      </c>
      <c r="X1375" s="113">
        <f>X1373/X1371</f>
        <v>3.0892448872781064</v>
      </c>
      <c r="Y1375" s="113">
        <f t="shared" ref="Y1375" si="2464">Y1373/Y1371</f>
        <v>1.4751386937861299</v>
      </c>
      <c r="AK1375" s="168">
        <f t="shared" ref="AK1375" si="2465">AK1373/AK1371</f>
        <v>2.0467743104332503</v>
      </c>
    </row>
  </sheetData>
  <sheetProtection selectLockedCells="1"/>
  <mergeCells count="44">
    <mergeCell ref="A2:B2"/>
    <mergeCell ref="T2:U2"/>
    <mergeCell ref="B73:C77"/>
    <mergeCell ref="U73:V77"/>
    <mergeCell ref="B148:C152"/>
    <mergeCell ref="U148:V152"/>
    <mergeCell ref="B223:C227"/>
    <mergeCell ref="U223:V227"/>
    <mergeCell ref="B298:C302"/>
    <mergeCell ref="U298:V302"/>
    <mergeCell ref="B373:C377"/>
    <mergeCell ref="U373:V377"/>
    <mergeCell ref="B448:C452"/>
    <mergeCell ref="U448:V452"/>
    <mergeCell ref="B523:C527"/>
    <mergeCell ref="U523:V527"/>
    <mergeCell ref="B598:C602"/>
    <mergeCell ref="U598:V602"/>
    <mergeCell ref="B673:C677"/>
    <mergeCell ref="U673:V677"/>
    <mergeCell ref="A678:C682"/>
    <mergeCell ref="T678:V682"/>
    <mergeCell ref="B753:C757"/>
    <mergeCell ref="U753:V757"/>
    <mergeCell ref="B828:C832"/>
    <mergeCell ref="U828:V832"/>
    <mergeCell ref="B903:C907"/>
    <mergeCell ref="U903:V907"/>
    <mergeCell ref="B978:C982"/>
    <mergeCell ref="U978:V982"/>
    <mergeCell ref="B1053:C1057"/>
    <mergeCell ref="U1053:V1057"/>
    <mergeCell ref="B1128:C1132"/>
    <mergeCell ref="U1128:V1132"/>
    <mergeCell ref="B1203:C1207"/>
    <mergeCell ref="U1203:V1207"/>
    <mergeCell ref="A1363:C1367"/>
    <mergeCell ref="T1363:V1367"/>
    <mergeCell ref="B1278:C1282"/>
    <mergeCell ref="U1278:V1282"/>
    <mergeCell ref="B1353:C1357"/>
    <mergeCell ref="U1353:V1357"/>
    <mergeCell ref="A1358:C1362"/>
    <mergeCell ref="T1358:V1362"/>
  </mergeCells>
  <phoneticPr fontId="17"/>
  <pageMargins left="0.82677165354330717" right="0.47244094488188981" top="0.74803149606299213" bottom="0.82677165354330717" header="0.31496062992125984" footer="0.31496062992125984"/>
  <pageSetup paperSize="9" scale="51" orientation="portrait" r:id="rId1"/>
  <headerFooter>
    <oddHeader>&amp;L&amp;"Arial,標準"&amp;18 2020 budget
Personal &amp;KFF0000SALES&amp;K000000 (Imashige)&amp;R&amp;"Arial,標準"&amp;14&amp;D</oddHeader>
  </headerFooter>
  <colBreaks count="1" manualBreakCount="1">
    <brk id="19" max="1367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</vt:i4>
      </vt:variant>
    </vt:vector>
  </HeadingPairs>
  <TitlesOfParts>
    <vt:vector size="25" baseType="lpstr">
      <vt:lpstr>雛型</vt:lpstr>
      <vt:lpstr>1</vt:lpstr>
      <vt:lpstr>2</vt:lpstr>
      <vt:lpstr>3</vt:lpstr>
      <vt:lpstr>6</vt:lpstr>
      <vt:lpstr>7</vt:lpstr>
      <vt:lpstr>8</vt:lpstr>
      <vt:lpstr>10</vt:lpstr>
      <vt:lpstr>13</vt:lpstr>
      <vt:lpstr>14</vt:lpstr>
      <vt:lpstr>15</vt:lpstr>
      <vt:lpstr>16</vt:lpstr>
      <vt:lpstr>17</vt:lpstr>
      <vt:lpstr>20</vt:lpstr>
      <vt:lpstr>21 </vt:lpstr>
      <vt:lpstr>22</vt:lpstr>
      <vt:lpstr>23</vt:lpstr>
      <vt:lpstr>24</vt:lpstr>
      <vt:lpstr>27</vt:lpstr>
      <vt:lpstr>28</vt:lpstr>
      <vt:lpstr>30</vt:lpstr>
      <vt:lpstr>Sheet1</vt:lpstr>
      <vt:lpstr>売上</vt:lpstr>
      <vt:lpstr>売上!Print_Area</vt:lpstr>
      <vt:lpstr>売上!Print_Titles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Tomonobu (中村 智展)</dc:creator>
  <cp:lastModifiedBy>NAKAMURA Tomonobu</cp:lastModifiedBy>
  <dcterms:created xsi:type="dcterms:W3CDTF">2020-03-24T10:08:49Z</dcterms:created>
  <dcterms:modified xsi:type="dcterms:W3CDTF">2020-07-22T08:28:11Z</dcterms:modified>
</cp:coreProperties>
</file>